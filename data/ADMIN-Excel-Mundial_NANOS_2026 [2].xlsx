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00. ADMIN/"/>
    </mc:Choice>
  </mc:AlternateContent>
  <xr:revisionPtr revIDLastSave="0" documentId="13_ncr:1_{07353836-794E-A04E-B1B3-8EC76296795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Q30" i="46" s="1"/>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7" i="46" l="1"/>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Q7" i="6" a="1"/>
  <c r="Q8" i="6" s="1" a="1"/>
  <c r="BZ42" i="3"/>
  <c r="H76" i="3" s="1"/>
  <c r="BZ49" i="3"/>
  <c r="H87" i="3" s="1"/>
  <c r="BZ51" i="3"/>
  <c r="H97" i="3" s="1"/>
  <c r="G16" i="46"/>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8" i="46" l="1"/>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Q9" i="6" a="1"/>
  <c r="G19" i="46"/>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CA42" i="3" l="1"/>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<sst xmlns="http://schemas.openxmlformats.org/spreadsheetml/2006/main" count="7685" uniqueCount="1960">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</sst>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2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37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46185</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6" sqref="AC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08" t="str">
        <f>Idiomas!D8</f>
        <v>XXIII Mundial USA/MEX/CAN 2026</v>
      </c>
      <c r="X1" s="808"/>
      <c r="Y1" s="808"/>
      <c r="Z1" s="808"/>
      <c r="AA1" s="808"/>
      <c r="AB1" s="808"/>
      <c r="AC1" s="808"/>
      <c r="AD1" s="808"/>
      <c r="AE1" s="808"/>
      <c r="AF1" s="80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0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0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0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0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0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0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0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0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0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0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0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0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1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1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1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1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1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1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17"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1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1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1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1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1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1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1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1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1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1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2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29"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29"/>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29"/>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29"/>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29"/>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30"/>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49"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49"/>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49"/>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49"/>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49"/>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50"/>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31"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31"/>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31"/>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31"/>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31"/>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32"/>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37"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37"/>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37"/>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37"/>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37"/>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38"/>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33"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33"/>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33"/>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33"/>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33"/>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34"/>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39"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39"/>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39"/>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39"/>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39"/>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40"/>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35"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35"/>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35"/>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35"/>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35"/>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36"/>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41"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41"/>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41"/>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41"/>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41"/>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41"/>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41"/>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41"/>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41"/>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41"/>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41"/>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41"/>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4</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41"/>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41"/>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41"/>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42"/>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43"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43"/>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43"/>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43"/>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43"/>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43"/>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43"/>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44"/>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45"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45"/>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45"/>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46"/>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47"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48"/>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09" t="str">
        <f>IF(SUM(COUNTIF(AG4:AG97,0),COUNTIF(AG101:AG160,0)&gt;0),AL148,AL149)</f>
        <v>MUNDIAL EN CURSO</v>
      </c>
      <c r="AK151" s="810"/>
      <c r="AL151" s="810"/>
      <c r="AM151" s="810"/>
      <c r="AN151" s="810"/>
      <c r="AO151" s="810"/>
      <c r="AP151" s="810"/>
      <c r="AQ151" s="810"/>
      <c r="AR151" s="810"/>
      <c r="AS151" s="810"/>
      <c r="AT151" s="810"/>
      <c r="AU151" s="81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12"/>
      <c r="AK152" s="813"/>
      <c r="AL152" s="813"/>
      <c r="AM152" s="813"/>
      <c r="AN152" s="813"/>
      <c r="AO152" s="813"/>
      <c r="AP152" s="813"/>
      <c r="AQ152" s="813"/>
      <c r="AR152" s="813"/>
      <c r="AS152" s="813"/>
      <c r="AT152" s="813"/>
      <c r="AU152" s="81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12"/>
      <c r="AK153" s="813"/>
      <c r="AL153" s="813"/>
      <c r="AM153" s="813"/>
      <c r="AN153" s="813"/>
      <c r="AO153" s="813"/>
      <c r="AP153" s="813"/>
      <c r="AQ153" s="813"/>
      <c r="AR153" s="813"/>
      <c r="AS153" s="813"/>
      <c r="AT153" s="813"/>
      <c r="AU153" s="81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12"/>
      <c r="AK154" s="813"/>
      <c r="AL154" s="813"/>
      <c r="AM154" s="813"/>
      <c r="AN154" s="813"/>
      <c r="AO154" s="813"/>
      <c r="AP154" s="813"/>
      <c r="AQ154" s="813"/>
      <c r="AR154" s="813"/>
      <c r="AS154" s="813"/>
      <c r="AT154" s="813"/>
      <c r="AU154" s="81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23" t="str">
        <f>IF(SUM(COUNTIF(AG4:AG97,0),COUNTIF(AG101:AG160,0)&gt;0),AM148,AM149)</f>
        <v>Todavía hay emoción</v>
      </c>
      <c r="AK155" s="824"/>
      <c r="AL155" s="824"/>
      <c r="AM155" s="824"/>
      <c r="AN155" s="824"/>
      <c r="AO155" s="824"/>
      <c r="AP155" s="824"/>
      <c r="AQ155" s="824"/>
      <c r="AR155" s="824"/>
      <c r="AS155" s="824"/>
      <c r="AT155" s="824"/>
      <c r="AU155" s="825"/>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23"/>
      <c r="AK156" s="824"/>
      <c r="AL156" s="824"/>
      <c r="AM156" s="824"/>
      <c r="AN156" s="824"/>
      <c r="AO156" s="824"/>
      <c r="AP156" s="824"/>
      <c r="AQ156" s="824"/>
      <c r="AR156" s="824"/>
      <c r="AS156" s="824"/>
      <c r="AT156" s="824"/>
      <c r="AU156" s="825"/>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26"/>
      <c r="AK157" s="827"/>
      <c r="AL157" s="827"/>
      <c r="AM157" s="827"/>
      <c r="AN157" s="827"/>
      <c r="AO157" s="827"/>
      <c r="AP157" s="827"/>
      <c r="AQ157" s="827"/>
      <c r="AR157" s="827"/>
      <c r="AS157" s="827"/>
      <c r="AT157" s="827"/>
      <c r="AU157" s="828"/>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21" t="str">
        <f>+Idiomas!D12</f>
        <v>Donar</v>
      </c>
      <c r="AP161" s="822"/>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5"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5"/>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5"/>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5"/>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4"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4"/>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4"/>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4"/>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5"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5"/>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5"/>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5"/>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4"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4"/>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4"/>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4"/>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5"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5"/>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5"/>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5"/>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4"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4"/>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4"/>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4"/>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5"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5"/>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5"/>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5"/>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4"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4"/>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4"/>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4"/>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5"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5"/>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5"/>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5"/>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4"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4"/>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4"/>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4"/>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5"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5"/>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5"/>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5"/>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4"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4"/>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4"/>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4"/>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2"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2"/>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2"/>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2"/>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2"/>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2"/>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2"/>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2"/>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2"/>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2"/>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2"/>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2"/>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2"/>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2"/>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2"/>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2"/>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2"/>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2"/>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2"/>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2"/>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2"/>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2"/>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2"/>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2"/>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2"/>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2"/>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2"/>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2"/>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2"/>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2"/>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2"/>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2"/>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2"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2"/>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2"/>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2"/>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2"/>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2"/>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2"/>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2"/>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2"/>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2"/>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2"/>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2"/>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2"/>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2"/>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2"/>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2"/>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2"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2"/>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2"/>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2"/>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2"/>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2"/>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2"/>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2"/>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2"/>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2"/>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2"/>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2"/>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2"/>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2"/>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2"/>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2"/>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2"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2"/>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2"/>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2"/>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2"/>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2"/>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2"/>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2"/>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2"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2"/>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2"/>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2"/>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2"/>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2"/>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2"/>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2"/>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2"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2"/>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2"/>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2"/>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2"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2"/>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2"/>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2"/>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3"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3"/>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3"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3"/>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3"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3"/>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1.9230769230769232E-2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5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t="str">
        <f>IF(ISBLANK(INDEX(WORLDCUP!$AC$4:$AC$147,MATCH(A11,WORLDCUP!$AH$4:$AH$147,0))),"",INDEX(WORLDCUP!$AC$4:$AC$147,MATCH(A11,WORLDCUP!$AH$4:$AH$147,0)))</f>
        <v/>
      </c>
      <c r="E11" s="511" t="str">
        <f>IF(ISBLANK(INDEX(WORLDCUP!$AD$4:$AD$147,MATCH(A11,WORLDCUP!$AH$4:$AH$147,0))),"",INDEX(WORLDCUP!$AD$4:$AD$147,MATCH(A11,WORLDCUP!$AH$4:$AH$147,0)))</f>
        <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2026-06-12T07:39:31Z</dcterms:modified>
  <cp:category/>
</cp:coreProperties>
</file>