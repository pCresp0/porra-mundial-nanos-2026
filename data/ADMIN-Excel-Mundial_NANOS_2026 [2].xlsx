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07353836-794E-A04E-B1B3-8EC76296795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7" i="46" l="1"/>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Q7" i="6" a="1"/>
  <c r="Q8" i="6" s="1" a="1"/>
  <c r="BZ42" i="3"/>
  <c r="H76" i="3" s="1"/>
  <c r="BZ49" i="3"/>
  <c r="H87" i="3" s="1"/>
  <c r="BZ51" i="3"/>
  <c r="H97" i="3" s="1"/>
  <c r="G16" i="46"/>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8" i="46" l="1"/>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Q9" i="6" a="1"/>
  <c r="G19" i="46"/>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CA42" i="3" l="1"/>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<sst xmlns="http://schemas.openxmlformats.org/spreadsheetml/2006/main" count="7685" uniqueCount="1960">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</sst>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6" sqref="AC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0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0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0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0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06" t="s">
        <v>1</v>
      </c>
      <c r="X12" s="195">
        <f ca="1">Horarios!C12</f>
        <v>46185.875</v>
      </c>
      <c r="Y12" s="196">
        <f ca="1">Horarios!C12</f>
        <v>46185.875</v>
      </c>
      <c r="Z12" s="197" t="str">
        <f>$Z$4</f>
        <v>J1</v>
      </c>
      <c r="AA12" s="198" t="str">
        <f ca="1">A13</f>
        <v>Canadá</v>
      </c>
      <c r="AB12" s="486" t="str" cm="1">
        <f t="array" aca="1" ref="AB12" ca="1">Ver_flag_local</f>
        <v>🇨🇦</v>
      </c>
      <c r="AC12" s="199"/>
      <c r="AD12" s="200"/>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0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0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0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0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1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1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1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1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1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1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1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29"/>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49"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49"/>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49"/>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49"/>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31"/>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31"/>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31"/>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37"/>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37"/>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38"/>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33"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33"/>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39"/>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40"/>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4</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43"/>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43"/>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45"/>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46"/>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48"/>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09" t="str">
        <f>IF(SUM(COUNTIF(AG4:AG97,0),COUNTIF(AG101:AG160,0)&gt;0),AL148,AL149)</f>
        <v>MUNDIAL EN CURSO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23" t="str">
        <f>IF(SUM(COUNTIF(AG4:AG97,0),COUNTIF(AG101:AG160,0)&gt;0),AM148,AM149)</f>
        <v>Todavía hay emoción</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5"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5"/>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5"/>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5"/>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4"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4"/>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4"/>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4"/>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5"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5"/>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5"/>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5"/>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4"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4"/>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4"/>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4"/>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5"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5"/>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5"/>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5"/>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4"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4"/>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4"/>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4"/>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5"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5"/>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5"/>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5"/>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4"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4"/>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4"/>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4"/>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5"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5"/>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5"/>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5"/>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4"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4"/>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4"/>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4"/>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5"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5"/>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5"/>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5"/>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4"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4"/>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4"/>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4"/>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2"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2"/>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2"/>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2"/>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2"/>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2"/>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2"/>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2"/>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2"/>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2"/>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2"/>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2"/>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2"/>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2"/>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2"/>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2"/>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2"/>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2"/>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2"/>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2"/>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2"/>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2"/>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2"/>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2"/>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2"/>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2"/>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2"/>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2"/>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2"/>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2"/>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2"/>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2"/>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2"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2"/>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2"/>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2"/>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2"/>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2"/>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2"/>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2"/>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2"/>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2"/>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2"/>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2"/>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2"/>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2"/>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2"/>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2"/>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2"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2"/>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2"/>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2"/>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2"/>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2"/>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2"/>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2"/>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2"/>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2"/>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2"/>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2"/>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2"/>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2"/>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2"/>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2"/>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2"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2"/>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2"/>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2"/>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2"/>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2"/>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2"/>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2"/>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2"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2"/>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2"/>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2"/>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2"/>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2"/>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2"/>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2"/>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2"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2"/>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2"/>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2"/>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2"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2"/>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2"/>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2"/>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3"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3"/>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3"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3"/>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3"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3"/>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1.9230769230769232E-2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5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2026-06-12T07:39:31Z</dcterms:modified>
  <cp:category/>
</cp:coreProperties>
</file>