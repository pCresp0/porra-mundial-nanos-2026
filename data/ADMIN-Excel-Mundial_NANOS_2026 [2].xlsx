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8B125D04-641C-F542-AE02-26D692EF919D}"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AE5" i="46"/>
  <c r="AB5" i="46"/>
  <c r="Y5" i="46"/>
  <c r="V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V6" i="46"/>
  <c r="Y6" i="46"/>
  <c r="AB6" i="46"/>
  <c r="AE6" i="46"/>
  <c r="K182" i="46"/>
  <c r="AF75" i="3"/>
  <c r="AF67" i="3"/>
  <c r="H250" i="46"/>
  <c r="Y232" i="46"/>
  <c r="AB232" i="46"/>
  <c r="V232" i="46"/>
  <c r="S232" i="46"/>
  <c r="Y30" i="46"/>
  <c r="AB30" i="46"/>
  <c r="AE30" i="46"/>
  <c r="V30" i="46"/>
  <c r="AF51" i="3"/>
  <c r="D13" i="36"/>
  <c r="K14" i="30" s="1"/>
  <c r="D432" i="36"/>
  <c r="H226" i="46"/>
  <c r="AB253" i="46"/>
  <c r="AE253" i="46"/>
  <c r="K213" i="46"/>
  <c r="AB164" i="46"/>
  <c r="AE164" i="46"/>
  <c r="V164" i="46"/>
  <c r="Y164" i="46"/>
  <c r="S164" i="46"/>
  <c r="Y54" i="46"/>
  <c r="AB54" i="46"/>
  <c r="AE54" i="46"/>
  <c r="V5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W36" i="46" s="1"/>
  <c r="Q40" i="46"/>
  <c r="Q44" i="46"/>
  <c r="T44" i="46" s="1"/>
  <c r="P203" i="46"/>
  <c r="Q203" i="46"/>
  <c r="Q207" i="46"/>
  <c r="Q33" i="46"/>
  <c r="Z33" i="46" s="1"/>
  <c r="Q37" i="46"/>
  <c r="Q41" i="46"/>
  <c r="Q49" i="46"/>
  <c r="P204" i="46"/>
  <c r="W256" i="46"/>
  <c r="AC256" i="46"/>
  <c r="Z256" i="46"/>
  <c r="AF256" i="46"/>
  <c r="M177" i="46"/>
  <c r="M169" i="46"/>
  <c r="W258" i="46"/>
  <c r="AC258" i="46"/>
  <c r="AF258" i="46"/>
  <c r="Z258" i="46"/>
  <c r="Q55" i="46"/>
  <c r="Q247" i="46"/>
  <c r="P232" i="46"/>
  <c r="M203" i="46"/>
  <c r="E203" i="46"/>
  <c r="M202" i="46"/>
  <c r="W77" i="46"/>
  <c r="W53" i="46"/>
  <c r="W45" i="46"/>
  <c r="W60" i="46"/>
  <c r="W52" i="46"/>
  <c r="W26" i="46"/>
  <c r="W75" i="46"/>
  <c r="W51" i="46"/>
  <c r="W17" i="46"/>
  <c r="W7" i="46"/>
  <c r="W74" i="46"/>
  <c r="W66" i="46"/>
  <c r="W58" i="46"/>
  <c r="W41" i="46"/>
  <c r="W65" i="46"/>
  <c r="W57" i="46"/>
  <c r="W49" i="46"/>
  <c r="W56" i="46"/>
  <c r="W48" i="46"/>
  <c r="W63" i="46"/>
  <c r="W47" i="46"/>
  <c r="W29" i="46"/>
  <c r="W21" i="46"/>
  <c r="W13" i="46"/>
  <c r="W62" i="46"/>
  <c r="W37" i="46"/>
  <c r="W20" i="46"/>
  <c r="E165" i="46"/>
  <c r="AC7" i="46"/>
  <c r="AF7" i="46"/>
  <c r="Z13" i="46"/>
  <c r="AC13"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Q46" i="46"/>
  <c r="P221" i="46"/>
  <c r="Q222" i="46"/>
  <c r="Q68" i="46"/>
  <c r="T256" i="46"/>
  <c r="Q16" i="46"/>
  <c r="AF16" i="46" s="1"/>
  <c r="T65" i="46"/>
  <c r="Q29" i="46"/>
  <c r="AC29" i="46" s="1"/>
  <c r="Q220" i="46"/>
  <c r="Q14" i="46"/>
  <c r="Z14" i="46" s="1"/>
  <c r="Q233" i="46"/>
  <c r="Q8" i="46"/>
  <c r="Z8" i="46" s="1"/>
  <c r="P178" i="46"/>
  <c r="P174" i="46"/>
  <c r="Q173" i="46"/>
  <c r="Q169" i="46"/>
  <c r="T47" i="46"/>
  <c r="Q50" i="46"/>
  <c r="W50" i="46" s="1"/>
  <c r="T75" i="46"/>
  <c r="Q70" i="46"/>
  <c r="AF70" i="46" s="1"/>
  <c r="Q71" i="46"/>
  <c r="Q23" i="46"/>
  <c r="M46" i="46"/>
  <c r="AF46" i="46" s="1"/>
  <c r="M71" i="46"/>
  <c r="Z71" i="46" s="1"/>
  <c r="M70" i="46"/>
  <c r="W70" i="46" s="1"/>
  <c r="M23" i="46"/>
  <c r="W23" i="46" s="1"/>
  <c r="Q22" i="46"/>
  <c r="M22" i="46"/>
  <c r="AF22" i="46" s="1"/>
  <c r="Q200" i="46"/>
  <c r="T53" i="46"/>
  <c r="T29" i="46"/>
  <c r="T50" i="46"/>
  <c r="T26" i="46"/>
  <c r="Q72" i="46"/>
  <c r="AF72" i="46" s="1"/>
  <c r="Q43" i="46"/>
  <c r="W43" i="46" s="1"/>
  <c r="T17" i="46"/>
  <c r="Q64" i="46"/>
  <c r="T36" i="46"/>
  <c r="T13" i="46"/>
  <c r="Q34" i="46"/>
  <c r="T7"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H164" i="46" l="1"/>
  <c r="H182" i="46"/>
  <c r="H165" i="46"/>
  <c r="C64" i="46"/>
  <c r="C56" i="46"/>
  <c r="H253" i="46"/>
  <c r="AH155" i="3"/>
  <c r="AG155" i="3" s="1"/>
  <c r="V253" i="46"/>
  <c r="K131" i="46"/>
  <c r="K152" i="46"/>
  <c r="AL5" i="3"/>
  <c r="BD5" i="3"/>
  <c r="BD57" i="3" s="1"/>
  <c r="Z254" i="46"/>
  <c r="K142" i="46"/>
  <c r="Y19" i="3"/>
  <c r="Y35" i="3" s="1"/>
  <c r="Y91" i="3"/>
  <c r="Y100" i="3"/>
  <c r="Y59" i="3"/>
  <c r="AC3" i="3"/>
  <c r="Y75" i="3"/>
  <c r="DT130" i="3"/>
  <c r="H223" i="46"/>
  <c r="H228" i="46"/>
  <c r="AC254" i="46"/>
  <c r="AF254" i="46"/>
  <c r="Y119" i="3"/>
  <c r="W254" i="46"/>
  <c r="DT100" i="3"/>
  <c r="Y253" i="46"/>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28" i="3" l="1"/>
  <c r="X33" i="3"/>
  <c r="H61" i="46" s="1"/>
  <c r="Y126" i="3"/>
  <c r="Y105"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22" i="46"/>
  <c r="H44" i="46"/>
  <c r="H26" i="46"/>
  <c r="H48" i="46"/>
  <c r="H18" i="46"/>
  <c r="H52" i="46"/>
  <c r="H51" i="46"/>
  <c r="H33" i="46"/>
  <c r="H43" i="46"/>
  <c r="H19" i="46"/>
  <c r="H65" i="46"/>
  <c r="H41" i="46"/>
  <c r="H10" i="46"/>
  <c r="H35" i="46"/>
  <c r="H63" i="46"/>
  <c r="H46"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58" i="46"/>
  <c r="H91" i="46" s="1"/>
  <c r="G20" i="30"/>
  <c r="E45" i="51"/>
  <c r="H116" i="46"/>
  <c r="H117" i="46"/>
  <c r="H11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H90" i="46" l="1"/>
  <c r="H88" i="46"/>
  <c r="H124" i="46"/>
  <c r="H125" i="46"/>
  <c r="H126" i="46"/>
  <c r="H107" i="46"/>
  <c r="H104" i="46"/>
  <c r="H105" i="46"/>
  <c r="H106" i="46"/>
  <c r="Q2" i="6" a="1"/>
  <c r="G6" i="46" s="1"/>
  <c r="H89"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8" i="3" l="1"/>
  <c r="G7" i="46"/>
  <c r="G8" i="46"/>
  <c r="Q4" i="6" a="1"/>
  <c r="BX45" i="3"/>
  <c r="BX23" i="3"/>
  <c r="BX39"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G9" i="46" l="1"/>
  <c r="Q5" i="6" a="1"/>
  <c r="G11" i="46" s="1"/>
  <c r="G12"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0" i="46" l="1"/>
  <c r="G13" i="46"/>
  <c r="Q6" i="6" a="1"/>
  <c r="G20" i="46" s="1"/>
  <c r="G14" i="46"/>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6" i="46" l="1"/>
  <c r="Q7" i="6" a="1"/>
  <c r="Q8" i="6" s="1" a="1"/>
  <c r="G18" i="46"/>
  <c r="G15" i="46"/>
  <c r="G17"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1" i="6" s="1" a="1"/>
  <c r="Q12" i="6" s="1" a="1"/>
  <c r="CC18" i="3"/>
  <c r="CC43" i="3"/>
  <c r="CC20" i="3"/>
  <c r="CC16" i="3"/>
  <c r="CC47" i="3"/>
  <c r="CC53" i="3"/>
  <c r="CC45" i="3"/>
  <c r="CC27" i="3"/>
  <c r="CC36" i="3"/>
  <c r="CC31" i="3" l="1"/>
  <c r="CC9" i="3"/>
  <c r="CC14" i="3"/>
  <c r="CC15" i="3"/>
  <c r="CC17" i="3"/>
  <c r="CC39" i="3"/>
  <c r="CC30" i="3"/>
  <c r="CC35" i="3"/>
  <c r="CC10" i="3"/>
  <c r="CC21" i="3"/>
  <c r="CC8" i="3"/>
  <c r="CC40" i="3"/>
  <c r="CC24" i="3"/>
  <c r="CC7" i="3"/>
  <c r="CC29" i="3"/>
  <c r="CC28" i="3"/>
  <c r="CC22" i="3"/>
  <c r="CC32" i="3"/>
  <c r="CC41" i="3"/>
  <c r="CC38" i="3"/>
  <c r="CC25" i="3"/>
  <c r="Q13" i="6" a="1"/>
  <c r="Q14" i="6" s="1" a="1"/>
  <c r="Q15" i="6" s="1" a="1"/>
  <c r="Q16" i="6" s="1" a="1"/>
  <c r="Q17" i="6" s="1" a="1"/>
  <c r="Q18" i="6" s="1" a="1"/>
  <c r="Q19" i="6" s="1" a="1"/>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50" i="6" a="1"/>
  <c r="Q40" i="6" a="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58" i="6" a="1"/>
  <c r="Q45" i="6" a="1"/>
  <c r="Q60" i="6" a="1"/>
  <c r="Q64" i="6" a="1"/>
  <c r="Q48" i="6" a="1"/>
  <c r="Q42" i="6" a="1"/>
  <c r="Q52" i="6" a="1"/>
  <c r="Q62" i="6" a="1"/>
  <c r="Q41" i="6" a="1"/>
  <c r="Q61" i="6" a="1"/>
  <c r="Q49" i="6" a="1"/>
  <c r="Q53" i="6" a="1"/>
  <c r="Q55" i="6" a="1"/>
  <c r="Q57" i="6" a="1"/>
  <c r="Q59" i="6" a="1"/>
  <c r="Q56" i="6" a="1"/>
  <c r="Q44" i="6" a="1"/>
  <c r="Q54" i="6" a="1"/>
  <c r="Q51" i="6" a="1"/>
  <c r="Q46" i="6" a="1"/>
  <c r="Q43" i="6" a="1"/>
  <c r="R40" i="6" l="1"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8" i="50" a="1"/>
  <c r="A26" i="50" a="1"/>
  <c r="B32" i="51"/>
  <c r="B22" i="51"/>
  <c r="A27" i="48" a="1"/>
  <c r="A34" i="48" a="1"/>
  <c r="B33" i="51"/>
  <c r="A20" i="50" a="1"/>
  <c r="B31" i="51"/>
  <c r="B44" i="51"/>
  <c r="A28" i="48" a="1"/>
  <c r="A32" i="50" a="1"/>
  <c r="B35" i="51"/>
  <c r="B25" i="51"/>
  <c r="A29" i="48" a="1"/>
  <c r="B43" i="51"/>
  <c r="B23" i="51"/>
  <c r="B2" i="48" a="1"/>
  <c r="A22" i="50" a="1"/>
  <c r="A31" i="50" a="1"/>
  <c r="B27" i="51"/>
  <c r="A24" i="48" a="1"/>
  <c r="B39" i="51"/>
  <c r="A25" i="50" a="1"/>
  <c r="B36" i="51"/>
  <c r="B40" i="51"/>
  <c r="B37" i="51"/>
  <c r="A27" i="50" a="1"/>
  <c r="A33" i="48" a="1"/>
  <c r="A34" i="50" a="1"/>
  <c r="A24" i="50" a="1"/>
  <c r="A20" i="48" a="1"/>
  <c r="A22" i="48" a="1"/>
  <c r="A33" i="50" a="1"/>
  <c r="A23" i="48" a="1"/>
  <c r="A30" i="48" a="1"/>
  <c r="A31" i="48" a="1"/>
  <c r="A25" i="48" a="1"/>
  <c r="A21" i="48" a="1"/>
  <c r="A26" i="48" a="1"/>
  <c r="A35" i="50" a="1"/>
  <c r="A29" i="50" a="1"/>
  <c r="A35" i="48" a="1"/>
  <c r="A23" i="50" a="1"/>
  <c r="A32" i="48" a="1"/>
  <c r="A30" i="50" a="1"/>
  <c r="B24" i="51"/>
  <c r="B38" i="51"/>
  <c r="B45" i="51"/>
  <c r="B28" i="51"/>
  <c r="B34" i="51"/>
  <c r="B30" i="51"/>
  <c r="B29" i="51"/>
  <c r="B41" i="51"/>
  <c r="B42" i="51"/>
  <c r="B26" i="51"/>
  <c r="E8" i="51"/>
  <c r="K96" i="3" l="1"/>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B46" i="51"/>
  <c r="B47" i="51" s="1"/>
  <c r="E10" i="51"/>
  <c r="E12" i="51"/>
  <c r="E11" i="51"/>
  <c r="CF6" i="3" l="1"/>
  <c r="CF10" i="3"/>
  <c r="CF48" i="3"/>
  <c r="CF15" i="3"/>
  <c r="CF39" i="3"/>
  <c r="CF9" i="3"/>
  <c r="CF41" i="3"/>
  <c r="F12" i="51"/>
  <c r="F10" i="51"/>
  <c r="F11" i="51" s="1"/>
  <c r="F9" i="51"/>
  <c r="F8" i="5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O9" i="3" l="1"/>
  <c r="CP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<sst xmlns="http://schemas.openxmlformats.org/spreadsheetml/2006/main" count="7685" uniqueCount="1960">
  <si>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</si>
  <si>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</si>
  <si>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</si>
  <si>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</si>
  <si>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</si>
  <si>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</si>
  <si>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</si>
  <si>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</si>
  <si>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</si>
  <si>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</si>
  <si>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</si>
  <si>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</si>
  <si>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</si>
  <si>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</si>
  <si>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</si>
  <si>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</si>
  <si>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</si>
  <si>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</si>
  <si>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</si>
  <si>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</si>
  <si>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</si>
  <si>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</si>
  <si>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</si>
  <si>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</si>
  <si>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</si>
  <si>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</si>
  <si>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</si>
  <si>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</si>
  <si>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</si>
  <si>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</si>
  <si>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</si>
  <si>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</si>
  <si>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</si>
  <si>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</si>
  <si>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</si>
  <si>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</si>
  <si>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</si>
  <si>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</si>
  <si>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</si>
  <si>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</si>
  <si>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</si>
  <si>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</si>
  <si>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</si>
  <si>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</si>
  <si>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</si>
  <si>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</si>
  <si>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</si>
  <si>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</si>
  <si>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</si>
  <si>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</si>
  <si>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</si>
  <si>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</si>
  <si>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</si>
  <si>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</si>
  <si>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</si>
  <si>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</si>
  <si>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</si>
  <si>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</si>
  <si>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</si>
  <si>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</si>
  <si>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</si>
  <si>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</si>
  <si>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</si>
  <si>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</si>
  <si>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</si>
  <si>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</si>
  <si>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</si>
  <si>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</si>
  <si>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</si>
  <si>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</si>
  <si>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</si>
  <si>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</si>
  <si>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</si>
  <si>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</si>
  <si>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</si>
  <si>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</si>
  <si>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</si>
  <si>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</si>
  <si>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</si>
  <si>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</si>
  <si>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</si>
  <si>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</si>
  <si>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</si>
  <si>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</si>
  <si>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</si>
  <si>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</si>
  <si>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</si>
  <si>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</si>
  <si>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</si>
  <si>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</si>
  <si>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</si>
  <si>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</si>
  <si>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</si>
  <si>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</si>
  <si>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</si>
  <si>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</si>
  <si>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</si>
  <si>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</si>
  <si>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</si>
  <si>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</si>
  <si>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</si>
  <si>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</si>
  <si>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</si>
  <si>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</si>
  <si>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</si>
  <si>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</si>
  <si>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</si>
  <si>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</si>
  <si>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</si>
  <si>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</si>
  <si>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</si>
  <si>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</si>
  <si>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</si>
  <si>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</si>
  <si>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</si>
  <si>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</si>
  <si>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</si>
  <si>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</si>
  <si>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</si>
  <si>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</si>
  <si>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</si>
  <si>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</si>
  <si>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</si>
  <si>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</si>
  <si>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</si>
  <si>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</si>
  <si>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</si>
  <si>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</si>
  <si>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</si>
  <si>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</si>
  <si>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</si>
  <si>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</si>
  <si>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</si>
  <si>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</si>
  <si>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</si>
  <si>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</si>
  <si>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</si>
  <si>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</si>
  <si>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</si>
  <si>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</si>
  <si>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</si>
  <si>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</si>
  <si>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</si>
  <si>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</si>
  <si>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</si>
  <si>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</si>
  <si>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</si>
  <si>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</si>
  <si>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</si>
  <si>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</si>
  <si>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</si>
  <si>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</si>
  <si>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</si>
  <si>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</si>
  <si>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</si>
  <si>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</si>
  <si>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</si>
  <si>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</si>
  <si>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</si>
  <si>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</si>
  <si>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</si>
  <si>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</si>
  <si>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</si>
  <si>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</si>
  <si>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</si>
  <si>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</si>
  <si>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</si>
  <si>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</si>
  <si>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</si>
  <si>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</si>
  <si>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</si>
  <si>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</si>
  <si>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</si>
  <si>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</si>
  <si>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</si>
  <si>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</si>
  <si>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</si>
  <si>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</si>
  <si>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</si>
  <si>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</si>
  <si>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</si>
  <si>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</si>
  <si>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</si>
  <si>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</si>
  <si>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</si>
  <si>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</si>
  <si>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</si>
  <si>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</si>
  <si>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</si>
  <si>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</si>
  <si>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</si>
  <si>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</si>
  <si>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</si>
  <si>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</si>
  <si>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</si>
  <si>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</si>
  <si>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</si>
  <si>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</si>
  <si>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</si>
  <si>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</si>
  <si>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</si>
  <si>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</si>
  <si>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</si>
  <si>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</si>
  <si>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</si>
  <si>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</si>
  <si>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</si>
  <si>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</si>
  <si>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</si>
  <si>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</si>
  <si>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</si>
  <si>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</si>
  <si>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</si>
  <si>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</si>
  <si>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</si>
  <si>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</si>
  <si>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</si>
  <si>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</si>
  <si>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</si>
  <si>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</si>
  <si>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</si>
  <si>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</si>
  <si>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</si>
  <si>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</si>
  <si>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</si>
  <si>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</si>
  <si>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</si>
  <si>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</si>
  <si>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</si>
  <si>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</si>
  <si>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</si>
  <si>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</si>
  <si>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</si>
  <si>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</si>
  <si>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</si>
  <si>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</si>
  <si>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</si>
  <si>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</si>
  <si>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</si>
  <si>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</si>
  <si>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</si>
  <si>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</si>
  <si>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</si>
  <si>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</si>
  <si>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</si>
  <si>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</si>
  <si>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</si>
  <si>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</si>
  <si>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</si>
  <si>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</si>
  <si>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</si>
  <si>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</si>
  <si>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</si>
  <si>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</si>
  <si>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</si>
  <si>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</si>
  <si>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</si>
  <si>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</si>
  <si>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</si>
  <si>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</si>
  <si>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</si>
  <si>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</si>
  <si>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</si>
  <si>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</si>
  <si>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</si>
  <si>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</si>
  <si>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</si>
  <si>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</si>
  <si>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</si>
  <si>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</si>
  <si>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</si>
  <si>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</si>
  <si>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</si>
  <si>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</si>
  <si>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</si>
  <si>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</si>
  <si>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</si>
  <si>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</si>
  <si>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</si>
  <si>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</si>
  <si>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</si>
  <si>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</si>
  <si>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</si>
  <si>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</si>
  <si>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</si>
  <si>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</si>
  <si>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</si>
  <si>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</si>
  <si>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</si>
  <si>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</si>
  <si>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</si>
  <si>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</si>
  <si>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</si>
  <si>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</si>
  <si>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</si>
  <si>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</si>
  <si>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</si>
  <si>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</si>
  <si>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</si>
  <si>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</si>
  <si>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</si>
  <si>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</si>
  <si>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</si>
  <si>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</si>
  <si>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</si>
  <si>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</si>
  <si>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</si>
  <si>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</si>
  <si>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</si>
  <si>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</si>
  <si>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</si>
  <si>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</si>
  <si>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</si>
  <si>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</si>
  <si>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</si>
  <si>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</si>
  <si>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</si>
  <si>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</si>
  <si>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</si>
  <si>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</si>
  <si>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</si>
  <si>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</si>
  <si>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</si>
  <si>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</si>
  <si>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</si>
  <si>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</si>
  <si>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</si>
  <si>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</si>
  <si>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</si>
  <si>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</si>
  <si>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</si>
  <si>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</si>
  <si>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</si>
  <si>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</si>
  <si>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</si>
  <si>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</si>
  <si>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</si>
  <si>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</si>
  <si>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</si>
  <si>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</si>
  <si>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</si>
  <si>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</si>
  <si>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</si>
  <si>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</si>
  <si>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</si>
  <si>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</si>
  <si>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</si>
  <si>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</si>
  <si>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</si>
  <si>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</si>
  <si>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</si>
  <si>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</si>
  <si>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</si>
  <si>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</si>
  <si>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</si>
  <si>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</si>
  <si>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</si>
  <si>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</si>
  <si>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</si>
  <si>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</si>
  <si>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</si>
  <si>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</si>
  <si>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</si>
  <si>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</si>
  <si>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</si>
  <si>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</si>
  <si>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</si>
  <si>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</si>
  <si>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</si>
  <si>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</si>
  <si>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</si>
  <si>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</si>
  <si>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</si>
  <si>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</si>
  <si>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</si>
  <si>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</si>
  <si>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</si>
  <si>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</si>
  <si>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</si>
  <si>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</si>
  <si>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</si>
  <si>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</si>
  <si>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</si>
  <si>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</si>
  <si>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</si>
  <si>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</si>
  <si>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</si>
  <si>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</si>
  <si>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</si>
  <si>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</si>
  <si>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</si>
  <si>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</si>
  <si>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</si>
  <si>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</si>
  <si>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</si>
  <si>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</si>
  <si>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</si>
  <si>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</si>
  <si>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</si>
  <si>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</si>
  <si>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</si>
  <si>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</si>
  <si>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</si>
  <si>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</si>
  <si>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</si>
  <si>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</si>
  <si>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</si>
  <si>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</si>
  <si>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</si>
  <si>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</si>
  <si>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</si>
  <si>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</si>
  <si>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</si>
  <si>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</si>
  <si>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</si>
  <si>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</si>
  <si>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</si>
  <si>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</si>
  <si>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</si>
  <si>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</si>
  <si>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</si>
  <si>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</si>
  <si>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</si>
  <si>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</si>
  <si>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</si>
  <si>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</si>
  <si>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</si>
  <si>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</si>
  <si>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</si>
  <si>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</si>
  <si>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</si>
  <si>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</si>
  <si>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</si>
  <si>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</si>
  <si>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</si>
  <si>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</si>
  <si>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</si>
  <si>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</si>
  <si>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</si>
  <si>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</si>
  <si>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</si>
  <si>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</si>
  <si>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</si>
  <si>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</si>
  <si>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</si>
  <si>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</si>
  <si>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</si>
  <si>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</si>
  <si>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</si>
  <si>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</si>
  <si>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</si>
  <si>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</si>
  <si>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</si>
  <si>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</si>
  <si>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</si>
  <si>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</si>
  <si>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</si>
  <si>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</si>
  <si>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</si>
  <si>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</si>
  <si>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</si>
  <si>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</si>
  <si>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</si>
  <si>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</si>
  <si>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</si>
  <si>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</si>
  <si>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</si>
  <si>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</si>
  <si>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</si>
  <si>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</si>
  <si>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</si>
  <si>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</si>
  <si>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</si>
  <si>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</si>
  <si>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</si>
  <si>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</si>
  <si>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</si>
  <si>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</si>
  <si>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</si>
  <si>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</si>
  <si>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</si>
  <si>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</si>
  <si>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</si>
  <si>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</si>
  <si>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</si>
  <si>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</si>
  <si>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</si>
  <si>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</si>
  <si>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</si>
  <si>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</si>
  <si>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</si>
  <si>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</si>
  <si>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</si>
  <si>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</si>
  <si>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</si>
  <si>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</si>
  <si>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</si>
  <si>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</si>
  <si>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</si>
  <si>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</si>
  <si>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</si>
  <si>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</si>
  <si>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</si>
  <si>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</si>
  <si>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</si>
  <si>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</si>
  <si>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</si>
  <si>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</si>
  <si>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</si>
  <si>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</si>
  <si>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</si>
  <si>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</si>
  <si>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</si>
  <si>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</si>
  <si>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</si>
  <si>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</si>
  <si>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</si>
  <si>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</si>
  <si>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</si>
  <si>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</si>
  <si>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</si>
  <si>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</si>
  <si>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</si>
  <si>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</si>
  <si>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</si>
  <si>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</si>
  <si>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</si>
  <si>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</si>
  <si>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</si>
  <si>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</si>
  <si>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</si>
  <si>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</si>
  <si>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</si>
  <si>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</si>
  <si>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</si>
  <si>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</si>
  <si>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</si>
  <si>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</si>
  <si>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</si>
  <si>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</si>
  <si>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</si>
  <si>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</si>
  <si>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</si>
  <si>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</si>
  <si>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</si>
  <si>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</si>
  <si>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</si>
  <si>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</si>
  <si>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</si>
  <si>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</si>
  <si>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</si>
  <si>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</si>
  <si>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</si>
  <si>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</si>
  <si>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</si>
  <si>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</si>
  <si>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</si>
  <si>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</si>
  <si>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</si>
  <si>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</si>
  <si>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</si>
  <si>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</si>
  <si>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</si>
  <si>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</si>
  <si>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</si>
  <si>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</si>
  <si>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</si>
  <si>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</si>
  <si>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</si>
  <si>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</si>
  <si>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</si>
  <si>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</si>
  <si>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</si>
  <si>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</si>
  <si>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</si>
  <si>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</si>
  <si>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</si>
  <si>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</si>
  <si>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</si>
  <si>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</si>
  <si>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</si>
  <si>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</si>
  <si>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</si>
  <si>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</si>
  <si>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</si>
  <si>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</si>
  <si>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</si>
  <si>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</si>
  <si>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</si>
  <si>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</si>
  <si>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</si>
  <si>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</si>
  <si>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</si>
  <si>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</si>
  <si>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</si>
  <si>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</si>
  <si>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</si>
  <si>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</si>
  <si>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</si>
  <si>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</si>
  <si>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</si>
  <si>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</si>
  <si>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</si>
  <si>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</si>
  <si>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</si>
  <si>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</si>
  <si>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</si>
  <si>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</si>
  <si>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</si>
  <si>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</si>
  <si>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</si>
  <si>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</si>
  <si>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</si>
  <si>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</si>
  <si>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</si>
  <si>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</si>
  <si>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</si>
  <si>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</si>
  <si>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</si>
  <si>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</si>
  <si>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</si>
  <si>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</si>
  <si>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</si>
  <si>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</si>
  <si>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</si>
  <si>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</si>
  <si>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</si>
  <si>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</si>
  <si>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</si>
  <si>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</si>
  <si>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</si>
  <si>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</si>
  <si>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</si>
  <si>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</si>
  <si>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</si>
  <si>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</si>
  <si>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</si>
  <si>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</si>
  <si>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</si>
  <si>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</si>
  <si>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</si>
  <si>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</si>
  <si>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</si>
  <si>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</si>
  <si>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</si>
  <si>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</si>
  <si>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</si>
  <si>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</si>
  <si>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</si>
  <si>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</si>
  <si>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</si>
  <si>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</si>
  <si>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</si>
  <si>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</si>
  <si>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</si>
  <si>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</si>
  <si>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</si>
  <si>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</si>
  <si>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</si>
  <si>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</si>
  <si>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</si>
  <si>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</si>
  <si>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</si>
  <si>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</si>
  <si>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</si>
  <si>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</si>
  <si>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</si>
  <si>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</si>
  <si>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</si>
  <si>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</si>
  <si>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</si>
  <si>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</si>
  <si>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</si>
  <si>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</si>
  <si>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</si>
  <si>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</si>
  <si>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</si>
  <si>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</si>
  <si>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</si>
  <si>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</si>
  <si>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</si>
  <si>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</si>
  <si>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</si>
  <si>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</si>
  <si>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</si>
  <si>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</si>
  <si>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</si>
  <si>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</si>
  <si>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</si>
  <si>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</si>
  <si>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</si>
  <si>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</si>
  <si>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</si>
  <si>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</si>
  <si>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</si>
  <si>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</si>
  <si>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</si>
  <si>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</si>
  <si>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</si>
  <si>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</si>
  <si>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</si>
  <si>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</si>
  <si>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</si>
  <si>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</si>
  <si>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</si>
  <si>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</si>
  <si>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</si>
  <si>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</si>
  <si>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</si>
  <si>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</si>
  <si>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</si>
  <si>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</si>
  <si>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</si>
  <si>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</si>
  <si>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</si>
  <si>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</si>
  <si>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</si>
  <si>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</si>
  <si>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</si>
  <si>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</si>
  <si>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</si>
  <si>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</si>
  <si>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</si>
  <si>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</si>
  <si>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</si>
  <si>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</si>
  <si>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</si>
  <si>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</si>
  <si>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</si>
  <si>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</si>
  <si>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</si>
  <si>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</si>
  <si>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</si>
  <si>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</si>
  <si>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</si>
  <si>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</si>
  <si>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</si>
  <si>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</si>
  <si>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</si>
  <si>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</si>
  <si>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</si>
  <si>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</si>
  <si>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</si>
  <si>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</si>
  <si>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</si>
  <si>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</si>
  <si>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</si>
  <si>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</si>
  <si>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</si>
  <si>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</si>
  <si>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</si>
  <si>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</si>
  <si>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</si>
  <si>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</si>
  <si>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</si>
  <si>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</si>
  <si>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</si>
  <si>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</si>
  <si>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</si>
  <si>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</si>
  <si>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</si>
  <si>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</si>
  <si>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</si>
  <si>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</si>
  <si>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</si>
  <si>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</si>
  <si>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</si>
  <si>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</si>
  <si>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</si>
  <si>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</si>
  <si>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</si>
  <si>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</si>
  <si>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</si>
  <si>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</si>
  <si>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</si>
  <si>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</si>
  <si>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</si>
  <si>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</si>
  <si>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</si>
  <si>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</si>
  <si>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</si>
  <si>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</si>
  <si>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</si>
  <si>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</si>
  <si>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</si>
  <si>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</si>
  <si>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</si>
  <si>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</si>
  <si>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</si>
  <si>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</si>
  <si>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</si>
  <si>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</si>
  <si>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</si>
  <si>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</si>
  <si>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</si>
  <si>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</si>
  <si>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</si>
  <si>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</si>
  <si>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</si>
  <si>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</si>
  <si>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</si>
  <si>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</si>
  <si>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</si>
  <si>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</si>
  <si>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</si>
  <si>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</si>
  <si>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</si>
  <si>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</si>
  <si>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</si>
  <si>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</si>
  <si>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</si>
  <si>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</si>
  <si>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</si>
  <si>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</si>
  <si>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</si>
  <si>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</si>
  <si>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</si>
  <si>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</si>
  <si>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</si>
  <si>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</si>
  <si>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</si>
  <si>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</si>
  <si>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</si>
  <si>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</si>
  <si>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</si>
  <si>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</si>
  <si>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</si>
  <si>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</si>
  <si>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</si>
  <si>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</si>
  <si>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</si>
  <si>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</si>
  <si>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</si>
  <si>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</si>
  <si>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</si>
  <si>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</si>
  <si>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</si>
  <si>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</si>
  <si>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</si>
  <si>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</si>
  <si>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</si>
  <si>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</si>
  <si>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</si>
  <si>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</si>
  <si>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</si>
  <si>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</si>
  <si>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</si>
  <si>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</si>
  <si>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</si>
  <si>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</si>
  <si>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</si>
  <si>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</si>
  <si>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</si>
  <si>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</si>
  <si>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</si>
  <si>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</si>
  <si>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</si>
  <si>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</si>
  <si>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</si>
  <si>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</si>
  <si>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</si>
  <si>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</si>
  <si>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</si>
  <si>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</si>
  <si>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</si>
  <si>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</si>
  <si>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</si>
  <si>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</si>
  <si>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</si>
  <si>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</si>
  <si>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</si>
  <si>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</si>
  <si>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</si>
  <si>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</si>
  <si>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</si>
  <si>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</si>
  <si>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</si>
  <si>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</si>
  <si>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</si>
  <si>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</si>
  <si>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</si>
  <si>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</si>
  <si>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</si>
  <si>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</si>
  <si>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</si>
  <si>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</si>
  <si>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</si>
  <si>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</si>
  <si>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</si>
  <si>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</si>
  <si>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</si>
  <si>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</si>
  <si>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</si>
  <si>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</si>
  <si>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</si>
  <si>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</si>
  <si>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</si>
  <si>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</si>
  <si>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</si>
  <si>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</si>
  <si>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</si>
  <si>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</si>
  <si>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</si>
  <si>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</si>
  <si>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</si>
  <si>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</si>
  <si>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</si>
  <si>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</si>
  <si>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</si>
  <si>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</si>
  <si>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</si>
  <si>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</si>
  <si>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</si>
  <si>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</si>
  <si>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</si>
  <si>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</si>
  <si>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</si>
  <si>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</si>
  <si>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</si>
  <si>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</si>
  <si>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</si>
  <si>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</si>
  <si>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</si>
  <si>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</si>
  <si>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</si>
  <si>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</si>
  <si>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</si>
  <si>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</si>
  <si>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</si>
  <si>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</si>
  <si>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</si>
  <si>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</si>
  <si>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</si>
  <si>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</si>
  <si>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</si>
  <si>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</si>
  <si>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</si>
  <si>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</si>
  <si>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</si>
  <si>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</si>
  <si>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</si>
  <si>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</si>
  <si>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</si>
  <si>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</si>
  <si>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</si>
  <si>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</si>
  <si>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</si>
  <si>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</si>
  <si>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</si>
  <si>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</si>
  <si>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</si>
  <si>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</si>
  <si>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</si>
  <si>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</si>
  <si>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</si>
  <si>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</si>
  <si>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</si>
  <si>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</si>
  <si>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</si>
  <si>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</si>
  <si>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</si>
  <si>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</si>
  <si>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</si>
  <si>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</si>
  <si>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</si>
  <si>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</si>
  <si>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</si>
  <si>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</si>
  <si>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</si>
  <si>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</si>
  <si>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</si>
  <si>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</si>
  <si>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</si>
  <si>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</si>
  <si>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</si>
  <si>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</si>
  <si>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</si>
  <si>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</si>
  <si>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</si>
  <si>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</si>
  <si>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</si>
  <si>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</si>
  <si>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</si>
  <si>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</si>
  <si>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</si>
  <si>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</si>
  <si>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</si>
  <si>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</si>
  <si>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</si>
  <si>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</si>
  <si>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</si>
  <si>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</si>
  <si>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</si>
  <si>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</si>
  <si>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</si>
  <si>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</si>
  <si>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</si>
  <si>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</si>
  <si>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</si>
  <si>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</si>
  <si>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</si>
  <si>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</si>
  <si>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</si>
  <si>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</si>
  <si>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</si>
  <si>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</si>
  <si>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</si>
  <si>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</si>
  <si>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</si>
  <si>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</si>
  <si>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</si>
  <si>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</si>
  <si>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</si>
  <si>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</si>
  <si>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</si>
  <si>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</si>
  <si>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</si>
  <si>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</si>
  <si>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</si>
  <si>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</si>
  <si>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</si>
  <si>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</si>
  <si>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</si>
  <si>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</si>
  <si>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</si>
  <si>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</si>
  <si>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</si>
  <si>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</si>
  <si>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</si>
  <si>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</si>
  <si>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</si>
  <si>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</si>
  <si>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</si>
  <si>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</si>
  <si>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</si>
  <si>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</si>
  <si>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</si>
  <si>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</si>
  <si>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</si>
  <si>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</si>
  <si>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</si>
  <si>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</si>
  <si>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</si>
  <si>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</si>
  <si>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</si>
  <si>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</si>
  <si>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</si>
  <si>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</si>
  <si>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</si>
  <si>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</si>
  <si>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</si>
  <si>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</si>
  <si>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</si>
  <si>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</si>
  <si>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</si>
  <si>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</si>
  <si>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</si>
  <si>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</si>
  <si>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</si>
  <si>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</si>
  <si>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</si>
  <si>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</si>
  <si>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</si>
  <si>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</si>
  <si>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</si>
  <si>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</si>
  <si>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</si>
  <si>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</si>
  <si>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</si>
  <si>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</si>
  <si>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</si>
  <si>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</si>
  <si>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</si>
  <si>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</si>
  <si>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</si>
  <si>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</si>
  <si>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</si>
  <si>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</si>
  <si>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</si>
  <si>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</si>
  <si>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</si>
  <si>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</si>
  <si>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</si>
  <si>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</si>
  <si>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</si>
  <si>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</si>
  <si>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</si>
  <si>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</si>
  <si>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</si>
  <si>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</si>
  <si>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</si>
  <si>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</si>
  <si>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</si>
  <si>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</si>
  <si>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</si>
  <si>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</si>
  <si>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</si>
  <si>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</si>
  <si>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</si>
  <si>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</si>
  <si>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</si>
  <si>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</si>
  <si>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</si>
  <si>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</si>
  <si>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</si>
  <si>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</si>
  <si>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</si>
  <si>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</si>
  <si>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</si>
  <si>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</si>
  <si>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</si>
  <si>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</si>
  <si>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</si>
  <si>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</si>
  <si>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</si>
  <si>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</si>
  <si>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</si>
  <si>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</si>
  <si>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</si>
  <si>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</si>
  <si>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</si>
  <si>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</si>
  <si>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</si>
  <si>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</si>
  <si>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</si>
  <si>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</si>
  <si>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</si>
  <si>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</si>
  <si>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</si>
  <si>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</si>
  <si>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</si>
  <si>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</si>
  <si>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</si>
  <si>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</si>
  <si>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</si>
  <si>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</si>
  <si>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</si>
  <si>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</si>
  <si>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</si>
  <si>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</si>
  <si>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</si>
  <si>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</si>
  <si>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</si>
  <si>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</si>
  <si>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</si>
  <si>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</si>
  <si>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</si>
  <si>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</si>
  <si>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</si>
  <si>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</si>
  <si>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</si>
  <si>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</si>
  <si>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</si>
  <si>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</si>
  <si>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</si>
  <si>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</si>
  <si>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</si>
  <si>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</si>
  <si>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</si>
  <si>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</si>
  <si>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</si>
  <si>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</si>
  <si>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</si>
  <si>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</si>
  <si>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</si>
  <si>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</si>
  <si>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</si>
  <si>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</si>
  <si>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</si>
  <si>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</si>
  <si>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</si>
  <si>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</si>
  <si>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</si>
  <si>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</si>
  <si>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</si>
  <si>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</si>
  <si>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</si>
  <si>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</si>
  <si>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</si>
  <si>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</si>
  <si>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</si>
  <si>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</si>
  <si>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</si>
  <si>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</si>
  <si>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</si>
  <si>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</si>
  <si>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</si>
  <si>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</si>
  <si>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</si>
  <si>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</si>
  <si>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</si>
  <si>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</si>
  <si>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</si>
  <si>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</si>
  <si>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</si>
  <si>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</si>
  <si>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</si>
  <si>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</si>
  <si>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</si>
  <si>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</si>
  <si>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</si>
  <si>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</si>
  <si>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</si>
  <si>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</si>
  <si>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</si>
  <si>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</si>
  <si>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</si>
  <si>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</si>
  <si>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</si>
  <si>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</si>
  <si>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</si>
  <si>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</si>
  <si>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</si>
  <si>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</si>
  <si>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</si>
  <si>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</si>
  <si>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</si>
  <si>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</si>
  <si>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</si>
  <si>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</si>
  <si>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</si>
  <si>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</si>
  <si>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</si>
  <si>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</si>
  <si>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</si>
  <si>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</si>
  <si>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</si>
  <si>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</si>
  <si>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</si>
  <si>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</si>
  <si>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</si>
  <si>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</si>
  <si>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</si>
  <si>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</si>
  <si>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</si>
  <si>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</si>
  <si>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</si>
  <si>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</si>
  <si>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</si>
  <si>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</si>
  <si>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</si>
  <si>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</si>
  <si>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</si>
  <si>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</si>
  <si>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</si>
  <si>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</si>
  <si>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</si>
  <si>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</si>
  <si>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</si>
  <si>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</si>
  <si>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</si>
  <si>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</si>
  <si>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</si>
  <si>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</si>
  <si>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</si>
  <si>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</si>
  <si>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</si>
  <si>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</si>
  <si>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</si>
  <si>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</si>
  <si>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</si>
  <si>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</si>
  <si>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</si>
  <si>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</si>
  <si>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</si>
  <si>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</si>
  <si>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</si>
  <si>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</si>
  <si>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</si>
  <si>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</si>
  <si>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</si>
  <si>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</si>
  <si>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</si>
  <si>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</si>
  <si>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</si>
  <si>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</si>
  <si>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</si>
  <si>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</si>
  <si>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</si>
  <si>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</si>
  <si>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</si>
  <si>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</si>
  <si>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</si>
  <si>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</si>
  <si>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</si>
  <si>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</si>
  <si>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</si>
  <si>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</si>
  <si>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</si>
  <si>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</si>
  <si>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</si>
  <si>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</si>
  <si>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</si>
  <si>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</si>
  <si>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</si>
  <si>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</si>
  <si>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</si>
  <si>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</si>
  <si>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</si>
  <si>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</si>
  <si>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</si>
  <si>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</si>
  <si>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</si>
  <si>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</si>
  <si>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</si>
  <si>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</si>
  <si>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</si>
  <si>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</si>
  <si>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</si>
  <si>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</si>
  <si>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</si>
  <si>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</si>
  <si>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</si>
  <si>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</si>
  <si>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</si>
  <si>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</si>
  <si>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</si>
  <si>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</si>
  <si>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</si>
  <si>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</si>
  <si>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</si>
  <si>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</si>
  <si>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</si>
  <si>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</si>
  <si>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</si>
  <si>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</si>
  <si>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</si>
  <si>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</si>
  <si>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</si>
  <si>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</si>
  <si>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</si>
  <si>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</si>
  <si>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</si>
  <si>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</si>
  <si>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</si>
  <si>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</si>
  <si>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</si>
  <si>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</si>
  <si>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</si>
  <si>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</si>
  <si>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</si>
  <si>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</si>
  <si>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</si>
  <si>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</si>
  <si>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</si>
  <si>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</si>
  <si>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</si>
  <si>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</si>
  <si>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</si>
  <si>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</si>
  <si>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</si>
  <si>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</si>
  <si>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</si>
  <si>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</si>
  <si>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</si>
  <si>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</si>
  <si>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</si>
  <si>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</si>
  <si>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</si>
  <si>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</si>
  <si>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</si>
  <si>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</si>
  <si>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</si>
  <si>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</si>
  <si>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</si>
  <si>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</si>
  <si>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</si>
  <si>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</si>
  <si>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</si>
  <si>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</si>
  <si>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</si>
  <si>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</si>
  <si>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</si>
  <si>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</si>
  <si>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</si>
  <si>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</si>
  <si>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</si>
  <si>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</si>
  <si>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</si>
  <si>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</si>
  <si>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</si>
  <si>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</si>
  <si>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</si>
  <si>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</si>
  <si>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</si>
  <si>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</si>
  <si>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</si>
  <si>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</si>
  <si>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</si>
  <si>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</si>
  <si>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</si>
  <si>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</si>
  <si>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</si>
  <si>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</si>
  <si>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</si>
  <si>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</si>
  <si>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</si>
  <si>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</si>
  <si>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</si>
  <si>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</si>
  <si>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</si>
  <si>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</si>
  <si>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</si>
  <si>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</si>
  <si>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</si>
  <si>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</si>
  <si>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</si>
  <si>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</si>
  <si>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</si>
  <si>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</si>
  <si>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</si>
  <si>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</si>
  <si>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</si>
  <si>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</si>
  <si>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</si>
  <si>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</si>
  <si>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</si>
  <si>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</si>
  <si>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</si>
  <si>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</si>
  <si>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</si>
  <si>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</si>
  <si>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</si>
  <si>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</si>
  <si>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</si>
  <si>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</si>
  <si>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</si>
  <si>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</si>
  <si>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</si>
  <si>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</si>
  <si>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</si>
  <si>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</si>
  <si>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</si>
  <si>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</si>
  <si>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</si>
  <si>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</si>
  <si>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</si>
  <si>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</si>
  <si>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</si>
  <si>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</si>
  <si>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</si>
  <si>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</si>
  <si>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</si>
  <si>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</si>
  <si>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</si>
  <si>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</si>
  <si>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</si>
  <si>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</si>
  <si>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</si>
  <si>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</si>
  <si>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</si>
  <si>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</si>
  <si>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</si>
  <si>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</si>
  <si>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</si>
  <si>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</si>
  <si>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</si>
  <si>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</si>
  <si>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</si>
  <si>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</si>
  <si>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</si>
  <si>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</si>
  <si>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</si>
  <si>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</si>
  <si>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</si>
  <si>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</si>
  <si>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</si>
  <si>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</si>
  <si>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</si>
  <si>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</si>
  <si>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</si>
  <si>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</si>
  <si>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</si>
  <si>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</si>
  <si>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</si>
  <si>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</si>
  <si>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</si>
  <si>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</si>
  <si>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</si>
  <si>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</si>
  <si>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</si>
  <si>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</si>
  <si>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</si>
  <si>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</si>
  <si>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</si>
  <si>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</si>
  <si>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</si>
  <si>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</si>
  <si>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</si>
  <si>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</si>
  <si>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</si>
  <si>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</si>
  <si>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</si>
  <si>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</si>
  <si>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</si>
  <si>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</si>
  <si>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</si>
  <si>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</si>
  <si>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</si>
  <si>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</si>
  <si>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</si>
  <si>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</si>
  <si>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</si>
  <si>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</si>
  <si>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</si>
  <si>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</si>
  <si>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</si>
  <si>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</si>
  <si>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</si>
  <si>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</si>
  <si>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</si>
  <si>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</si>
  <si>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</si>
  <si>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</si>
  <si>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</si>
  <si>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</si>
  <si>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</si>
  <si>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</si>
  <si>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</si>
  <si>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</si>
  <si>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</si>
  <si>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</si>
  <si>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</si>
  <si>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</si>
  <si>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</si>
  <si>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</si>
  <si>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</si>
  <si>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</si>
  <si>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</si>
  <si>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</si>
  <si>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</si>
  <si>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</si>
  <si>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</si>
  <si>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</si>
  <si>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</si>
  <si>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</si>
  <si>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</si>
  <si>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</si>
  <si>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</si>
  <si>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</si>
  <si>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</si>
  <si>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</si>
  <si>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</si>
  <si>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</si>
  <si>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</si>
  <si>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</si>
  <si>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</si>
  <si>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</si>
  <si>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</si>
  <si>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</si>
  <si>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</si>
  <si>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</si>
  <si>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</si>
  <si>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</si>
  <si>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</si>
  <si>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</si>
  <si>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</si>
  <si>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</si>
  <si>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</si>
  <si>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</si>
  <si>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</si>
  <si>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</si>
  <si>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</si>
  <si>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</si>
  <si>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</si>
  <si>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</si>
  <si>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</si>
  <si>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</si>
  <si>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</si>
  <si>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</si>
  <si>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</si>
  <si>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</si>
  <si>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</si>
  <si>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</si>
  <si>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</si>
  <si>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</si>
  <si>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</si>
  <si>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</si>
  <si>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</si>
  <si>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</si>
  <si>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</si>
  <si>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</si>
  <si>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</si>
  <si>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</si>
  <si>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</si>
  <si>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</si>
  <si>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</si>
  <si>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</si>
  <si>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</si>
  <si>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</si>
  <si>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</si>
  <si>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</si>
  <si>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</si>
  <si>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</si>
  <si>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</si>
  <si>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</si>
  <si>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</si>
  <si>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</si>
  <si>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</si>
  <si>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</si>
  <si>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</si>
  <si>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</si>
  <si>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</si>
  <si>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</si>
  <si>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</si>
  <si>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</si>
  <si>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</si>
  <si>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</si>
  <si>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</si>
  <si>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</si>
  <si>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</si>
  <si>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</si>
  <si>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</si>
  <si>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</si>
  <si>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</si>
  <si>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</si>
  <si>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</si>
  <si>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</si>
  <si>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</si>
  <si>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</si>
  <si>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</si>
  <si>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</si>
  <si>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</si>
  <si>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</si>
  <si>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</si>
  <si>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</si>
  <si>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</si>
  <si>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</si>
  <si>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</si>
  <si>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</si>
  <si>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</si>
  <si>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</si>
  <si>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</si>
  <si>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</si>
  <si>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</si>
  <si>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</si>
  <si>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</si>
  <si>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</si>
  <si>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</si>
  <si>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</si>
  <si>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</si>
  <si>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</si>
  <si>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</si>
  <si>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</si>
  <si>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</si>
  <si>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</si>
  <si>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</si>
  <si>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</si>
  <si>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</si>
  <si>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</si>
  <si>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</si>
  <si>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</si>
  <si>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</si>
  <si>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</si>
  <si>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</si>
  <si>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</si>
  <si>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</si>
  <si>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</si>
  <si>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</si>
  <si>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</si>
  <si>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</si>
  <si>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</si>
  <si>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</si>
  <si>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</si>
  <si>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</si>
  <si>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</si>
  <si>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</si>
  <si>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</si>
  <si>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</si>
  <si>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</si>
  <si>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</si>
  <si>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</si>
  <si>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</si>
  <si>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</si>
  <si>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</si>
  <si>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</si>
  <si>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</si>
  <si>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</si>
  <si>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</si>
  <si>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</si>
  <si>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</si>
  <si>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</si>
  <si>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</si>
  <si>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</si>
  <si>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</si>
  <si>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</si>
  <si>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</si>
  <si>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</si>
  <si>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</si>
  <si>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</si>
  <si>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</si>
  <si>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</si>
  <si>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</si>
  <si>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</si>
  <si>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</si>
  <si>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</si>
  <si>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</si>
  <si>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</si>
  <si>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</si>
  <si>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</si>
  <si>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</si>
  <si>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</si>
  <si>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</si>
  <si>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</si>
  <si>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</si>
  <si>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</si>
  <si>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</si>
  <si>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</si>
  <si>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</si>
  <si>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</si>
  <si>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</si>
  <si>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</si>
  <si>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</si>
  <si>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</si>
  <si>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</si>
  <si>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</si>
  <si>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</si>
  <si>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</si>
  <si>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</si>
  <si>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</si>
  <si>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</si>
  <si>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</si>
  <si>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</si>
  <si>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</si>
  <si>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</si>
  <si>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</si>
  <si>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</si>
  <si>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</si>
  <si>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</si>
  <si>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</si>
  <si>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</si>
  <si>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</si>
  <si>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</si>
  <si>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</si>
  <si>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</si>
  <si>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</si>
  <si>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</si>
  <si>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</si>
  <si>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</si>
  <si>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</si>
  <si>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</si>
  <si>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</si>
  <si>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</si>
  <si>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</si>
  <si>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</si>
  <si>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</si>
  <si>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</si>
  <si>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</si>
  <si>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</si>
  <si>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</si>
  <si>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</si>
  <si>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</si>
  <si>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</si>
  <si>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</si>
  <si>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</si>
  <si>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</si>
  <si>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</si>
  <si>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</si>
  <si>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</si>
  <si>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</si>
  <si>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</si>
  <si>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</si>
  <si>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</si>
  <si>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</si>
  <si>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</si>
  <si>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</si>
  <si>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</si>
  <si>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</si>
  <si>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</si>
  <si>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</si>
  <si>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</si>
  <si>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</si>
  <si>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</si>
  <si>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</si>
  <si>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</si>
  <si>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</si>
  <si>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</si>
  <si>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</si>
  <si>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</si>
  <si>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</si>
  <si>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</si>
  <si>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</si>
  <si>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</si>
  <si>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</si>
  <si>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</si>
  <si>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</si>
  <si>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</si>
  <si>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</si>
  <si>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</si>
  <si>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</si>
  <si>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</si>
  <si>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</si>
  <si>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</si>
  <si>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</si>
  <si>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</si>
  <si>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</si>
  <si>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</si>
  <si>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</si>
  <si>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</si>
  <si>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</si>
  <si>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</si>
  <si>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</si>
  <si>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</si>
  <si>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</si>
  <si>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</si>
  <si>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</si>
  <si>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</si>
  <si>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</si>
  <si>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</si>
  <si>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</si>
  <si>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</si>
  <si>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</si>
  <si>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</si>
  <si>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</si>
  <si>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</si>
  <si>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</si>
  <si>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</si>
  <si>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</si>
  <si>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</si>
  <si>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</si>
  <si>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</si>
  <si>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</si>
  <si>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</si>
  <si>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</si>
  <si>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</si>
  <si>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</si>
  <si>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</si>
  <si>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</si>
  <si>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</si>
  <si>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</si>
  <si>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</si>
  <si>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</si>
  <si>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</si>
  <si>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</si>
  <si>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</si>
  <si>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</si>
  <si>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</si>
  <si>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</si>
  <si>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</si>
  <si>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</si>
  <si>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</si>
  <si>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</si>
  <si>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</si>
  <si>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</si>
  <si>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</si>
  <si>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</si>
  <si>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</si>
  <si>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</si>
  <si>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</si>
  <si>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</si>
  <si>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</si>
  <si>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</si>
  <si>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</si>
  <si>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</si>
  <si>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</si>
  <si>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</si>
  <si>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</si>
  <si>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</si>
  <si>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</si>
  <si>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</si>
  <si>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</si>
  <si>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</si>
  <si>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</si>
  <si>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</si>
  <si>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</si>
  <si>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</si>
  <si>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</si>
  <si>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</si>
  <si>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</si>
  <si>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</si>
  <si>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</si>
  <si>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</si>
  <si>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</si>
  <si>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</si>
  <si>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</si>
  <si>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</si>
  <si>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</si>
  <si>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</si>
  <si>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</si>
  <si>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</si>
  <si>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</si>
  <si>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</si>
  <si>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</si>
  <si>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</si>
  <si>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</si>
  <si>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</si>
  <si>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</si>
  <si>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</si>
  <si>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</si>
  <si>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</si>
  <si>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</si>
  <si>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</si>
  <si>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</si>
  <si>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</si>
  <si>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</si>
  <si>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</si>
  <si>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</si>
  <si>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</si>
  <si>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</si>
  <si>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</si>
  <si>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</si>
  <si>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</si>
  <si>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</si>
  <si>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</si>
  <si>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</si>
  <si>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</si>
  <si>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</si>
  <si>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</si>
  <si>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</si>
  <si>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</si>
  <si>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</si>
  <si>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</si>
  <si>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</si>
  <si>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</si>
  <si>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</si>
  <si>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</si>
  <si>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</si>
  <si>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</si>
  <si>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</si>
  <si>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</si>
  <si>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</si>
  <si>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</si>
  <si>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</si>
  <si>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</si>
  <si>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</si>
  <si>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</si>
  <si>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</si>
  <si>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</si>
  <si>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</si>
  <si>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</si>
  <si>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</si>
  <si>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</si>
  <si>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</si>
  <si>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</si>
  <si>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</si>
  <si>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</si>
  <si>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</si>
  <si>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</si>
  <si>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</si>
  <si>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</si>
  <si>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</si>
  <si>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1|3-1</t>
  </si>
  <si>
    <t>1|1-0</t>
  </si>
  <si>
    <t>1|2-1</t>
  </si>
  <si>
    <t>2|1-3</t>
  </si>
  <si>
    <t>X|2-2</t>
  </si>
  <si>
    <t>X|1-1</t>
  </si>
  <si>
    <t>1|4-0</t>
  </si>
  <si>
    <t>1|2-0</t>
  </si>
  <si>
    <t>1|3-0</t>
  </si>
  <si>
    <t>2|1-2</t>
  </si>
  <si>
    <t>2|0-2</t>
  </si>
  <si>
    <t>1|4-1</t>
  </si>
  <si>
    <t>2|0-1</t>
  </si>
  <si>
    <t>Erling Haaland</t>
  </si>
  <si>
    <t>Lamine Yamal</t>
  </si>
  <si>
    <t>Vitinha</t>
  </si>
  <si>
    <t>Mbappe</t>
  </si>
  <si>
    <t>Pedri</t>
  </si>
  <si>
    <t>CRESPO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</si>
</sst>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2"/>
                <c:pt idx="0">
                  <c:v>Pegar Valores (J1)</c:v>
                </c:pt>
                <c:pt idx="1">
                  <c:v>1|3-1</c:v>
                </c:pt>
              </c:strCache>
            </c:strRef>
          </c:cat>
          <c:val>
            <c:numRef>
              <c:f>Stats!$I$8:$I$31</c:f>
              <c:numCache>
                <c:formatCode>General</c:formatCode>
                <c:ptCount val="24"/>
                <c:pt idx="0">
                  <c:v>4</c:v>
                </c:pt>
                <c:pt idx="1">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2"/>
                <c:pt idx="0">
                  <c:v>Pegar Valores (J1)</c:v>
                </c:pt>
                <c:pt idx="1">
                  <c:v>1|3-1</c:v>
                </c:pt>
              </c:strCache>
            </c:strRef>
          </c:cat>
          <c:val>
            <c:numRef>
              <c:f>Stats!$J$8:$J$31</c:f>
              <c:numCache>
                <c:formatCode>General</c:formatCode>
                <c:ptCount val="24"/>
                <c:pt idx="0">
                  <c:v>0</c:v>
                </c:pt>
                <c:pt idx="1">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2"/>
                <c:pt idx="0">
                  <c:v>Pegar Valores (J1)</c:v>
                </c:pt>
                <c:pt idx="1">
                  <c:v>1|3-1</c:v>
                </c:pt>
              </c:strCache>
            </c:strRef>
          </c:cat>
          <c:val>
            <c:numRef>
              <c:f>Stats!$K$8:$K$31</c:f>
              <c:numCache>
                <c:formatCode>General</c:formatCode>
                <c:ptCount val="24"/>
                <c:pt idx="0">
                  <c:v>0</c:v>
                </c:pt>
                <c:pt idx="1">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36"/>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1</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7" sqref="C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W6" sqref="AW6"/>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Empate</v>
      </c>
      <c r="E6" s="756" t="str">
        <f t="shared" ca="1" si="1"/>
        <v>P.3 (2)</v>
      </c>
      <c r="F6" s="756" t="str">
        <f t="shared" ca="1" si="2"/>
        <v>P.3 (2)</v>
      </c>
      <c r="G6" s="756"/>
      <c r="H6" s="756" t="str">
        <f t="shared" ca="1" si="3"/>
        <v>P.3 (2)</v>
      </c>
      <c r="I6" s="756" t="str">
        <f t="shared" ca="1" si="4"/>
        <v>P.3 (2)</v>
      </c>
      <c r="J6" s="756"/>
      <c r="K6" s="756" t="str">
        <f t="shared" ca="1" si="5"/>
        <v>P.3 (2)</v>
      </c>
      <c r="L6" s="756" t="str">
        <f t="shared" ca="1" si="6"/>
        <v>P.3 (2)</v>
      </c>
      <c r="M6" s="756"/>
      <c r="N6" s="756" t="str">
        <f t="shared" ca="1" si="7"/>
        <v>P.3 (2)</v>
      </c>
      <c r="O6" s="756" t="str">
        <f t="shared" ca="1" si="8"/>
        <v>P.3 (2)</v>
      </c>
      <c r="P6" s="756"/>
      <c r="Q6" s="756" t="str">
        <f t="shared" ca="1" si="9"/>
        <v>P.3 (2)</v>
      </c>
      <c r="R6" s="756" t="str">
        <f t="shared" ca="1" si="10"/>
        <v>P.3 (2)</v>
      </c>
      <c r="S6" s="756"/>
      <c r="T6" s="756" t="str">
        <f t="shared" ca="1" si="11"/>
        <v>P.3 (2)</v>
      </c>
      <c r="U6" s="756" t="str">
        <f t="shared" ca="1" si="12"/>
        <v>P.3 (2)</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1</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6</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1</v>
      </c>
      <c r="BF7" s="760">
        <f t="shared" ref="BF7:BF53" ca="1" si="26">+BG7+BH7+BI7</f>
        <v>2</v>
      </c>
      <c r="BG7" s="760">
        <f t="shared" ca="1" si="17"/>
        <v>0</v>
      </c>
      <c r="BH7" s="760">
        <f t="shared" ca="1" si="18"/>
        <v>1</v>
      </c>
      <c r="BI7" s="760">
        <f t="shared" ca="1" si="19"/>
        <v>1</v>
      </c>
      <c r="BJ7" s="760">
        <f t="shared" ca="1" si="20"/>
        <v>1</v>
      </c>
      <c r="BK7" s="760">
        <f t="shared" ca="1" si="21"/>
        <v>3</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1</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1</v>
      </c>
      <c r="BW7" s="770">
        <f ca="1">IF($BT7="-","-",COUNTIFS(FGLocal,$BD7,Ganador,"Visitante",Part1Empate1V,$BT7)+COUNTIFS(FGVisitante,$BD7,Ganador,"Local",Part1Empate1L,$BT7))</f>
        <v>0</v>
      </c>
      <c r="BX7" s="770">
        <f ca="1">IF($BT7="-","-",BU7*3+BV7)</f>
        <v>1</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1</v>
      </c>
      <c r="CB7" s="770">
        <f ca="1">IF($BZ7="-","-",SUMIFS(FG_GolesVisitante,FGLocal,$BD7,Part1Empate2V,$BZ7)+SUMIFS(FG_GolesLocal,FGVisitante,$BD7,Part1Empate2L,$BZ7))</f>
        <v>1</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1</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1</v>
      </c>
      <c r="CK7" s="770">
        <f ca="1">IF($CH7="-","-",COUNTIFS(FGLocal,$BD7,Ganador,"Visitante",Part2Empate4V,$CH7)+COUNTIFS(FGVisitante,$BD7,Ganador,"Local",Part2Empate4L,$CH7))</f>
        <v>0</v>
      </c>
      <c r="CL7" s="770">
        <f ca="1">IF($CH7="-","-",CI7*3+CJ7)</f>
        <v>1</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1</v>
      </c>
      <c r="CP7" s="770">
        <f ca="1">IF($CN7="-","-",SUMIFS(FG_GolesVisitante,FGLocal,$BD7,Part2Empate5V,$CN7)+SUMIFS(FG_GolesLocal,FGVisitante,$BD7,Part2Empate5L,$CN7))</f>
        <v>1</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1</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6</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c r="AD8" s="200"/>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1</v>
      </c>
      <c r="AN8" s="230">
        <f t="shared" ca="1" si="16"/>
        <v>2</v>
      </c>
      <c r="AO8" s="230">
        <f t="shared" ca="1" si="16"/>
        <v>0</v>
      </c>
      <c r="AP8" s="230">
        <f t="shared" ca="1" si="16"/>
        <v>1</v>
      </c>
      <c r="AQ8" s="230">
        <f t="shared" ca="1" si="16"/>
        <v>1</v>
      </c>
      <c r="AR8" s="230">
        <f t="shared" ca="1" si="16"/>
        <v>2</v>
      </c>
      <c r="AS8" s="230">
        <f t="shared" ca="1" si="16"/>
        <v>3</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6</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c r="AD9" s="239"/>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1</v>
      </c>
      <c r="AN9" s="244">
        <f t="shared" ca="1" si="16"/>
        <v>2</v>
      </c>
      <c r="AO9" s="244">
        <f t="shared" ca="1" si="16"/>
        <v>0</v>
      </c>
      <c r="AP9" s="244">
        <f t="shared" ca="1" si="16"/>
        <v>1</v>
      </c>
      <c r="AQ9" s="244">
        <f t="shared" ca="1" si="16"/>
        <v>1</v>
      </c>
      <c r="AR9" s="244">
        <f t="shared" ca="1" si="16"/>
        <v>1</v>
      </c>
      <c r="AS9" s="244">
        <f t="shared" ca="1" si="16"/>
        <v>3</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1</v>
      </c>
      <c r="BF9" s="760">
        <f t="shared" ca="1" si="26"/>
        <v>2</v>
      </c>
      <c r="BG9" s="760">
        <f t="shared" ca="1" si="17"/>
        <v>0</v>
      </c>
      <c r="BH9" s="760">
        <f t="shared" ca="1" si="18"/>
        <v>1</v>
      </c>
      <c r="BI9" s="760">
        <f t="shared" ca="1" si="19"/>
        <v>1</v>
      </c>
      <c r="BJ9" s="760">
        <f t="shared" ca="1" si="20"/>
        <v>2</v>
      </c>
      <c r="BK9" s="760">
        <f t="shared" ca="1" si="21"/>
        <v>3</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1</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1</v>
      </c>
      <c r="BW9" s="770">
        <f ca="1">IF($BT9="-","-",COUNTIFS(FGLocal,$BD9,Ganador,"Visitante",Part1Empate1V,$BT9)+COUNTIFS(FGVisitante,$BD9,Ganador,"Local",Part1Empate1L,$BT9))</f>
        <v>0</v>
      </c>
      <c r="BX9" s="770">
        <f ca="1">IF($BT9="-","-",BU9*3+BV9)</f>
        <v>1</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1</v>
      </c>
      <c r="CB9" s="770">
        <f ca="1">IF($BZ9="-","-",SUMIFS(FG_GolesVisitante,FGLocal,$BD9,Part1Empate2V,$BZ9)+SUMIFS(FG_GolesLocal,FGVisitante,$BD9,Part1Empate2L,$BZ9))</f>
        <v>1</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1</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1</v>
      </c>
      <c r="CK9" s="770">
        <f ca="1">IF($CH9="-","-",COUNTIFS(FGLocal,$BD9,Ganador,"Visitante",Part2Empate4V,$CH9)+COUNTIFS(FGVisitante,$BD9,Ganador,"Local",Part2Empate4L,$CH9))</f>
        <v>0</v>
      </c>
      <c r="CL9" s="770">
        <f ca="1">IF($CH9="-","-",CI9*3+CJ9)</f>
        <v>1</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1</v>
      </c>
      <c r="CP9" s="770">
        <f ca="1">IF($CN9="-","-",SUMIFS(FG_GolesVisitante,FGLocal,$BD9,Part2Empate5V,$CN9)+SUMIFS(FG_GolesLocal,FGVisitante,$BD9,Part2Empate5L,$CN9))</f>
        <v>1</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1</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6</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0</v>
      </c>
      <c r="BF10" s="760">
        <f t="shared" ca="1" si="26"/>
        <v>0</v>
      </c>
      <c r="BG10" s="760">
        <f t="shared" ca="1" si="17"/>
        <v>0</v>
      </c>
      <c r="BH10" s="760">
        <f t="shared" ca="1" si="18"/>
        <v>0</v>
      </c>
      <c r="BI10" s="760">
        <f t="shared" ca="1" si="19"/>
        <v>0</v>
      </c>
      <c r="BJ10" s="760">
        <f t="shared" ca="1" si="20"/>
        <v>0</v>
      </c>
      <c r="BK10" s="760">
        <f t="shared" ca="1" si="21"/>
        <v>0</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0</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(4)</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0</v>
      </c>
      <c r="BW10" s="770">
        <f t="shared" ref="BW10:BW53" ca="1" si="38">IF($BT10="-","-",COUNTIFS(FGLocal,$BD10,Ganador,"Visitante",Part1Empate1V,$BT10)+COUNTIFS(FGVisitante,$BD10,Ganador,"Local",Part1Empate1L,$BT10))</f>
        <v>0</v>
      </c>
      <c r="BX10" s="770">
        <f t="shared" ref="BX10:BX53" ca="1" si="39">IF($BT10="-","-",BU10*3+BV10)</f>
        <v>0</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(4)</v>
      </c>
      <c r="CA10" s="770">
        <f t="shared" ref="CA10:CA53" ca="1" si="40">IF($BZ10="-","-",SUMIFS(FG_GolesLocal,FGLocal,$BD10,Part1Empate2V,$BZ10)+SUMIFS(FG_GolesVisitante,FGVisitante,$BD10,Part1Empate2L,$BZ10))</f>
        <v>0</v>
      </c>
      <c r="CB10" s="770">
        <f t="shared" ref="CB10:CB53" ca="1" si="41">IF($BZ10="-","-",SUMIFS(FG_GolesVisitante,FGLocal,$BD10,Part1Empate2V,$BZ10)+SUMIFS(FG_GolesLocal,FGVisitante,$BD10,Part1Empate2L,$BZ10))</f>
        <v>0</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(4)</v>
      </c>
      <c r="CF10" s="770">
        <f t="shared" ref="CF10:CF53" ca="1" si="43">IF($CE10="-","-",SUMIFS(FG_GolesLocal,FGLocal,$BD10,Part1Empate3V,$CE10)+SUMIFS(FG_GolesVisitante,FGVisitante,$BD10,Part1Empate3L,$CE10))</f>
        <v>0</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(4)</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0</v>
      </c>
      <c r="CK10" s="770">
        <f t="shared" ref="CK10:CK53" ca="1" si="46">IF($CH10="-","-",COUNTIFS(FGLocal,$BD10,Ganador,"Visitante",Part2Empate4V,$CH10)+COUNTIFS(FGVisitante,$BD10,Ganador,"Local",Part2Empate4L,$CH10))</f>
        <v>0</v>
      </c>
      <c r="CL10" s="770">
        <f t="shared" ref="CL10:CL53" ca="1" si="47">IF($CH10="-","-",CI10*3+CJ10)</f>
        <v>0</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(4)</v>
      </c>
      <c r="CO10" s="770">
        <f t="shared" ref="CO10:CO53" ca="1" si="48">IF($CN10="-","-",SUMIFS(FG_GolesLocal,FGLocal,$BD10,Part2Empate5V,$CN10)+SUMIFS(FG_GolesVisitante,FGVisitante,$BD10,Part2Empate5L,$CN10))</f>
        <v>0</v>
      </c>
      <c r="CP10" s="770">
        <f t="shared" ref="CP10:CP53" ca="1" si="49">IF($CN10="-","-",SUMIFS(FG_GolesVisitante,FGLocal,$BD10,Part2Empate5V,$CN10)+SUMIFS(FG_GolesLocal,FGVisitante,$BD10,Part2Empate5L,$CN10))</f>
        <v>0</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(4)</v>
      </c>
      <c r="CT10" s="770">
        <f t="shared" ref="CT10:CT53" ca="1" si="51">IF($CS10="-","-",SUMIFS(FG_GolesLocal,FGLocal,$BD10,Part2Empate6V,$CS10)+SUMIFS(FG_GolesVisitante,FGVisitante,$BD10,Part2Empate6L,$CS10))</f>
        <v>0</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(4)</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(4)</v>
      </c>
      <c r="CZ10" s="769">
        <f t="shared" ca="1" si="31"/>
        <v>0</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(4)</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0</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0</v>
      </c>
      <c r="BF11" s="760">
        <f t="shared" ca="1" si="26"/>
        <v>0</v>
      </c>
      <c r="BG11" s="760">
        <f t="shared" ca="1" si="17"/>
        <v>0</v>
      </c>
      <c r="BH11" s="760">
        <f t="shared" ca="1" si="18"/>
        <v>0</v>
      </c>
      <c r="BI11" s="760">
        <f t="shared" ca="1" si="19"/>
        <v>0</v>
      </c>
      <c r="BJ11" s="760">
        <f t="shared" ca="1" si="20"/>
        <v>0</v>
      </c>
      <c r="BK11" s="760">
        <f t="shared" ca="1" si="21"/>
        <v>0</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0</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(4)</v>
      </c>
      <c r="BU11" s="770">
        <f t="shared" ca="1" si="36"/>
        <v>0</v>
      </c>
      <c r="BV11" s="770">
        <f t="shared" ca="1" si="37"/>
        <v>0</v>
      </c>
      <c r="BW11" s="770">
        <f t="shared" ca="1" si="38"/>
        <v>0</v>
      </c>
      <c r="BX11" s="770">
        <f t="shared" ca="1" si="39"/>
        <v>0</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(4)</v>
      </c>
      <c r="CA11" s="770">
        <f t="shared" ca="1" si="40"/>
        <v>0</v>
      </c>
      <c r="CB11" s="770">
        <f t="shared" ca="1" si="41"/>
        <v>0</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(4)</v>
      </c>
      <c r="CF11" s="770">
        <f t="shared" ca="1" si="43"/>
        <v>0</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(4)</v>
      </c>
      <c r="CI11" s="770">
        <f t="shared" ca="1" si="44"/>
        <v>0</v>
      </c>
      <c r="CJ11" s="770">
        <f t="shared" ca="1" si="45"/>
        <v>0</v>
      </c>
      <c r="CK11" s="770">
        <f t="shared" ca="1" si="46"/>
        <v>0</v>
      </c>
      <c r="CL11" s="770">
        <f t="shared" ca="1" si="47"/>
        <v>0</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(4)</v>
      </c>
      <c r="CO11" s="770">
        <f t="shared" ca="1" si="48"/>
        <v>0</v>
      </c>
      <c r="CP11" s="770">
        <f t="shared" ca="1" si="49"/>
        <v>0</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(4)</v>
      </c>
      <c r="CT11" s="770">
        <f t="shared" ca="1" si="51"/>
        <v>0</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(4)</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(4)</v>
      </c>
      <c r="CZ11" s="769">
        <f t="shared" ca="1" si="31"/>
        <v>0</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(4)</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0</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Pendiente</v>
      </c>
      <c r="E12" s="756" t="str">
        <f t="shared" ref="E12:E17" si="55">IF(D12="Pendiente","-",INDEX($BT$6:$BT$53,MATCH($AA12,$BD$6:$BD$53,0)))</f>
        <v>-</v>
      </c>
      <c r="F12" s="756" t="str">
        <f t="shared" ref="F12:F17" si="56">IF(D12="Pendiente","-",INDEX($BT$6:$BT$53,MATCH($AF12,$BD$6:$BD$53,0)))</f>
        <v>-</v>
      </c>
      <c r="G12" s="756"/>
      <c r="H12" s="756" t="str">
        <f t="shared" ref="H12:H17" si="57">IF(D12="Pendiente","-",INDEX($BZ$6:$BZ$53,MATCH($AA12,$BD$6:$BD$53,0)))</f>
        <v>-</v>
      </c>
      <c r="I12" s="756" t="str">
        <f t="shared" ref="I12:I17" si="58">IF(D12="Pendiente","-",INDEX($BZ$6:$BZ$53,MATCH($AF12,$BD$6:$BD$53,0)))</f>
        <v>-</v>
      </c>
      <c r="J12" s="756"/>
      <c r="K12" s="756" t="str">
        <f t="shared" ref="K12:K17" si="59">IF(D12="Pendiente","-",INDEX($CE$6:$CE$53,MATCH($AA12,$BD$6:$BD$53,0)))</f>
        <v>-</v>
      </c>
      <c r="L12" s="756" t="str">
        <f t="shared" ref="L12:L17" si="60">IF(D12="Pendiente","-",INDEX($CE$6:$CE$53,MATCH($AF12,$BD$6:$BD$53,0)))</f>
        <v>-</v>
      </c>
      <c r="M12" s="756"/>
      <c r="N12" s="756" t="str">
        <f t="shared" ref="N12:N17" si="61">IF(D12="Pendiente","-",INDEX($CH$6:$CH$53,MATCH($AA12,$BD$6:$BD$53,0)))</f>
        <v>-</v>
      </c>
      <c r="O12" s="756" t="str">
        <f t="shared" ref="O12:O17" si="62">IF(D12="Pendiente","-",INDEX($CH$6:$CH$53,MATCH($AF12,$BD$6:$BD$53,0)))</f>
        <v>-</v>
      </c>
      <c r="P12" s="756"/>
      <c r="Q12" s="756" t="str">
        <f t="shared" ref="Q12:Q17" si="63">IF(D12="Pendiente","-",INDEX($CN$6:$CN$53,MATCH($AA12,$BD$6:$BD$53,0)))</f>
        <v>-</v>
      </c>
      <c r="R12" s="756" t="str">
        <f t="shared" ref="R12:R17" si="64">IF(D12="Pendiente","-",INDEX($CN$6:$CN$53,MATCH($AF12,$BD$6:$BD$53,0)))</f>
        <v>-</v>
      </c>
      <c r="S12" s="756"/>
      <c r="T12" s="756" t="str">
        <f t="shared" ref="T12:T17" si="65">IF(D12="Pendiente","-",INDEX($CS$6:$CS$53,MATCH($AA12,$BD$6:$BD$53,0)))</f>
        <v>-</v>
      </c>
      <c r="U12" s="756" t="str">
        <f t="shared" ref="U12:U17" si="66">IF(D12="Pendiente","-",INDEX($CS$6:$CS$53,MATCH($AF12,$BD$6:$BD$53,0)))</f>
        <v>-</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0</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1</v>
      </c>
      <c r="BT12" s="769" t="str">
        <f ca="1">IF(COUNTIFS($BS$6:$BS$53,BS12,$BC$6:$BC$53,INDEX(T_Equipos[Grupo],MATCH(BD12,T_Equipos[NombreEquipo],0)))=1,"-","P."&amp;BS12&amp;" ("&amp;COUNTIFS($BS$6:$BS$53,BS12,$BC$6:$BC$53,INDEX(T_Equipos[Grupo],MATCH(BD12,T_Equipos[NombreEquipo],0)))&amp;")")</f>
        <v>P.1 (4)</v>
      </c>
      <c r="BU12" s="770">
        <f t="shared" ca="1" si="36"/>
        <v>0</v>
      </c>
      <c r="BV12" s="770">
        <f t="shared" ca="1" si="37"/>
        <v>0</v>
      </c>
      <c r="BW12" s="770">
        <f t="shared" ca="1" si="38"/>
        <v>0</v>
      </c>
      <c r="BX12" s="770">
        <f t="shared" ca="1" si="39"/>
        <v>0</v>
      </c>
      <c r="BY12" s="770">
        <f ca="1">BS12+COUNTIFS($BT$6:$BT$53,BT12,$BX$6:BX$53,"&gt;"&amp;BX12,$BC$6:$BC$53,INDEX(T_Equipos[Grupo],MATCH(BD12,T_Equipos[NombreEquipo],0)))</f>
        <v>1</v>
      </c>
      <c r="BZ12" s="769" t="str">
        <f ca="1">IF(COUNTIFS($BY$6:$BY$53,BY12,$BC$6:$BC$53,INDEX(T_Equipos[Grupo],MATCH(BD12,T_Equipos[NombreEquipo],0)))=1,"-","P."&amp;BY12&amp;" ("&amp;COUNTIFS($BY$6:$BY$53,BY12,$BC$6:$BC$53,INDEX(T_Equipos[Grupo],MATCH(BD12,T_Equipos[NombreEquipo],0)))&amp;")")</f>
        <v>P.1 (4)</v>
      </c>
      <c r="CA12" s="770">
        <f t="shared" ca="1" si="40"/>
        <v>0</v>
      </c>
      <c r="CB12" s="770">
        <f t="shared" ca="1" si="41"/>
        <v>0</v>
      </c>
      <c r="CC12" s="770">
        <f t="shared" ca="1" si="42"/>
        <v>0</v>
      </c>
      <c r="CD12" s="770">
        <f ca="1">BY12+COUNTIFS($BZ$6:$BZ$53,BZ12,$CC$6:CC$53,"&gt;"&amp;CC12,$BC$6:$BC$53,INDEX(T_Equipos[Grupo],MATCH(BD12,T_Equipos[NombreEquipo],0)))</f>
        <v>1</v>
      </c>
      <c r="CE12" s="769" t="str">
        <f ca="1">IF(COUNTIFS($CD$6:$CD$53,CD12,$BC$6:$BC$53,INDEX(T_Equipos[Grupo],MATCH(BD12,T_Equipos[NombreEquipo],0)))=1,"-","P."&amp;CD12&amp;" ("&amp;COUNTIFS($CD$6:$CD$53,CD12,$BC$6:$BC$53,INDEX(T_Equipos[Grupo],MATCH(BD12,T_Equipos[NombreEquipo],0)))&amp;")")</f>
        <v>P.1 (4)</v>
      </c>
      <c r="CF12" s="770">
        <f t="shared" ca="1" si="43"/>
        <v>0</v>
      </c>
      <c r="CG12" s="770">
        <f ca="1">CD12+COUNTIFS($CE$6:$CE$53,CE12,$CF$6:CF$53,"&gt;"&amp;CF12,$BC$6:$BC$53,INDEX(T_Equipos[Grupo],MATCH(BD12,T_Equipos[NombreEquipo],0)))</f>
        <v>1</v>
      </c>
      <c r="CH12" s="769" t="str">
        <f ca="1">IF(COUNTIFS($CG$6:$CG$53,CG12,$BC$6:$BC$53,INDEX(T_Equipos[Grupo],MATCH(BD12,T_Equipos[NombreEquipo],0)))=1,"-","P."&amp;CG12&amp;" ("&amp;COUNTIFS($CG$6:$CG$53,CG12,$BC$6:$BC$53,INDEX(T_Equipos[Grupo],MATCH(BD12,T_Equipos[NombreEquipo],0)))&amp;")")</f>
        <v>P.1 (4)</v>
      </c>
      <c r="CI12" s="770">
        <f t="shared" ca="1" si="44"/>
        <v>0</v>
      </c>
      <c r="CJ12" s="770">
        <f t="shared" ca="1" si="45"/>
        <v>0</v>
      </c>
      <c r="CK12" s="770">
        <f t="shared" ca="1" si="46"/>
        <v>0</v>
      </c>
      <c r="CL12" s="770">
        <f t="shared" ca="1" si="47"/>
        <v>0</v>
      </c>
      <c r="CM12" s="770">
        <f ca="1">CG12+COUNTIFS($CH$6:$CH$53,CH12,$CL$6:CL$53,"&gt;"&amp;CL12,$BC$6:$BC$53,INDEX(T_Equipos[Grupo],MATCH(BD12,T_Equipos[NombreEquipo],0)))</f>
        <v>1</v>
      </c>
      <c r="CN12" s="769" t="str">
        <f ca="1">IF(COUNTIFS($CM$6:$CM$53,CM12,$BC$6:$BC$53,INDEX(T_Equipos[Grupo],MATCH(BD12,T_Equipos[NombreEquipo],0)))=1,"-","P."&amp;CM12&amp;" ("&amp;COUNTIFS($CM$6:$CM$53,CM12,$BC$6:$BC$53,INDEX(T_Equipos[Grupo],MATCH(BD12,T_Equipos[NombreEquipo],0)))&amp;")")</f>
        <v>P.1 (4)</v>
      </c>
      <c r="CO12" s="770">
        <f t="shared" ca="1" si="48"/>
        <v>0</v>
      </c>
      <c r="CP12" s="770">
        <f t="shared" ca="1" si="49"/>
        <v>0</v>
      </c>
      <c r="CQ12" s="770">
        <f t="shared" ca="1" si="50"/>
        <v>0</v>
      </c>
      <c r="CR12" s="770">
        <f ca="1">CM12+COUNTIFS($CN$6:$CN$53,CN12,$CQ$6:CQ$53,"&gt;"&amp;CQ12,$BC$6:$BC$53,INDEX(T_Equipos[Grupo],MATCH(BD12,T_Equipos[NombreEquipo],0)))</f>
        <v>1</v>
      </c>
      <c r="CS12" s="769" t="str">
        <f ca="1">IF(COUNTIFS($CR$6:$CR$53,CR12,$BC$6:$BC$53,INDEX(T_Equipos[Grupo],MATCH(BD12,T_Equipos[NombreEquipo],0)))=1,"-","P."&amp;CR12&amp;" ("&amp;COUNTIFS($CR$6:$CR$53,CR12,$BC$6:$BC$53,INDEX(T_Equipos[Grupo],MATCH(BD12,T_Equipos[NombreEquipo],0)))&amp;")")</f>
        <v>P.1 (4)</v>
      </c>
      <c r="CT12" s="770">
        <f t="shared" ca="1" si="51"/>
        <v>0</v>
      </c>
      <c r="CU12" s="770">
        <f ca="1">CR12+COUNTIFS($CS$6:$CS$53,CS12,$CT$6:CT$53,"&gt;"&amp;CT12,$BC$6:$BC$53,INDEX(T_Equipos[Grupo],MATCH(BD12,T_Equipos[NombreEquipo],0)))</f>
        <v>1</v>
      </c>
      <c r="CV12" s="769" t="str">
        <f ca="1">IF(COUNTIFS($CU$6:$CU$53,CU12,$BC$6:$BC$53,INDEX(T_Equipos[Grupo],MATCH(BD12,T_Equipos[NombreEquipo],0)))=1,"-","P."&amp;CU12&amp;" ("&amp;COUNTIFS($CU$6:$CU$53,CU12,$BC$6:$BC$53,INDEX(T_Equipos[Grupo],MATCH(BD12,T_Equipos[NombreEquipo],0)))&amp;")")</f>
        <v>P.1 (4)</v>
      </c>
      <c r="CW12" s="769">
        <f t="shared" ca="1" si="30"/>
        <v>0</v>
      </c>
      <c r="CX12" s="769">
        <f ca="1">CU12+COUNTIFS($CV$6:$CV$53,CV12,$CW$6:CW$53,"&gt;"&amp;CW12,$BC$6:$BC$53,INDEX(T_Equipos[Grupo],MATCH(BD12,T_Equipos[NombreEquipo],0)))</f>
        <v>1</v>
      </c>
      <c r="CY12" s="769" t="str">
        <f ca="1">IF(COUNTIFS($CX$6:$CX$53,CX12,$BC$6:$BC$53,INDEX(T_Equipos[Grupo],MATCH(BD12,T_Equipos[NombreEquipo],0)))=1,"-","P."&amp;CX12&amp;" ("&amp;COUNTIFS($CX$6:$CX$53,CX12,$BC$6:$BC$53,INDEX(T_Equipos[Grupo],MATCH(BD12,T_Equipos[NombreEquipo],0)))&amp;")")</f>
        <v>P.1 (4)</v>
      </c>
      <c r="CZ12" s="769">
        <f t="shared" ca="1" si="31"/>
        <v>0</v>
      </c>
      <c r="DA12" s="770">
        <f ca="1">CX12+COUNTIFS($CY$6:$CY$53,CY12,$CZ$6:CZ$53,"&gt;"&amp;CZ12,$BC$6:$BC$53,INDEX(T_Equipos[Grupo],MATCH(BD12,T_Equipos[NombreEquipo],0)))</f>
        <v>1</v>
      </c>
      <c r="DB12" s="769" t="str">
        <f ca="1">IF(COUNTIFS($DA$6:$DA$53,DA12,$BC$6:$BC$53,INDEX(T_Equipos[Grupo],MATCH(BD12,T_Equipos[NombreEquipo],0)))=1,"-","P."&amp;DA12&amp;" ("&amp;COUNTIFS($DA$6:$DA$53,DA12,$BC$6:$BC$53,INDEX(T_Equipos[Grupo],MATCH(BD12,T_Equipos[NombreEquipo],0)))&amp;")")</f>
        <v>P.1 (4)</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1</v>
      </c>
      <c r="DK12" s="756">
        <f t="shared" ca="1" si="24"/>
        <v>0</v>
      </c>
      <c r="DL12" s="756">
        <f t="shared" ca="1" si="33"/>
        <v>1</v>
      </c>
      <c r="DM12" s="750" t="str">
        <f t="shared" ca="1" si="34"/>
        <v>1.1</v>
      </c>
      <c r="DN12" s="756" cm="1">
        <f t="array" aca="1" ref="DN12" ca="1">OFFSET(Horarios!$P$3,DJ12-1,0,DL12,1)</f>
        <v>1</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P.1 (4)</v>
      </c>
      <c r="BU13" s="770">
        <f t="shared" ca="1" si="36"/>
        <v>0</v>
      </c>
      <c r="BV13" s="770">
        <f t="shared" ca="1" si="37"/>
        <v>0</v>
      </c>
      <c r="BW13" s="770">
        <f t="shared" ca="1" si="38"/>
        <v>0</v>
      </c>
      <c r="BX13" s="770">
        <f t="shared" ca="1" si="39"/>
        <v>0</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P.1 (4)</v>
      </c>
      <c r="CA13" s="770">
        <f t="shared" ca="1" si="40"/>
        <v>0</v>
      </c>
      <c r="CB13" s="770">
        <f t="shared" ca="1" si="41"/>
        <v>0</v>
      </c>
      <c r="CC13" s="770">
        <f t="shared" ca="1" si="42"/>
        <v>0</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P.1 (4)</v>
      </c>
      <c r="CF13" s="770">
        <f t="shared" ca="1" si="43"/>
        <v>0</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P.1 (4)</v>
      </c>
      <c r="CI13" s="770">
        <f t="shared" ca="1" si="44"/>
        <v>0</v>
      </c>
      <c r="CJ13" s="770">
        <f t="shared" ca="1" si="45"/>
        <v>0</v>
      </c>
      <c r="CK13" s="770">
        <f t="shared" ca="1" si="46"/>
        <v>0</v>
      </c>
      <c r="CL13" s="770">
        <f t="shared" ca="1" si="47"/>
        <v>0</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P.1 (4)</v>
      </c>
      <c r="CO13" s="770">
        <f t="shared" ca="1" si="48"/>
        <v>0</v>
      </c>
      <c r="CP13" s="770">
        <f t="shared" ca="1" si="49"/>
        <v>0</v>
      </c>
      <c r="CQ13" s="770">
        <f t="shared" ca="1" si="50"/>
        <v>0</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P.1 (4)</v>
      </c>
      <c r="CT13" s="770">
        <f t="shared" ca="1" si="51"/>
        <v>0</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P.1 (4)</v>
      </c>
      <c r="CW13" s="769">
        <f t="shared" ca="1" si="30"/>
        <v>0</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P.1 (4)</v>
      </c>
      <c r="CZ13" s="769">
        <f t="shared" ca="1" si="31"/>
        <v>0</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P.1 (4)</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1</v>
      </c>
      <c r="DK13" s="756">
        <f t="shared" ca="1" si="24"/>
        <v>0</v>
      </c>
      <c r="DL13" s="756">
        <f t="shared" ca="1" si="33"/>
        <v>1</v>
      </c>
      <c r="DM13" s="750" t="str">
        <f t="shared" ca="1" si="34"/>
        <v>1.1</v>
      </c>
      <c r="DN13" s="756" cm="1">
        <f t="array" aca="1" ref="DN13" ca="1">OFFSET(Horarios!$P$3,DJ13-1,0,DL13,1)</f>
        <v>1</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0</v>
      </c>
      <c r="AN14" s="220">
        <f t="shared" ca="1" si="71"/>
        <v>0</v>
      </c>
      <c r="AO14" s="220">
        <f t="shared" ca="1" si="71"/>
        <v>0</v>
      </c>
      <c r="AP14" s="220">
        <f t="shared" ca="1" si="71"/>
        <v>0</v>
      </c>
      <c r="AQ14" s="220">
        <f t="shared" ca="1" si="71"/>
        <v>0</v>
      </c>
      <c r="AR14" s="220">
        <f t="shared" ca="1" si="71"/>
        <v>0</v>
      </c>
      <c r="AS14" s="220">
        <f t="shared" ca="1" si="71"/>
        <v>0</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0</v>
      </c>
      <c r="AN15" s="230">
        <f t="shared" ca="1" si="71"/>
        <v>0</v>
      </c>
      <c r="AO15" s="230">
        <f t="shared" ca="1" si="71"/>
        <v>0</v>
      </c>
      <c r="AP15" s="230">
        <f t="shared" ca="1" si="71"/>
        <v>0</v>
      </c>
      <c r="AQ15" s="230">
        <f t="shared" ca="1" si="71"/>
        <v>0</v>
      </c>
      <c r="AR15" s="230">
        <f t="shared" ca="1" si="71"/>
        <v>0</v>
      </c>
      <c r="AS15" s="230">
        <f t="shared" ca="1" si="71"/>
        <v>0</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c r="AD16" s="200"/>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c r="AD17" s="239"/>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c r="AD24" s="200"/>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c r="AD25" s="239"/>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c r="AD38" s="200"/>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c r="AD39" s="200"/>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c r="AD40" s="200"/>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c r="AD41" s="239"/>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c r="AD46" s="200"/>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c r="AD47" s="200"/>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c r="AD54" s="200"/>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c r="AD55" s="200"/>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1</v>
      </c>
      <c r="BF58" s="760">
        <f ca="1">+BG58+BH58+BI58</f>
        <v>2</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1</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60">
        <f ca="1">BJ58-BK58</f>
        <v>-1</v>
      </c>
      <c r="BM58" s="760">
        <f ca="1">CB58</f>
        <v>1</v>
      </c>
      <c r="BN58" s="760">
        <f ca="1">CF58</f>
        <v>1</v>
      </c>
      <c r="BO58" s="750" t="str">
        <f>"4"&amp;BC58</f>
        <v>4A</v>
      </c>
      <c r="BP58" s="750"/>
      <c r="BQ58" s="750"/>
      <c r="BR58" s="760">
        <f t="shared" ref="BR58:BR69" ca="1" si="179">+BE58</f>
        <v>1</v>
      </c>
      <c r="BS58" s="760">
        <f ca="1">COUNTIFS(BR$58:BR$69,"&gt;"&amp;BR58)+1</f>
        <v>1</v>
      </c>
      <c r="BT58" s="760" t="str">
        <f ca="1">IF(COUNTIF(BS$58:BS$69,BS58)=1,"-","Pos. "&amp;BS58&amp;" ("&amp;COUNTIF(BS$58:BS$69,BS58)&amp;")")</f>
        <v>-</v>
      </c>
      <c r="BU58" s="760" t="str">
        <f t="shared" ref="BU58:BU69" ca="1" si="180">IF(BT58="-","-",BL58)</f>
        <v>-</v>
      </c>
      <c r="BV58" s="760">
        <f t="shared" ref="BV58:BV69" ca="1" si="181">BS58+COUNTIFS(BT$58:BT$69,BT58,BU$58:BU$69,"&gt;"&amp;BU58)</f>
        <v>1</v>
      </c>
      <c r="BW58" s="760" t="str">
        <f t="shared" ref="BW58:BW69" ca="1" si="182">IF(COUNTIF(BV$58:BV$69,BV58)=1,"-","Pos. "&amp;BV58&amp;" ("&amp;COUNTIF(BV$58:BV$69,BV58)&amp;")")</f>
        <v>-</v>
      </c>
      <c r="BX58" s="760" t="str">
        <f t="shared" ref="BX58:BX69" ca="1" si="183">IF(BW58="-","-",BJ58)</f>
        <v>-</v>
      </c>
      <c r="BY58" s="760">
        <f t="shared" ref="BY58:BY69" ca="1" si="184">BV58+COUNTIFS(BW$58:BW$69,BW58,BX$58:BX$69,"&gt;"&amp;BX58)</f>
        <v>1</v>
      </c>
      <c r="BZ58" s="760" t="str">
        <f t="shared" ref="BZ58:BZ69" ca="1" si="185">IF(COUNTIF(BY$58:BY$69,BY58)=1,"-","Pos. "&amp;BY58&amp;" ("&amp;COUNTIF(BY$58:BY$69,BY58)&amp;")")</f>
        <v>-</v>
      </c>
      <c r="CA58" s="760" t="str">
        <f ca="1">IF(BZ58="-","-",COUNTIF($BD$58:$BD$69,"&gt;"&amp;BD58))</f>
        <v>-</v>
      </c>
      <c r="CB58" s="760">
        <f ca="1">BY58+COUNTIFS(BZ$58:BZ$69,BZ58,CA$58:CA$69,"&gt;"&amp;CA58)</f>
        <v>1</v>
      </c>
      <c r="CC58" s="760"/>
      <c r="CD58" s="760">
        <f ca="1">IF(OR(INDEX($AW$102:$AW$113,MATCH($BD58,$AV$102:$AV$113,0))="",BZ58="-"),CB58,INDEX($AW$102:$AW$113,MATCH($BD58,$AV$102:$AV$113,0))+CB58/1000)</f>
        <v>1</v>
      </c>
      <c r="CE58" s="760" t="str">
        <f ca="1">IF(BZ58="-","-",COUNTIF(CD$58:CD$69,"&lt;"&amp;CD58))</f>
        <v>-</v>
      </c>
      <c r="CF58" s="760">
        <f ca="1">BY58+COUNTIFS(BZ$58:BZ$69,BZ58,CE$58:CE$69,"&lt;"&amp;CE58)</f>
        <v>1</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República Checa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5</v>
      </c>
      <c r="BN59" s="760">
        <f t="shared" ref="BN59:BN69" ca="1" si="195">CF59</f>
        <v>5</v>
      </c>
      <c r="BO59" s="750" t="str">
        <f t="shared" ref="BO59:BO69" si="196">"4"&amp;BC59</f>
        <v>4B</v>
      </c>
      <c r="BP59" s="750"/>
      <c r="BQ59" s="750"/>
      <c r="BR59" s="760">
        <f t="shared" ca="1" si="179"/>
        <v>0</v>
      </c>
      <c r="BS59" s="760">
        <f t="shared" ref="BS59:BS69" ca="1" si="197">COUNTIFS(BR$58:BR$69,"&gt;"&amp;BR59)+1</f>
        <v>2</v>
      </c>
      <c r="BT59" s="760" t="str">
        <f t="shared" ref="BT59:BT69" ca="1" si="198">IF(COUNTIF(BS$58:BS$69,BS59)=1,"-","Pos. "&amp;BS59&amp;" ("&amp;COUNTIF(BS$58:BS$69,BS59)&amp;")")</f>
        <v>Pos. 2 (11)</v>
      </c>
      <c r="BU59" s="760">
        <f t="shared" ca="1" si="180"/>
        <v>0</v>
      </c>
      <c r="BV59" s="760">
        <f t="shared" ca="1" si="181"/>
        <v>2</v>
      </c>
      <c r="BW59" s="760" t="str">
        <f t="shared" ca="1" si="182"/>
        <v>Pos. 2 (11)</v>
      </c>
      <c r="BX59" s="760">
        <f t="shared" ca="1" si="183"/>
        <v>0</v>
      </c>
      <c r="BY59" s="760">
        <f t="shared" ca="1" si="184"/>
        <v>2</v>
      </c>
      <c r="BZ59" s="760" t="str">
        <f t="shared" ca="1" si="185"/>
        <v>Pos. 2 (11)</v>
      </c>
      <c r="CA59" s="760">
        <f t="shared" ref="CA59:CA69" ca="1" si="199">IF(BZ59="-","-",COUNTIF($BD$58:$BD$69,"&gt;"&amp;BD59))</f>
        <v>8</v>
      </c>
      <c r="CB59" s="760">
        <f t="shared" ref="CB59:CB68" ca="1" si="200">BY59+COUNTIFS(BZ$58:BZ$69,BZ59,CA$58:CA$69,"&gt;"&amp;CA59)</f>
        <v>5</v>
      </c>
      <c r="CC59" s="760"/>
      <c r="CD59" s="760">
        <f t="shared" ref="CD59:CD69" ca="1" si="201">IF(OR(INDEX($AW$102:$AW$113,MATCH($BD59,$AV$102:$AV$113,0))="",BZ59="-"),CB59,INDEX($AW$102:$AW$113,MATCH($BD59,$AV$102:$AV$113,0))+CB59/1000)</f>
        <v>5</v>
      </c>
      <c r="CE59" s="760">
        <f t="shared" ref="CE59:CE69" ca="1" si="202">IF(BZ59="-","-",COUNTIF(CD$58:CD$69,"&lt;"&amp;CD59))</f>
        <v>4</v>
      </c>
      <c r="CF59" s="760">
        <f t="shared" ref="CF59:CF69" ca="1" si="203">BY59+COUNTIFS(BZ$58:BZ$69,BZ59,CE$58:CE$69,"&lt;"&amp;CE59)</f>
        <v>5</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2</v>
      </c>
      <c r="DK59" s="756"/>
      <c r="DL59" s="756">
        <f t="shared" ref="DL59:DL69" ca="1" si="204">IF(OR($H$113=144,$AJ$99=144),COUNTIF($DJ$58:$DJ$69,DJ59),1)</f>
        <v>1</v>
      </c>
      <c r="DM59" s="750" t="str">
        <f t="shared" ca="1" si="187"/>
        <v>2.1</v>
      </c>
      <c r="DN59" s="756" cm="1">
        <f t="array" aca="1" ref="DN59" ca="1">OFFSET(Horarios!$P$3,DJ59-1,0,DL59,1)</f>
        <v>2</v>
      </c>
      <c r="DO59" s="756"/>
      <c r="DP59" s="756">
        <v>2</v>
      </c>
      <c r="DQ59" s="756" t="str">
        <f t="shared" ref="DQ59:DQ69" ca="1" si="205">INDEX($BD$58:$BD$69,MATCH(DP59,$BM$58:$BM$69,0))</f>
        <v>Arabia Saudita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8</v>
      </c>
      <c r="BN60" s="760">
        <f t="shared" ca="1" si="195"/>
        <v>8</v>
      </c>
      <c r="BO60" s="750" t="str">
        <f t="shared" si="196"/>
        <v>4C</v>
      </c>
      <c r="BP60" s="750"/>
      <c r="BQ60" s="750"/>
      <c r="BR60" s="760">
        <f t="shared" ca="1" si="179"/>
        <v>0</v>
      </c>
      <c r="BS60" s="760">
        <f t="shared" ca="1" si="197"/>
        <v>2</v>
      </c>
      <c r="BT60" s="760" t="str">
        <f t="shared" ca="1" si="198"/>
        <v>Pos. 2 (11)</v>
      </c>
      <c r="BU60" s="760">
        <f t="shared" ca="1" si="180"/>
        <v>0</v>
      </c>
      <c r="BV60" s="760">
        <f t="shared" ca="1" si="181"/>
        <v>2</v>
      </c>
      <c r="BW60" s="760" t="str">
        <f t="shared" ca="1" si="182"/>
        <v>Pos. 2 (11)</v>
      </c>
      <c r="BX60" s="760">
        <f t="shared" ca="1" si="183"/>
        <v>0</v>
      </c>
      <c r="BY60" s="760">
        <f t="shared" ca="1" si="184"/>
        <v>2</v>
      </c>
      <c r="BZ60" s="760" t="str">
        <f t="shared" ca="1" si="185"/>
        <v>Pos. 2 (11)</v>
      </c>
      <c r="CA60" s="760">
        <f t="shared" ca="1" si="199"/>
        <v>5</v>
      </c>
      <c r="CB60" s="760">
        <f t="shared" ca="1" si="200"/>
        <v>8</v>
      </c>
      <c r="CC60" s="760"/>
      <c r="CD60" s="760">
        <f t="shared" ca="1" si="201"/>
        <v>8</v>
      </c>
      <c r="CE60" s="760">
        <f t="shared" ca="1" si="202"/>
        <v>7</v>
      </c>
      <c r="CF60" s="760">
        <f t="shared" ca="1" si="203"/>
        <v>8</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2</v>
      </c>
      <c r="DK60" s="756"/>
      <c r="DL60" s="756">
        <f t="shared" ca="1" si="204"/>
        <v>1</v>
      </c>
      <c r="DM60" s="750" t="str">
        <f t="shared" ca="1" si="187"/>
        <v>2.1</v>
      </c>
      <c r="DN60" s="756" cm="1">
        <f t="array" aca="1" ref="DN60" ca="1">OFFSET(Horarios!$P$3,DJ60-1,0,DL60,1)</f>
        <v>2</v>
      </c>
      <c r="DO60" s="756"/>
      <c r="DP60" s="756">
        <v>3</v>
      </c>
      <c r="DQ60" s="756" t="str">
        <f t="shared" ca="1" si="205"/>
        <v>Australia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3</v>
      </c>
      <c r="BN61" s="760">
        <f t="shared" ca="1" si="195"/>
        <v>3</v>
      </c>
      <c r="BO61" s="750" t="str">
        <f t="shared" si="196"/>
        <v>4D</v>
      </c>
      <c r="BP61" s="750"/>
      <c r="BQ61" s="750"/>
      <c r="BR61" s="760">
        <f t="shared" ca="1" si="179"/>
        <v>0</v>
      </c>
      <c r="BS61" s="760">
        <f t="shared" ca="1" si="197"/>
        <v>2</v>
      </c>
      <c r="BT61" s="760" t="str">
        <f t="shared" ca="1" si="198"/>
        <v>Pos. 2 (11)</v>
      </c>
      <c r="BU61" s="760">
        <f t="shared" ca="1" si="180"/>
        <v>0</v>
      </c>
      <c r="BV61" s="760">
        <f t="shared" ca="1" si="181"/>
        <v>2</v>
      </c>
      <c r="BW61" s="760" t="str">
        <f t="shared" ca="1" si="182"/>
        <v>Pos. 2 (11)</v>
      </c>
      <c r="BX61" s="760">
        <f t="shared" ca="1" si="183"/>
        <v>0</v>
      </c>
      <c r="BY61" s="760">
        <f t="shared" ca="1" si="184"/>
        <v>2</v>
      </c>
      <c r="BZ61" s="760" t="str">
        <f t="shared" ca="1" si="185"/>
        <v>Pos. 2 (11)</v>
      </c>
      <c r="CA61" s="760">
        <f t="shared" ca="1" si="199"/>
        <v>10</v>
      </c>
      <c r="CB61" s="760">
        <f t="shared" ca="1" si="200"/>
        <v>3</v>
      </c>
      <c r="CC61" s="760"/>
      <c r="CD61" s="760">
        <f t="shared" ca="1" si="201"/>
        <v>3</v>
      </c>
      <c r="CE61" s="760">
        <f t="shared" ca="1" si="202"/>
        <v>2</v>
      </c>
      <c r="CF61" s="760">
        <f t="shared" ca="1" si="203"/>
        <v>3</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2</v>
      </c>
      <c r="DK61" s="756"/>
      <c r="DL61" s="756">
        <f t="shared" ca="1" si="204"/>
        <v>1</v>
      </c>
      <c r="DM61" s="750" t="str">
        <f t="shared" ca="1" si="187"/>
        <v>2.1</v>
      </c>
      <c r="DN61" s="756" cm="1">
        <f t="array" aca="1" ref="DN61" ca="1">OFFSET(Horarios!$P$3,DJ61-1,0,DL61,1)</f>
        <v>2</v>
      </c>
      <c r="DO61" s="756"/>
      <c r="DP61" s="756">
        <v>4</v>
      </c>
      <c r="DQ61" s="756" t="str">
        <f t="shared" ca="1" si="205"/>
        <v>Austria</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c r="AD62" s="200"/>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6</v>
      </c>
      <c r="BN62" s="760">
        <f t="shared" ca="1" si="195"/>
        <v>6</v>
      </c>
      <c r="BO62" s="750" t="str">
        <f t="shared" si="196"/>
        <v>4E</v>
      </c>
      <c r="BP62" s="750"/>
      <c r="BQ62" s="750"/>
      <c r="BR62" s="760">
        <f t="shared" ca="1" si="179"/>
        <v>0</v>
      </c>
      <c r="BS62" s="760">
        <f t="shared" ca="1" si="197"/>
        <v>2</v>
      </c>
      <c r="BT62" s="760" t="str">
        <f t="shared" ca="1" si="198"/>
        <v>Pos. 2 (11)</v>
      </c>
      <c r="BU62" s="760">
        <f t="shared" ca="1" si="180"/>
        <v>0</v>
      </c>
      <c r="BV62" s="760">
        <f t="shared" ca="1" si="181"/>
        <v>2</v>
      </c>
      <c r="BW62" s="760" t="str">
        <f t="shared" ca="1" si="182"/>
        <v>Pos. 2 (11)</v>
      </c>
      <c r="BX62" s="760">
        <f t="shared" ca="1" si="183"/>
        <v>0</v>
      </c>
      <c r="BY62" s="760">
        <f t="shared" ca="1" si="184"/>
        <v>2</v>
      </c>
      <c r="BZ62" s="760" t="str">
        <f t="shared" ca="1" si="185"/>
        <v>Pos. 2 (11)</v>
      </c>
      <c r="CA62" s="760">
        <f t="shared" ca="1" si="199"/>
        <v>7</v>
      </c>
      <c r="CB62" s="760">
        <f t="shared" ca="1" si="200"/>
        <v>6</v>
      </c>
      <c r="CC62" s="760"/>
      <c r="CD62" s="760">
        <f t="shared" ca="1" si="201"/>
        <v>6</v>
      </c>
      <c r="CE62" s="760">
        <f t="shared" ca="1" si="202"/>
        <v>5</v>
      </c>
      <c r="CF62" s="760">
        <f t="shared" ca="1" si="203"/>
        <v>6</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2</v>
      </c>
      <c r="DK62" s="756"/>
      <c r="DL62" s="756">
        <f t="shared" ca="1" si="204"/>
        <v>1</v>
      </c>
      <c r="DM62" s="750" t="str">
        <f t="shared" ca="1" si="187"/>
        <v>2.1</v>
      </c>
      <c r="DN62" s="756" cm="1">
        <f t="array" aca="1" ref="DN62" ca="1">OFFSET(Horarios!$P$3,DJ62-1,0,DL62,1)</f>
        <v>2</v>
      </c>
      <c r="DO62" s="756"/>
      <c r="DP62" s="756">
        <v>5</v>
      </c>
      <c r="DQ62" s="756" t="str">
        <f t="shared" ca="1" si="205"/>
        <v>Catar</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c r="AD63" s="200"/>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11</v>
      </c>
      <c r="BN63" s="760">
        <f t="shared" ca="1" si="195"/>
        <v>11</v>
      </c>
      <c r="BO63" s="750" t="str">
        <f t="shared" si="196"/>
        <v>4F</v>
      </c>
      <c r="BP63" s="750"/>
      <c r="BQ63" s="750"/>
      <c r="BR63" s="760">
        <f t="shared" ca="1" si="179"/>
        <v>0</v>
      </c>
      <c r="BS63" s="760">
        <f t="shared" ca="1" si="197"/>
        <v>2</v>
      </c>
      <c r="BT63" s="760" t="str">
        <f t="shared" ca="1" si="198"/>
        <v>Pos. 2 (11)</v>
      </c>
      <c r="BU63" s="760">
        <f t="shared" ca="1" si="180"/>
        <v>0</v>
      </c>
      <c r="BV63" s="760">
        <f t="shared" ca="1" si="181"/>
        <v>2</v>
      </c>
      <c r="BW63" s="760" t="str">
        <f t="shared" ca="1" si="182"/>
        <v>Pos. 2 (11)</v>
      </c>
      <c r="BX63" s="760">
        <f t="shared" ca="1" si="183"/>
        <v>0</v>
      </c>
      <c r="BY63" s="760">
        <f t="shared" ca="1" si="184"/>
        <v>2</v>
      </c>
      <c r="BZ63" s="760" t="str">
        <f t="shared" ca="1" si="185"/>
        <v>Pos. 2 (11)</v>
      </c>
      <c r="CA63" s="760">
        <f t="shared" ca="1" si="199"/>
        <v>1</v>
      </c>
      <c r="CB63" s="760">
        <f t="shared" ca="1" si="200"/>
        <v>11</v>
      </c>
      <c r="CC63" s="760"/>
      <c r="CD63" s="760">
        <f t="shared" ca="1" si="201"/>
        <v>11</v>
      </c>
      <c r="CE63" s="760">
        <f t="shared" ca="1" si="202"/>
        <v>10</v>
      </c>
      <c r="CF63" s="760">
        <f t="shared" ca="1" si="203"/>
        <v>11</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2</v>
      </c>
      <c r="DK63" s="756"/>
      <c r="DL63" s="756">
        <f t="shared" ca="1" si="204"/>
        <v>1</v>
      </c>
      <c r="DM63" s="750" t="str">
        <f t="shared" ca="1" si="187"/>
        <v>2.1</v>
      </c>
      <c r="DN63" s="756" cm="1">
        <f t="array" aca="1" ref="DN63" ca="1">OFFSET(Horarios!$P$3,DJ63-1,0,DL63,1)</f>
        <v>2</v>
      </c>
      <c r="DO63" s="756"/>
      <c r="DP63" s="756">
        <v>6</v>
      </c>
      <c r="DQ63" s="756" t="str">
        <f t="shared" ca="1" si="205"/>
        <v>Costa de Marfil</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10</v>
      </c>
      <c r="BN64" s="760">
        <f t="shared" ca="1" si="195"/>
        <v>10</v>
      </c>
      <c r="BO64" s="750" t="str">
        <f t="shared" si="196"/>
        <v>4G</v>
      </c>
      <c r="BP64" s="750"/>
      <c r="BQ64" s="750"/>
      <c r="BR64" s="760">
        <f t="shared" ca="1" si="179"/>
        <v>0</v>
      </c>
      <c r="BS64" s="760">
        <f t="shared" ca="1" si="197"/>
        <v>2</v>
      </c>
      <c r="BT64" s="760" t="str">
        <f t="shared" ca="1" si="198"/>
        <v>Pos. 2 (11)</v>
      </c>
      <c r="BU64" s="760">
        <f t="shared" ca="1" si="180"/>
        <v>0</v>
      </c>
      <c r="BV64" s="760">
        <f t="shared" ca="1" si="181"/>
        <v>2</v>
      </c>
      <c r="BW64" s="760" t="str">
        <f t="shared" ca="1" si="182"/>
        <v>Pos. 2 (11)</v>
      </c>
      <c r="BX64" s="760">
        <f t="shared" ca="1" si="183"/>
        <v>0</v>
      </c>
      <c r="BY64" s="760">
        <f t="shared" ca="1" si="184"/>
        <v>2</v>
      </c>
      <c r="BZ64" s="760" t="str">
        <f t="shared" ca="1" si="185"/>
        <v>Pos. 2 (11)</v>
      </c>
      <c r="CA64" s="760">
        <f t="shared" ca="1" si="199"/>
        <v>3</v>
      </c>
      <c r="CB64" s="760">
        <f t="shared" ca="1" si="200"/>
        <v>10</v>
      </c>
      <c r="CC64" s="760"/>
      <c r="CD64" s="760">
        <f t="shared" ca="1" si="201"/>
        <v>10</v>
      </c>
      <c r="CE64" s="760">
        <f t="shared" ca="1" si="202"/>
        <v>9</v>
      </c>
      <c r="CF64" s="760">
        <f t="shared" ca="1" si="203"/>
        <v>10</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2</v>
      </c>
      <c r="DK64" s="756"/>
      <c r="DL64" s="756">
        <f t="shared" ca="1" si="204"/>
        <v>1</v>
      </c>
      <c r="DM64" s="750" t="str">
        <f t="shared" ca="1" si="187"/>
        <v>2.1</v>
      </c>
      <c r="DN64" s="756" cm="1">
        <f t="array" aca="1" ref="DN64" ca="1">OFFSET(Horarios!$P$3,DJ64-1,0,DL64,1)</f>
        <v>2</v>
      </c>
      <c r="DO64" s="756"/>
      <c r="DP64" s="756">
        <v>7</v>
      </c>
      <c r="DQ64" s="756" t="str">
        <f t="shared" ca="1" si="205"/>
        <v>Ghana</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2</v>
      </c>
      <c r="BN65" s="760">
        <f t="shared" ca="1" si="195"/>
        <v>2</v>
      </c>
      <c r="BO65" s="750" t="str">
        <f t="shared" si="196"/>
        <v>4H</v>
      </c>
      <c r="BP65" s="750"/>
      <c r="BQ65" s="750"/>
      <c r="BR65" s="760">
        <f t="shared" ca="1" si="179"/>
        <v>0</v>
      </c>
      <c r="BS65" s="760">
        <f t="shared" ca="1" si="197"/>
        <v>2</v>
      </c>
      <c r="BT65" s="760" t="str">
        <f t="shared" ca="1" si="198"/>
        <v>Pos. 2 (11)</v>
      </c>
      <c r="BU65" s="760">
        <f t="shared" ca="1" si="180"/>
        <v>0</v>
      </c>
      <c r="BV65" s="760">
        <f t="shared" ca="1" si="181"/>
        <v>2</v>
      </c>
      <c r="BW65" s="760" t="str">
        <f t="shared" ca="1" si="182"/>
        <v>Pos. 2 (11)</v>
      </c>
      <c r="BX65" s="760">
        <f t="shared" ca="1" si="183"/>
        <v>0</v>
      </c>
      <c r="BY65" s="760">
        <f t="shared" ca="1" si="184"/>
        <v>2</v>
      </c>
      <c r="BZ65" s="760" t="str">
        <f t="shared" ca="1" si="185"/>
        <v>Pos. 2 (11)</v>
      </c>
      <c r="CA65" s="760">
        <f t="shared" ca="1" si="199"/>
        <v>11</v>
      </c>
      <c r="CB65" s="760">
        <f t="shared" ca="1" si="200"/>
        <v>2</v>
      </c>
      <c r="CC65" s="760"/>
      <c r="CD65" s="760">
        <f t="shared" ca="1" si="201"/>
        <v>2</v>
      </c>
      <c r="CE65" s="760">
        <f t="shared" ca="1" si="202"/>
        <v>1</v>
      </c>
      <c r="CF65" s="760">
        <f t="shared" ca="1" si="203"/>
        <v>2</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2</v>
      </c>
      <c r="DK65" s="756"/>
      <c r="DL65" s="756">
        <f t="shared" ca="1" si="204"/>
        <v>1</v>
      </c>
      <c r="DM65" s="750" t="str">
        <f t="shared" ca="1" si="187"/>
        <v>2.1</v>
      </c>
      <c r="DN65" s="756" cm="1">
        <f t="array" aca="1" ref="DN65" ca="1">OFFSET(Horarios!$P$3,DJ65-1,0,DL65,1)</f>
        <v>2</v>
      </c>
      <c r="DO65" s="756"/>
      <c r="DP65" s="756">
        <v>8</v>
      </c>
      <c r="DQ65" s="756" t="str">
        <f t="shared" ca="1" si="205"/>
        <v>Haití</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9</v>
      </c>
      <c r="BN66" s="760">
        <f t="shared" ca="1" si="195"/>
        <v>9</v>
      </c>
      <c r="BO66" s="750" t="str">
        <f t="shared" si="196"/>
        <v>4I</v>
      </c>
      <c r="BP66" s="750"/>
      <c r="BQ66" s="750"/>
      <c r="BR66" s="760">
        <f t="shared" ca="1" si="179"/>
        <v>0</v>
      </c>
      <c r="BS66" s="760">
        <f t="shared" ca="1" si="197"/>
        <v>2</v>
      </c>
      <c r="BT66" s="760" t="str">
        <f t="shared" ca="1" si="198"/>
        <v>Pos. 2 (11)</v>
      </c>
      <c r="BU66" s="760">
        <f t="shared" ca="1" si="180"/>
        <v>0</v>
      </c>
      <c r="BV66" s="760">
        <f t="shared" ca="1" si="181"/>
        <v>2</v>
      </c>
      <c r="BW66" s="760" t="str">
        <f t="shared" ca="1" si="182"/>
        <v>Pos. 2 (11)</v>
      </c>
      <c r="BX66" s="760">
        <f t="shared" ca="1" si="183"/>
        <v>0</v>
      </c>
      <c r="BY66" s="760">
        <f t="shared" ca="1" si="184"/>
        <v>2</v>
      </c>
      <c r="BZ66" s="760" t="str">
        <f t="shared" ca="1" si="185"/>
        <v>Pos. 2 (11)</v>
      </c>
      <c r="CA66" s="760">
        <f t="shared" ca="1" si="199"/>
        <v>4</v>
      </c>
      <c r="CB66" s="760">
        <f t="shared" ca="1" si="200"/>
        <v>9</v>
      </c>
      <c r="CC66" s="760"/>
      <c r="CD66" s="760">
        <f t="shared" ca="1" si="201"/>
        <v>9</v>
      </c>
      <c r="CE66" s="760">
        <f t="shared" ca="1" si="202"/>
        <v>8</v>
      </c>
      <c r="CF66" s="760">
        <f t="shared" ca="1" si="203"/>
        <v>9</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2</v>
      </c>
      <c r="DK66" s="756"/>
      <c r="DL66" s="756">
        <f t="shared" ca="1" si="204"/>
        <v>1</v>
      </c>
      <c r="DM66" s="750" t="str">
        <f t="shared" ca="1" si="187"/>
        <v>2.1</v>
      </c>
      <c r="DN66" s="756" cm="1">
        <f t="array" aca="1" ref="DN66" ca="1">OFFSET(Horarios!$P$3,DJ66-1,0,DL66,1)</f>
        <v>2</v>
      </c>
      <c r="DO66" s="756"/>
      <c r="DP66" s="756">
        <v>9</v>
      </c>
      <c r="DQ66" s="756" t="str">
        <f t="shared" ca="1" si="205"/>
        <v>Irak</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4</v>
      </c>
      <c r="BN67" s="760">
        <f t="shared" ca="1" si="195"/>
        <v>4</v>
      </c>
      <c r="BO67" s="750" t="str">
        <f t="shared" si="196"/>
        <v>4J</v>
      </c>
      <c r="BP67" s="750"/>
      <c r="BQ67" s="750"/>
      <c r="BR67" s="760">
        <f t="shared" ca="1" si="179"/>
        <v>0</v>
      </c>
      <c r="BS67" s="760">
        <f t="shared" ca="1" si="197"/>
        <v>2</v>
      </c>
      <c r="BT67" s="760" t="str">
        <f t="shared" ca="1" si="198"/>
        <v>Pos. 2 (11)</v>
      </c>
      <c r="BU67" s="760">
        <f t="shared" ca="1" si="180"/>
        <v>0</v>
      </c>
      <c r="BV67" s="760">
        <f t="shared" ca="1" si="181"/>
        <v>2</v>
      </c>
      <c r="BW67" s="760" t="str">
        <f t="shared" ca="1" si="182"/>
        <v>Pos. 2 (11)</v>
      </c>
      <c r="BX67" s="760">
        <f t="shared" ca="1" si="183"/>
        <v>0</v>
      </c>
      <c r="BY67" s="760">
        <f t="shared" ca="1" si="184"/>
        <v>2</v>
      </c>
      <c r="BZ67" s="760" t="str">
        <f t="shared" ca="1" si="185"/>
        <v>Pos. 2 (11)</v>
      </c>
      <c r="CA67" s="760">
        <f t="shared" ca="1" si="199"/>
        <v>9</v>
      </c>
      <c r="CB67" s="760">
        <f t="shared" ca="1" si="200"/>
        <v>4</v>
      </c>
      <c r="CC67" s="760"/>
      <c r="CD67" s="760">
        <f t="shared" ca="1" si="201"/>
        <v>4</v>
      </c>
      <c r="CE67" s="760">
        <f t="shared" ca="1" si="202"/>
        <v>3</v>
      </c>
      <c r="CF67" s="760">
        <f t="shared" ca="1" si="203"/>
        <v>4</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2</v>
      </c>
      <c r="DK67" s="756"/>
      <c r="DL67" s="756">
        <f t="shared" ca="1" si="204"/>
        <v>1</v>
      </c>
      <c r="DM67" s="750" t="str">
        <f t="shared" ca="1" si="187"/>
        <v>2.1</v>
      </c>
      <c r="DN67" s="756" cm="1">
        <f t="array" aca="1" ref="DN67" ca="1">OFFSET(Horarios!$P$3,DJ67-1,0,DL67,1)</f>
        <v>2</v>
      </c>
      <c r="DO67" s="756"/>
      <c r="DP67" s="756">
        <v>10</v>
      </c>
      <c r="DQ67" s="756" t="str">
        <f t="shared" ca="1" si="205"/>
        <v>Irán</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12</v>
      </c>
      <c r="BN68" s="760">
        <f t="shared" ca="1" si="195"/>
        <v>12</v>
      </c>
      <c r="BO68" s="750" t="str">
        <f t="shared" si="196"/>
        <v>4K</v>
      </c>
      <c r="BP68" s="750"/>
      <c r="BQ68" s="750"/>
      <c r="BR68" s="760">
        <f t="shared" ca="1" si="179"/>
        <v>0</v>
      </c>
      <c r="BS68" s="760">
        <f t="shared" ca="1" si="197"/>
        <v>2</v>
      </c>
      <c r="BT68" s="760" t="str">
        <f t="shared" ca="1" si="198"/>
        <v>Pos. 2 (11)</v>
      </c>
      <c r="BU68" s="760">
        <f t="shared" ca="1" si="180"/>
        <v>0</v>
      </c>
      <c r="BV68" s="760">
        <f t="shared" ca="1" si="181"/>
        <v>2</v>
      </c>
      <c r="BW68" s="760" t="str">
        <f t="shared" ca="1" si="182"/>
        <v>Pos. 2 (11)</v>
      </c>
      <c r="BX68" s="760">
        <f t="shared" ca="1" si="183"/>
        <v>0</v>
      </c>
      <c r="BY68" s="760">
        <f t="shared" ca="1" si="184"/>
        <v>2</v>
      </c>
      <c r="BZ68" s="760" t="str">
        <f t="shared" ca="1" si="185"/>
        <v>Pos. 2 (11)</v>
      </c>
      <c r="CA68" s="760">
        <f t="shared" ca="1" si="199"/>
        <v>0</v>
      </c>
      <c r="CB68" s="760">
        <f t="shared" ca="1" si="200"/>
        <v>12</v>
      </c>
      <c r="CC68" s="760"/>
      <c r="CD68" s="760">
        <f t="shared" ca="1" si="201"/>
        <v>12</v>
      </c>
      <c r="CE68" s="760">
        <f t="shared" ca="1" si="202"/>
        <v>11</v>
      </c>
      <c r="CF68" s="760">
        <f t="shared" ca="1" si="203"/>
        <v>12</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2</v>
      </c>
      <c r="DK68" s="756"/>
      <c r="DL68" s="756">
        <f t="shared" ca="1" si="204"/>
        <v>1</v>
      </c>
      <c r="DM68" s="750" t="str">
        <f t="shared" ca="1" si="187"/>
        <v>2.1</v>
      </c>
      <c r="DN68" s="756" cm="1">
        <f t="array" aca="1" ref="DN68" ca="1">OFFSET(Horarios!$P$3,DJ68-1,0,DL68,1)</f>
        <v>2</v>
      </c>
      <c r="DO68" s="756"/>
      <c r="DP68" s="756">
        <v>11</v>
      </c>
      <c r="DQ68" s="756" t="str">
        <f t="shared" ca="1" si="205"/>
        <v>Suecia</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7</v>
      </c>
      <c r="BN69" s="760">
        <f t="shared" ca="1" si="195"/>
        <v>7</v>
      </c>
      <c r="BO69" s="750" t="str">
        <f t="shared" si="196"/>
        <v>4L</v>
      </c>
      <c r="BP69" s="750"/>
      <c r="BQ69" s="750"/>
      <c r="BR69" s="760">
        <f t="shared" ca="1" si="179"/>
        <v>0</v>
      </c>
      <c r="BS69" s="760">
        <f t="shared" ca="1" si="197"/>
        <v>2</v>
      </c>
      <c r="BT69" s="760" t="str">
        <f t="shared" ca="1" si="198"/>
        <v>Pos. 2 (11)</v>
      </c>
      <c r="BU69" s="760">
        <f t="shared" ca="1" si="180"/>
        <v>0</v>
      </c>
      <c r="BV69" s="760">
        <f t="shared" ca="1" si="181"/>
        <v>2</v>
      </c>
      <c r="BW69" s="760" t="str">
        <f t="shared" ca="1" si="182"/>
        <v>Pos. 2 (11)</v>
      </c>
      <c r="BX69" s="760">
        <f t="shared" ca="1" si="183"/>
        <v>0</v>
      </c>
      <c r="BY69" s="760">
        <f t="shared" ca="1" si="184"/>
        <v>2</v>
      </c>
      <c r="BZ69" s="760" t="str">
        <f t="shared" ca="1" si="185"/>
        <v>Pos. 2 (11)</v>
      </c>
      <c r="CA69" s="760">
        <f t="shared" ca="1" si="199"/>
        <v>6</v>
      </c>
      <c r="CB69" s="760">
        <f ca="1">BY69+COUNTIFS(BZ$58:BZ$69,BZ69,CA$58:CA$69,"&gt;"&amp;CA69)</f>
        <v>7</v>
      </c>
      <c r="CC69" s="760"/>
      <c r="CD69" s="760">
        <f t="shared" ca="1" si="201"/>
        <v>7</v>
      </c>
      <c r="CE69" s="760">
        <f t="shared" ca="1" si="202"/>
        <v>6</v>
      </c>
      <c r="CF69" s="760">
        <f t="shared" ca="1" si="203"/>
        <v>7</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2</v>
      </c>
      <c r="DK69" s="756"/>
      <c r="DL69" s="756">
        <f t="shared" ca="1" si="204"/>
        <v>1</v>
      </c>
      <c r="DM69" s="750" t="str">
        <f t="shared" ca="1" si="187"/>
        <v>2.1</v>
      </c>
      <c r="DN69" s="756" cm="1">
        <f t="array" aca="1" ref="DN69" ca="1">OFFSET(Horarios!$P$3,DJ69-1,0,DL69,1)</f>
        <v>2</v>
      </c>
      <c r="DO69" s="756"/>
      <c r="DP69" s="756">
        <v>12</v>
      </c>
      <c r="DQ69" s="756" t="str">
        <f t="shared" ca="1" si="205"/>
        <v>Uzbekistán</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c r="AD70" s="200"/>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c r="AD71" s="200"/>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c r="AD78" s="200"/>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c r="AD79" s="200"/>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c r="AD86" s="200"/>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c r="AD87" s="200"/>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c r="AD94" s="200"/>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c r="AD95" s="200"/>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6</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0</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República Checa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Arabia Saudita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Australia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Austria</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Catar</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Costa de Marfil</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Ghana</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Haití</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Irak</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Irán</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Suecia</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Uzbekistán</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S6" sqref="S6"/>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2</v>
      </c>
      <c r="W1" s="93"/>
      <c r="X1" s="71"/>
      <c r="Y1" s="93">
        <f ca="1">+IFERROR(RANK(Y2,OFFSET($S$2,0,0,1,$D$5*3),0),"-")</f>
        <v>3</v>
      </c>
      <c r="Z1" s="93"/>
      <c r="AA1" s="71"/>
      <c r="AB1" s="93">
        <f ca="1">+IFERROR(RANK(AB2,OFFSET($S$2,0,0,1,$D$5*3),0),"-")</f>
        <v>4</v>
      </c>
      <c r="AC1" s="93"/>
      <c r="AD1" s="71"/>
      <c r="AE1" s="93">
        <f ca="1">+IFERROR(RANK(AE2,OFFSET($S$2,0,0,1,$D$5*3),0),"-")</f>
        <v>5</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5.9981</v>
      </c>
      <c r="T2" s="93"/>
      <c r="U2" s="71"/>
      <c r="V2" s="93">
        <f t="shared" ref="V2" ca="1" si="0">V4-(COLUMN()/10000)</f>
        <v>-2.2000000000000001E-3</v>
      </c>
      <c r="W2" s="93"/>
      <c r="X2" s="71"/>
      <c r="Y2" s="93">
        <f t="shared" ref="Y2" ca="1" si="1">Y4-(COLUMN()/10000)</f>
        <v>-2.5000000000000001E-3</v>
      </c>
      <c r="Z2" s="93"/>
      <c r="AA2" s="71"/>
      <c r="AB2" s="93">
        <f t="shared" ref="AB2" ca="1" si="2">AB4-(COLUMN()/10000)</f>
        <v>-2.8E-3</v>
      </c>
      <c r="AC2" s="93"/>
      <c r="AD2" s="71"/>
      <c r="AE2" s="93">
        <f t="shared" ref="AE2" ca="1" si="3">AE4-(COLUMN()/10000)</f>
        <v>-3.0999999999999999E-3</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2</v>
      </c>
      <c r="W3" s="93"/>
      <c r="X3" s="71"/>
      <c r="Y3" s="93">
        <f ca="1">RANK(Y4,OFFSET($S$4,0,0,1,$D$5*3),0)</f>
        <v>2</v>
      </c>
      <c r="Z3" s="93"/>
      <c r="AA3" s="71"/>
      <c r="AB3" s="93">
        <f ca="1">RANK(AB4,OFFSET($S$4,0,0,1,$D$5*3),0)</f>
        <v>2</v>
      </c>
      <c r="AC3" s="93"/>
      <c r="AD3" s="71"/>
      <c r="AE3" s="93">
        <f ca="1">RANK(AE4,OFFSET($S$4,0,0,1,$D$5*3),0)</f>
        <v>2</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6</v>
      </c>
      <c r="T4" s="74"/>
      <c r="U4" s="71"/>
      <c r="V4" s="73">
        <f ca="1">SUM(W6:W259)/2</f>
        <v>0</v>
      </c>
      <c r="W4" s="74"/>
      <c r="X4" s="71"/>
      <c r="Y4" s="73">
        <f ca="1">SUM(Z6:Z259)/2</f>
        <v>0</v>
      </c>
      <c r="Z4" s="74"/>
      <c r="AA4" s="71"/>
      <c r="AB4" s="73">
        <f ca="1">SUM(AC6:AC259)/2</f>
        <v>0</v>
      </c>
      <c r="AC4" s="74"/>
      <c r="AD4" s="71"/>
      <c r="AE4" s="73">
        <f ca="1">SUM(AF6:AF259)/2</f>
        <v>0</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1959</v>
      </c>
      <c r="T5" s="76"/>
      <c r="U5" s="71">
        <v>1</v>
      </c>
      <c r="V5" s="75" t="str">
        <f>Idiomas!$G$363&amp;ADMIN!X5</f>
        <v>Pegar Valores Nombre J2</v>
      </c>
      <c r="W5" s="76"/>
      <c r="X5" s="71">
        <v>2</v>
      </c>
      <c r="Y5" s="75" t="str">
        <f>Idiomas!$G$363&amp;ADMIN!AA5</f>
        <v>Pegar Valores Nombre J3</v>
      </c>
      <c r="Z5" s="76"/>
      <c r="AA5" s="71">
        <v>3</v>
      </c>
      <c r="AB5" s="75" t="str">
        <f>Idiomas!$G$363&amp;ADMIN!AD5</f>
        <v>Pegar Valores Nombre J4</v>
      </c>
      <c r="AC5" s="76"/>
      <c r="AD5" s="71">
        <v>4</v>
      </c>
      <c r="AE5" s="75" t="str">
        <f>Idiomas!$G$363&amp;ADMIN!AG5</f>
        <v>Pegar Valores Nombre J5</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1941</v>
      </c>
      <c r="T6" s="79">
        <f>IFERROR(IF($M6=S6,($D$8+$D$9+$D$10)*$I6,IF($N6=LEFT(S6,1),($D$8+MAX(0,IF($D$50=1,$D$9*(1-(ABS($Q6-ABS(VALUE(MID(S6,FIND("|",S6)+1,FIND("-",S6)-FIND("|",S6)-1))-VALUE(MID(S6,FIND("-",S6)+1,10)))))*$D$50),$D$9*(1-(IF($N6="X",ABS($O6-VALUE(MID(S6,FIND("|",S6)+1,FIND("-",S6)-FIND("|",S6)-1))),ABS($Q6-ABS(VALUE(MID(S6,FIND("|",S6)+1,FIND("-",S6)-FIND("|",S6)-1))-VALUE(MID(S6,FIND("-",S6)+1,10)))))*$D$50)))))*$I6,0)),0)</f>
        <v>3</v>
      </c>
      <c r="U6" s="117"/>
      <c r="V6" s="78" t="str">
        <f>Idiomas!$D$364</f>
        <v>Pegar Valores (J1)</v>
      </c>
      <c r="W6" s="79">
        <f>IFERROR(IF($M6=V6,($D$8+$D$9+$D$10)*$I6,IF($N6=LEFT(V6,1),($D$8+MAX(0,IF($D$50=1,$D$9*(1-(ABS($Q6-ABS(VALUE(MID(V6,FIND("|",V6)+1,FIND("-",V6)-FIND("|",V6)-1))-VALUE(MID(V6,FIND("-",V6)+1,10)))))*$D$50),$D$9*(1-(IF($N6="X",ABS($O6-VALUE(MID(V6,FIND("|",V6)+1,FIND("-",V6)-FIND("|",V6)-1))),ABS($Q6-ABS(VALUE(MID(V6,FIND("|",V6)+1,FIND("-",V6)-FIND("|",V6)-1))-VALUE(MID(V6,FIND("-",V6)+1,10)))))*$D$50)))))*$I6,0)),0)</f>
        <v>0</v>
      </c>
      <c r="X6" s="117"/>
      <c r="Y6" s="78" t="str">
        <f>Idiomas!$D$364</f>
        <v>Pegar Valores (J1)</v>
      </c>
      <c r="Z6" s="79">
        <f t="shared" ref="Z6" si="4">IFERROR(IF($M6=Y6,($D$8+$D$9+$D$10)*$I6,IF($N6=LEFT(Y6,1),($D$8+MAX(0,IF($D$50=1,$D$9*(1-(ABS($Q6-ABS(VALUE(MID(Y6,FIND("|",Y6)+1,FIND("-",Y6)-FIND("|",Y6)-1))-VALUE(MID(Y6,FIND("-",Y6)+1,10)))))*$D$50),$D$9*(1-(IF($N6="X",ABS($O6-VALUE(MID(Y6,FIND("|",Y6)+1,FIND("-",Y6)-FIND("|",Y6)-1))),ABS($Q6-ABS(VALUE(MID(Y6,FIND("|",Y6)+1,FIND("-",Y6)-FIND("|",Y6)-1))-VALUE(MID(Y6,FIND("-",Y6)+1,10)))))*$D$50)))))*$I6,0)),0)</f>
        <v>0</v>
      </c>
      <c r="AA6" s="117"/>
      <c r="AB6" s="78" t="str">
        <f>Idiomas!$D$364</f>
        <v>Pegar Valores (J1)</v>
      </c>
      <c r="AC6" s="79">
        <f t="shared" ref="AC6" si="5">IFERROR(IF($M6=AB6,($D$8+$D$9+$D$10)*$I6,IF($N6=LEFT(AB6,1),($D$8+MAX(0,IF($D$50=1,$D$9*(1-(ABS($Q6-ABS(VALUE(MID(AB6,FIND("|",AB6)+1,FIND("-",AB6)-FIND("|",AB6)-1))-VALUE(MID(AB6,FIND("-",AB6)+1,10)))))*$D$50),$D$9*(1-(IF($N6="X",ABS($O6-VALUE(MID(AB6,FIND("|",AB6)+1,FIND("-",AB6)-FIND("|",AB6)-1))),ABS($Q6-ABS(VALUE(MID(AB6,FIND("|",AB6)+1,FIND("-",AB6)-FIND("|",AB6)-1))-VALUE(MID(AB6,FIND("-",AB6)+1,10)))))*$D$50)))))*$I6,0)),0)</f>
        <v>0</v>
      </c>
      <c r="AD6" s="117"/>
      <c r="AE6" s="78" t="str">
        <f>Idiomas!$D$364</f>
        <v>Pegar Valores (J1)</v>
      </c>
      <c r="AF6" s="79">
        <f t="shared" ref="AF6" si="6">IFERROR(IF($M6=AE6,($D$8+$D$9+$D$10)*$I6,IF($N6=LEFT(AE6,1),($D$8+MAX(0,IF($D$50=1,$D$9*(1-(ABS($Q6-ABS(VALUE(MID(AE6,FIND("|",AE6)+1,FIND("-",AE6)-FIND("|",AE6)-1))-VALUE(MID(AE6,FIND("-",AE6)+1,10)))))*$D$50),$D$9*(1-(IF($N6="X",ABS($O6-VALUE(MID(AE6,FIND("|",AE6)+1,FIND("-",AE6)-FIND("|",AE6)-1))),ABS($Q6-ABS(VALUE(MID(AE6,FIND("|",AE6)+1,FIND("-",AE6)-FIND("|",AE6)-1))-VALUE(MID(AE6,FIND("-",AE6)+1,10)))))*$D$50)))))*$I6,0)),0)</f>
        <v>0</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1942</v>
      </c>
      <c r="T7" s="79">
        <f t="shared" ref="T7:T70" si="8">IFERROR(IF($M7=S7,($D$8+$D$9+$D$10)*$I7,IF($N7=LEFT(S7,1),($D$8+MAX(0,IF($D$50=1,$D$9*(1-(ABS($Q7-ABS(VALUE(MID(S7,FIND("|",S7)+1,FIND("-",S7)-FIND("|",S7)-1))-VALUE(MID(S7,FIND("-",S7)+1,10)))))*$D$50),$D$9*(1-(IF($N7="X",ABS($O7-VALUE(MID(S7,FIND("|",S7)+1,FIND("-",S7)-FIND("|",S7)-1))),ABS($Q7-ABS(VALUE(MID(S7,FIND("|",S7)+1,FIND("-",S7)-FIND("|",S7)-1))-VALUE(MID(S7,FIND("-",S7)+1,10)))))*$D$50)))))*$I7,0)),0)</f>
        <v>3</v>
      </c>
      <c r="U7" s="117"/>
      <c r="V7" s="78"/>
      <c r="W7" s="79">
        <f t="shared" ref="W7:W41" si="9">IFERROR(IF($M7=V7,($D$8+$D$9+$D$10)*$I7,IF($N7=LEFT(V7,1),($D$8+MAX(0,IF($D$50=1,$D$9*(1-(ABS($Q7-ABS(VALUE(MID(V7,FIND("|",V7)+1,FIND("-",V7)-FIND("|",V7)-1))-VALUE(MID(V7,FIND("-",V7)+1,10)))))*$D$50),$D$9*(1-(IF($N7="X",ABS($O7-VALUE(MID(V7,FIND("|",V7)+1,FIND("-",V7)-FIND("|",V7)-1))),ABS($Q7-ABS(VALUE(MID(V7,FIND("|",V7)+1,FIND("-",V7)-FIND("|",V7)-1))-VALUE(MID(V7,FIND("-",V7)+1,10)))))*$D$50)))))*$I7,0)),0)</f>
        <v>0</v>
      </c>
      <c r="X7" s="117"/>
      <c r="Y7" s="78"/>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c r="AC7" s="79">
        <f t="shared" si="10"/>
        <v>0</v>
      </c>
      <c r="AD7" s="117"/>
      <c r="AE7" s="78"/>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v>
      </c>
      <c r="N8" s="25" t="str">
        <f>IF(OR(WORLDCUP!AC12="",WORLDCUP!AD12=""),"",IF(WORLDCUP!AC12&gt;WORLDCUP!AD12,"1",IF(WORLDCUP!AC12&lt;WORLDCUP!AD12,"2","X")))</f>
        <v/>
      </c>
      <c r="O8" s="25">
        <f>WORLDCUP!AC12</f>
        <v>0</v>
      </c>
      <c r="P8" s="25">
        <f>WORLDCUP!AD12</f>
        <v>0</v>
      </c>
      <c r="Q8" s="25">
        <f t="shared" ref="Q8:Q70" si="11">ABS(O8-P8)</f>
        <v>0</v>
      </c>
      <c r="R8" s="55"/>
      <c r="S8" s="80" t="s">
        <v>1943</v>
      </c>
      <c r="T8" s="79">
        <f t="shared" si="8"/>
        <v>0</v>
      </c>
      <c r="U8" s="71"/>
      <c r="V8" s="80"/>
      <c r="W8" s="79">
        <f t="shared" si="9"/>
        <v>0</v>
      </c>
      <c r="X8" s="71"/>
      <c r="Y8" s="80"/>
      <c r="Z8" s="79">
        <f t="shared" si="10"/>
        <v>0</v>
      </c>
      <c r="AA8" s="71"/>
      <c r="AB8" s="80"/>
      <c r="AC8" s="79">
        <f t="shared" si="10"/>
        <v>0</v>
      </c>
      <c r="AD8" s="71"/>
      <c r="AE8" s="80"/>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1944</v>
      </c>
      <c r="T9" s="79">
        <f t="shared" si="8"/>
        <v>0</v>
      </c>
      <c r="U9" s="71"/>
      <c r="V9" s="81"/>
      <c r="W9" s="79">
        <f t="shared" si="9"/>
        <v>0</v>
      </c>
      <c r="X9" s="71"/>
      <c r="Y9" s="81"/>
      <c r="Z9" s="79">
        <f t="shared" si="10"/>
        <v>0</v>
      </c>
      <c r="AA9" s="71"/>
      <c r="AB9" s="81"/>
      <c r="AC9" s="79">
        <f t="shared" si="10"/>
        <v>0</v>
      </c>
      <c r="AD9" s="71"/>
      <c r="AE9" s="81"/>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1945</v>
      </c>
      <c r="T10" s="79">
        <f t="shared" si="8"/>
        <v>0</v>
      </c>
      <c r="U10" s="71"/>
      <c r="V10" s="80"/>
      <c r="W10" s="79">
        <f t="shared" si="9"/>
        <v>0</v>
      </c>
      <c r="X10" s="71"/>
      <c r="Y10" s="80"/>
      <c r="Z10" s="79">
        <f t="shared" si="10"/>
        <v>0</v>
      </c>
      <c r="AA10" s="71"/>
      <c r="AB10" s="80"/>
      <c r="AC10" s="79">
        <f t="shared" si="10"/>
        <v>0</v>
      </c>
      <c r="AD10" s="71"/>
      <c r="AE10" s="80"/>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1944</v>
      </c>
      <c r="T11" s="79">
        <f t="shared" si="8"/>
        <v>0</v>
      </c>
      <c r="U11" s="71"/>
      <c r="V11" s="80"/>
      <c r="W11" s="79">
        <f t="shared" si="9"/>
        <v>0</v>
      </c>
      <c r="X11" s="71"/>
      <c r="Y11" s="80"/>
      <c r="Z11" s="79">
        <f t="shared" si="10"/>
        <v>0</v>
      </c>
      <c r="AA11" s="71"/>
      <c r="AB11" s="80"/>
      <c r="AC11" s="79">
        <f t="shared" si="10"/>
        <v>0</v>
      </c>
      <c r="AD11" s="71"/>
      <c r="AE11" s="80"/>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1942</v>
      </c>
      <c r="T12" s="79">
        <f t="shared" si="8"/>
        <v>0</v>
      </c>
      <c r="U12" s="71"/>
      <c r="V12" s="80"/>
      <c r="W12" s="79">
        <f t="shared" si="9"/>
        <v>0</v>
      </c>
      <c r="X12" s="71"/>
      <c r="Y12" s="80"/>
      <c r="Z12" s="79">
        <f t="shared" si="10"/>
        <v>0</v>
      </c>
      <c r="AA12" s="71"/>
      <c r="AB12" s="80"/>
      <c r="AC12" s="79">
        <f t="shared" si="10"/>
        <v>0</v>
      </c>
      <c r="AD12" s="71"/>
      <c r="AE12" s="80"/>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1946</v>
      </c>
      <c r="T13" s="79">
        <f t="shared" si="8"/>
        <v>0</v>
      </c>
      <c r="U13" s="71"/>
      <c r="V13" s="80"/>
      <c r="W13" s="79">
        <f t="shared" si="9"/>
        <v>0</v>
      </c>
      <c r="X13" s="71"/>
      <c r="Y13" s="80"/>
      <c r="Z13" s="79">
        <f t="shared" si="10"/>
        <v>0</v>
      </c>
      <c r="AA13" s="71"/>
      <c r="AB13" s="80"/>
      <c r="AC13" s="79">
        <f t="shared" si="10"/>
        <v>0</v>
      </c>
      <c r="AD13" s="71"/>
      <c r="AE13" s="80"/>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1947</v>
      </c>
      <c r="T14" s="79">
        <f t="shared" si="8"/>
        <v>0</v>
      </c>
      <c r="U14" s="71"/>
      <c r="V14" s="80"/>
      <c r="W14" s="79">
        <f t="shared" si="9"/>
        <v>0</v>
      </c>
      <c r="X14" s="71"/>
      <c r="Y14" s="80"/>
      <c r="Z14" s="79">
        <f t="shared" si="10"/>
        <v>0</v>
      </c>
      <c r="AA14" s="71"/>
      <c r="AB14" s="80"/>
      <c r="AC14" s="79">
        <f t="shared" si="10"/>
        <v>0</v>
      </c>
      <c r="AD14" s="71"/>
      <c r="AE14" s="80"/>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1942</v>
      </c>
      <c r="T15" s="79">
        <f t="shared" si="8"/>
        <v>0</v>
      </c>
      <c r="U15" s="71"/>
      <c r="V15" s="80"/>
      <c r="W15" s="79">
        <f t="shared" si="9"/>
        <v>0</v>
      </c>
      <c r="X15" s="71"/>
      <c r="Y15" s="80"/>
      <c r="Z15" s="79">
        <f t="shared" si="10"/>
        <v>0</v>
      </c>
      <c r="AA15" s="71"/>
      <c r="AB15" s="80"/>
      <c r="AC15" s="79">
        <f t="shared" si="10"/>
        <v>0</v>
      </c>
      <c r="AD15" s="71"/>
      <c r="AE15" s="80"/>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1948</v>
      </c>
      <c r="T16" s="79">
        <f t="shared" si="8"/>
        <v>0</v>
      </c>
      <c r="U16" s="71"/>
      <c r="V16" s="80"/>
      <c r="W16" s="79">
        <f t="shared" si="9"/>
        <v>0</v>
      </c>
      <c r="X16" s="71"/>
      <c r="Y16" s="80"/>
      <c r="Z16" s="79">
        <f t="shared" si="10"/>
        <v>0</v>
      </c>
      <c r="AA16" s="71"/>
      <c r="AB16" s="80"/>
      <c r="AC16" s="79">
        <f t="shared" si="10"/>
        <v>0</v>
      </c>
      <c r="AD16" s="71"/>
      <c r="AE16" s="80"/>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1943</v>
      </c>
      <c r="T17" s="79">
        <f t="shared" si="8"/>
        <v>0</v>
      </c>
      <c r="U17" s="71"/>
      <c r="V17" s="80"/>
      <c r="W17" s="79">
        <f t="shared" si="9"/>
        <v>0</v>
      </c>
      <c r="X17" s="71"/>
      <c r="Y17" s="80"/>
      <c r="Z17" s="79">
        <f t="shared" si="10"/>
        <v>0</v>
      </c>
      <c r="AA17" s="71"/>
      <c r="AB17" s="80"/>
      <c r="AC17" s="79">
        <f t="shared" si="10"/>
        <v>0</v>
      </c>
      <c r="AD17" s="71"/>
      <c r="AE17" s="80"/>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1943</v>
      </c>
      <c r="T18" s="79">
        <f t="shared" si="8"/>
        <v>0</v>
      </c>
      <c r="U18" s="71"/>
      <c r="V18" s="80"/>
      <c r="W18" s="79">
        <f t="shared" si="9"/>
        <v>0</v>
      </c>
      <c r="X18" s="71"/>
      <c r="Y18" s="80"/>
      <c r="Z18" s="79">
        <f t="shared" si="10"/>
        <v>0</v>
      </c>
      <c r="AA18" s="71"/>
      <c r="AB18" s="80"/>
      <c r="AC18" s="79">
        <f t="shared" si="10"/>
        <v>0</v>
      </c>
      <c r="AD18" s="71"/>
      <c r="AE18" s="80"/>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1946</v>
      </c>
      <c r="T19" s="79">
        <f t="shared" si="8"/>
        <v>0</v>
      </c>
      <c r="U19" s="71"/>
      <c r="V19" s="80"/>
      <c r="W19" s="79">
        <f t="shared" si="9"/>
        <v>0</v>
      </c>
      <c r="X19" s="71"/>
      <c r="Y19" s="80"/>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c r="AC19" s="79">
        <f t="shared" si="12"/>
        <v>0</v>
      </c>
      <c r="AD19" s="71"/>
      <c r="AE19" s="80"/>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1949</v>
      </c>
      <c r="T20" s="79">
        <f t="shared" si="8"/>
        <v>0</v>
      </c>
      <c r="U20" s="71"/>
      <c r="V20" s="80"/>
      <c r="W20" s="79">
        <f t="shared" si="9"/>
        <v>0</v>
      </c>
      <c r="X20" s="71"/>
      <c r="Y20" s="80"/>
      <c r="Z20" s="79">
        <f t="shared" si="12"/>
        <v>0</v>
      </c>
      <c r="AA20" s="71"/>
      <c r="AB20" s="80"/>
      <c r="AC20" s="79">
        <f t="shared" si="12"/>
        <v>0</v>
      </c>
      <c r="AD20" s="71"/>
      <c r="AE20" s="80"/>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c r="W21" s="79">
        <f t="shared" si="9"/>
        <v>0</v>
      </c>
      <c r="X21" s="71"/>
      <c r="Y21" s="80"/>
      <c r="Z21" s="79">
        <f t="shared" si="12"/>
        <v>0</v>
      </c>
      <c r="AA21" s="71"/>
      <c r="AB21" s="80"/>
      <c r="AC21" s="79">
        <f t="shared" si="12"/>
        <v>0</v>
      </c>
      <c r="AD21" s="71"/>
      <c r="AE21" s="80"/>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1949</v>
      </c>
      <c r="T22" s="79">
        <f t="shared" si="8"/>
        <v>0</v>
      </c>
      <c r="U22" s="71"/>
      <c r="V22" s="80"/>
      <c r="W22" s="79">
        <f t="shared" si="9"/>
        <v>0</v>
      </c>
      <c r="X22" s="71"/>
      <c r="Y22" s="80"/>
      <c r="Z22" s="79">
        <f t="shared" si="12"/>
        <v>0</v>
      </c>
      <c r="AA22" s="71"/>
      <c r="AB22" s="80"/>
      <c r="AC22" s="79">
        <f t="shared" si="12"/>
        <v>0</v>
      </c>
      <c r="AD22" s="71"/>
      <c r="AE22" s="80"/>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1944</v>
      </c>
      <c r="T23" s="79">
        <f t="shared" si="8"/>
        <v>0</v>
      </c>
      <c r="U23" s="71"/>
      <c r="V23" s="80"/>
      <c r="W23" s="79">
        <f t="shared" si="9"/>
        <v>0</v>
      </c>
      <c r="X23" s="71"/>
      <c r="Y23" s="80"/>
      <c r="Z23" s="79">
        <f t="shared" si="12"/>
        <v>0</v>
      </c>
      <c r="AA23" s="71"/>
      <c r="AB23" s="80"/>
      <c r="AC23" s="79">
        <f t="shared" si="12"/>
        <v>0</v>
      </c>
      <c r="AD23" s="71"/>
      <c r="AE23" s="80"/>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1948</v>
      </c>
      <c r="T24" s="83">
        <f t="shared" si="8"/>
        <v>0</v>
      </c>
      <c r="U24" s="71"/>
      <c r="V24" s="82"/>
      <c r="W24" s="83">
        <f t="shared" si="9"/>
        <v>0</v>
      </c>
      <c r="X24" s="71"/>
      <c r="Y24" s="82"/>
      <c r="Z24" s="83">
        <f t="shared" si="12"/>
        <v>0</v>
      </c>
      <c r="AA24" s="71"/>
      <c r="AB24" s="82"/>
      <c r="AC24" s="83">
        <f t="shared" si="12"/>
        <v>0</v>
      </c>
      <c r="AD24" s="71"/>
      <c r="AE24" s="82"/>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1941</v>
      </c>
      <c r="T25" s="79">
        <f t="shared" si="8"/>
        <v>0</v>
      </c>
      <c r="U25" s="71"/>
      <c r="V25" s="80"/>
      <c r="W25" s="79">
        <f t="shared" si="9"/>
        <v>0</v>
      </c>
      <c r="X25" s="71"/>
      <c r="Y25" s="80"/>
      <c r="Z25" s="79">
        <f t="shared" si="12"/>
        <v>0</v>
      </c>
      <c r="AA25" s="71"/>
      <c r="AB25" s="80"/>
      <c r="AC25" s="79">
        <f t="shared" si="12"/>
        <v>0</v>
      </c>
      <c r="AD25" s="71"/>
      <c r="AE25" s="80"/>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1943</v>
      </c>
      <c r="T26" s="79">
        <f t="shared" si="8"/>
        <v>0</v>
      </c>
      <c r="U26" s="71"/>
      <c r="V26" s="80"/>
      <c r="W26" s="79">
        <f t="shared" si="9"/>
        <v>0</v>
      </c>
      <c r="X26" s="71"/>
      <c r="Y26" s="80"/>
      <c r="Z26" s="79">
        <f t="shared" si="12"/>
        <v>0</v>
      </c>
      <c r="AA26" s="71"/>
      <c r="AB26" s="80"/>
      <c r="AC26" s="79">
        <f t="shared" si="12"/>
        <v>0</v>
      </c>
      <c r="AD26" s="71"/>
      <c r="AE26" s="80"/>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1942</v>
      </c>
      <c r="T27" s="79">
        <f t="shared" si="8"/>
        <v>0</v>
      </c>
      <c r="U27" s="71"/>
      <c r="V27" s="80"/>
      <c r="W27" s="79">
        <f t="shared" si="9"/>
        <v>0</v>
      </c>
      <c r="X27" s="71"/>
      <c r="Y27" s="80"/>
      <c r="Z27" s="79">
        <f t="shared" si="12"/>
        <v>0</v>
      </c>
      <c r="AA27" s="71"/>
      <c r="AB27" s="80"/>
      <c r="AC27" s="79">
        <f t="shared" si="12"/>
        <v>0</v>
      </c>
      <c r="AD27" s="71"/>
      <c r="AE27" s="80"/>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1945</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c r="W28" s="79">
        <f t="shared" si="9"/>
        <v>0</v>
      </c>
      <c r="X28" s="71"/>
      <c r="Y28" s="80"/>
      <c r="Z28" s="79">
        <f t="shared" si="12"/>
        <v>0</v>
      </c>
      <c r="AA28" s="71"/>
      <c r="AB28" s="80"/>
      <c r="AC28" s="79">
        <f t="shared" si="12"/>
        <v>0</v>
      </c>
      <c r="AD28" s="71"/>
      <c r="AE28" s="80"/>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1943</v>
      </c>
      <c r="T29" s="85">
        <f t="shared" si="13"/>
        <v>0</v>
      </c>
      <c r="U29" s="71"/>
      <c r="V29" s="84"/>
      <c r="W29" s="85">
        <f t="shared" si="9"/>
        <v>0</v>
      </c>
      <c r="X29" s="71"/>
      <c r="Y29" s="84"/>
      <c r="Z29" s="85">
        <f t="shared" si="12"/>
        <v>0</v>
      </c>
      <c r="AA29" s="71"/>
      <c r="AB29" s="84"/>
      <c r="AC29" s="85">
        <f t="shared" si="12"/>
        <v>0</v>
      </c>
      <c r="AD29" s="71"/>
      <c r="AE29" s="84"/>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X|1-1</v>
      </c>
      <c r="N30" s="25" t="str">
        <f>IF(OR(WORLDCUP!AC6="",WORLDCUP!AD6=""),"",IF(WORLDCUP!AC6&gt;WORLDCUP!AD6,"1",IF(WORLDCUP!AC6&lt;WORLDCUP!AD6,"2","X")))</f>
        <v>X</v>
      </c>
      <c r="O30" s="25">
        <f>WORLDCUP!AC6</f>
        <v>1</v>
      </c>
      <c r="P30" s="25">
        <f>WORLDCUP!AD6</f>
        <v>1</v>
      </c>
      <c r="Q30" s="25">
        <f t="shared" si="11"/>
        <v>0</v>
      </c>
      <c r="R30" s="55"/>
      <c r="S30" s="82" t="s">
        <v>1943</v>
      </c>
      <c r="T30" s="83">
        <f t="shared" si="13"/>
        <v>0</v>
      </c>
      <c r="U30" s="71"/>
      <c r="V30" s="82" t="str">
        <f>Idiomas!$D$365</f>
        <v>Pegar Valores (J2)</v>
      </c>
      <c r="W30" s="83">
        <f t="shared" si="9"/>
        <v>0</v>
      </c>
      <c r="X30" s="71"/>
      <c r="Y30" s="82" t="str">
        <f>Idiomas!$D$365</f>
        <v>Pegar Valores (J2)</v>
      </c>
      <c r="Z30" s="83">
        <f t="shared" si="12"/>
        <v>0</v>
      </c>
      <c r="AA30" s="71"/>
      <c r="AB30" s="82" t="str">
        <f>Idiomas!$D$365</f>
        <v>Pegar Valores (J2)</v>
      </c>
      <c r="AC30" s="83">
        <f t="shared" si="12"/>
        <v>0</v>
      </c>
      <c r="AD30" s="71"/>
      <c r="AE30" s="82" t="str">
        <f>Idiomas!$D$365</f>
        <v>Pegar Valores (J2)</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1941</v>
      </c>
      <c r="T31" s="79">
        <f t="shared" si="13"/>
        <v>0</v>
      </c>
      <c r="U31" s="71"/>
      <c r="V31" s="80"/>
      <c r="W31" s="79">
        <f t="shared" si="9"/>
        <v>0</v>
      </c>
      <c r="X31" s="71"/>
      <c r="Y31" s="80"/>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c r="AC31" s="79">
        <f t="shared" si="14"/>
        <v>0</v>
      </c>
      <c r="AD31" s="71"/>
      <c r="AE31" s="80"/>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1943</v>
      </c>
      <c r="T32" s="79">
        <f t="shared" si="13"/>
        <v>0</v>
      </c>
      <c r="U32" s="71"/>
      <c r="V32" s="80"/>
      <c r="W32" s="79">
        <f t="shared" si="9"/>
        <v>0</v>
      </c>
      <c r="X32" s="71"/>
      <c r="Y32" s="80"/>
      <c r="Z32" s="79">
        <f t="shared" si="14"/>
        <v>0</v>
      </c>
      <c r="AA32" s="71"/>
      <c r="AB32" s="80"/>
      <c r="AC32" s="79">
        <f t="shared" si="14"/>
        <v>0</v>
      </c>
      <c r="AD32" s="71"/>
      <c r="AE32" s="80"/>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1946</v>
      </c>
      <c r="T33" s="79">
        <f t="shared" si="13"/>
        <v>0</v>
      </c>
      <c r="U33" s="71"/>
      <c r="V33" s="80"/>
      <c r="W33" s="79">
        <f t="shared" si="9"/>
        <v>0</v>
      </c>
      <c r="X33" s="71"/>
      <c r="Y33" s="80"/>
      <c r="Z33" s="79">
        <f t="shared" si="14"/>
        <v>0</v>
      </c>
      <c r="AA33" s="71"/>
      <c r="AB33" s="80"/>
      <c r="AC33" s="79">
        <f t="shared" si="14"/>
        <v>0</v>
      </c>
      <c r="AD33" s="71"/>
      <c r="AE33" s="80"/>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1951</v>
      </c>
      <c r="T34" s="79">
        <f t="shared" si="13"/>
        <v>0</v>
      </c>
      <c r="U34" s="71"/>
      <c r="V34" s="80"/>
      <c r="W34" s="79">
        <f t="shared" si="9"/>
        <v>0</v>
      </c>
      <c r="X34" s="71"/>
      <c r="Y34" s="80"/>
      <c r="Z34" s="79">
        <f t="shared" si="14"/>
        <v>0</v>
      </c>
      <c r="AA34" s="71"/>
      <c r="AB34" s="80"/>
      <c r="AC34" s="79">
        <f t="shared" si="14"/>
        <v>0</v>
      </c>
      <c r="AD34" s="71"/>
      <c r="AE34" s="80"/>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1947</v>
      </c>
      <c r="T35" s="79">
        <f t="shared" si="13"/>
        <v>0</v>
      </c>
      <c r="U35" s="71"/>
      <c r="V35" s="80"/>
      <c r="W35" s="79">
        <f t="shared" si="9"/>
        <v>0</v>
      </c>
      <c r="X35" s="71"/>
      <c r="Y35" s="80"/>
      <c r="Z35" s="79">
        <f t="shared" si="14"/>
        <v>0</v>
      </c>
      <c r="AA35" s="71"/>
      <c r="AB35" s="80"/>
      <c r="AC35" s="79">
        <f t="shared" si="14"/>
        <v>0</v>
      </c>
      <c r="AD35" s="71"/>
      <c r="AE35" s="80"/>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1946</v>
      </c>
      <c r="T36" s="79">
        <f t="shared" si="13"/>
        <v>0</v>
      </c>
      <c r="U36" s="71"/>
      <c r="V36" s="80"/>
      <c r="W36" s="79">
        <f t="shared" si="9"/>
        <v>0</v>
      </c>
      <c r="X36" s="71"/>
      <c r="Y36" s="80"/>
      <c r="Z36" s="79">
        <f t="shared" si="14"/>
        <v>0</v>
      </c>
      <c r="AA36" s="71"/>
      <c r="AB36" s="80"/>
      <c r="AC36" s="79">
        <f t="shared" si="14"/>
        <v>0</v>
      </c>
      <c r="AD36" s="71"/>
      <c r="AE36" s="80"/>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1948</v>
      </c>
      <c r="T37" s="79">
        <f t="shared" si="8"/>
        <v>0</v>
      </c>
      <c r="U37" s="71"/>
      <c r="V37" s="80"/>
      <c r="W37" s="79">
        <f t="shared" si="9"/>
        <v>0</v>
      </c>
      <c r="X37" s="71"/>
      <c r="Y37" s="80"/>
      <c r="Z37" s="79">
        <f t="shared" si="14"/>
        <v>0</v>
      </c>
      <c r="AA37" s="71"/>
      <c r="AB37" s="80"/>
      <c r="AC37" s="79">
        <f t="shared" si="14"/>
        <v>0</v>
      </c>
      <c r="AD37" s="71"/>
      <c r="AE37" s="80"/>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1941</v>
      </c>
      <c r="T38" s="79">
        <f t="shared" si="8"/>
        <v>0</v>
      </c>
      <c r="U38" s="71"/>
      <c r="V38" s="80"/>
      <c r="W38" s="79">
        <f t="shared" si="9"/>
        <v>0</v>
      </c>
      <c r="X38" s="71"/>
      <c r="Y38" s="80"/>
      <c r="Z38" s="79">
        <f t="shared" si="14"/>
        <v>0</v>
      </c>
      <c r="AA38" s="71"/>
      <c r="AB38" s="80"/>
      <c r="AC38" s="79">
        <f t="shared" si="14"/>
        <v>0</v>
      </c>
      <c r="AD38" s="71"/>
      <c r="AE38" s="80"/>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1949</v>
      </c>
      <c r="T39" s="79">
        <f t="shared" si="8"/>
        <v>0</v>
      </c>
      <c r="U39" s="71"/>
      <c r="V39" s="80"/>
      <c r="W39" s="79">
        <f t="shared" si="9"/>
        <v>0</v>
      </c>
      <c r="X39" s="71"/>
      <c r="Y39" s="80"/>
      <c r="Z39" s="79">
        <f t="shared" si="14"/>
        <v>0</v>
      </c>
      <c r="AA39" s="71"/>
      <c r="AB39" s="80"/>
      <c r="AC39" s="79">
        <f t="shared" si="14"/>
        <v>0</v>
      </c>
      <c r="AD39" s="71"/>
      <c r="AE39" s="80"/>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c r="W40" s="79">
        <f t="shared" si="9"/>
        <v>0</v>
      </c>
      <c r="X40" s="71"/>
      <c r="Y40" s="80"/>
      <c r="Z40" s="79">
        <f t="shared" si="14"/>
        <v>0</v>
      </c>
      <c r="AA40" s="71"/>
      <c r="AB40" s="80"/>
      <c r="AC40" s="79">
        <f t="shared" si="14"/>
        <v>0</v>
      </c>
      <c r="AD40" s="71"/>
      <c r="AE40" s="80"/>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1950</v>
      </c>
      <c r="T41" s="79">
        <f t="shared" si="8"/>
        <v>0</v>
      </c>
      <c r="U41" s="71"/>
      <c r="V41" s="80"/>
      <c r="W41" s="79">
        <f t="shared" si="9"/>
        <v>0</v>
      </c>
      <c r="X41" s="71"/>
      <c r="Y41" s="80"/>
      <c r="Z41" s="79">
        <f t="shared" si="14"/>
        <v>0</v>
      </c>
      <c r="AA41" s="71"/>
      <c r="AB41" s="80"/>
      <c r="AC41" s="79">
        <f t="shared" si="14"/>
        <v>0</v>
      </c>
      <c r="AD41" s="71"/>
      <c r="AE41" s="80"/>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1943</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c r="Z42" s="83">
        <f t="shared" si="14"/>
        <v>0</v>
      </c>
      <c r="AA42" s="71"/>
      <c r="AB42" s="82"/>
      <c r="AC42" s="83">
        <f t="shared" si="14"/>
        <v>0</v>
      </c>
      <c r="AD42" s="71"/>
      <c r="AE42" s="82"/>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1951</v>
      </c>
      <c r="T43" s="79">
        <f t="shared" si="8"/>
        <v>0</v>
      </c>
      <c r="U43" s="71"/>
      <c r="V43" s="80"/>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c r="AC43" s="79">
        <f t="shared" si="16"/>
        <v>0</v>
      </c>
      <c r="AD43" s="71"/>
      <c r="AE43" s="80"/>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1941</v>
      </c>
      <c r="T44" s="79">
        <f t="shared" si="8"/>
        <v>0</v>
      </c>
      <c r="U44" s="71"/>
      <c r="V44" s="80"/>
      <c r="W44" s="79">
        <f t="shared" si="15"/>
        <v>0</v>
      </c>
      <c r="X44" s="71"/>
      <c r="Y44" s="80"/>
      <c r="Z44" s="79">
        <f t="shared" si="16"/>
        <v>0</v>
      </c>
      <c r="AA44" s="71"/>
      <c r="AB44" s="80"/>
      <c r="AC44" s="79">
        <f t="shared" si="16"/>
        <v>0</v>
      </c>
      <c r="AD44" s="71"/>
      <c r="AE44" s="80"/>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1948</v>
      </c>
      <c r="T45" s="79">
        <f t="shared" si="8"/>
        <v>0</v>
      </c>
      <c r="U45" s="71"/>
      <c r="V45" s="80"/>
      <c r="W45" s="79">
        <f t="shared" si="15"/>
        <v>0</v>
      </c>
      <c r="X45" s="71"/>
      <c r="Y45" s="80"/>
      <c r="Z45" s="79">
        <f t="shared" si="16"/>
        <v>0</v>
      </c>
      <c r="AA45" s="71"/>
      <c r="AB45" s="80"/>
      <c r="AC45" s="79">
        <f t="shared" si="16"/>
        <v>0</v>
      </c>
      <c r="AD45" s="71"/>
      <c r="AE45" s="80"/>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1949</v>
      </c>
      <c r="T46" s="79">
        <f t="shared" si="8"/>
        <v>0</v>
      </c>
      <c r="U46" s="71"/>
      <c r="V46" s="80"/>
      <c r="W46" s="79">
        <f t="shared" si="15"/>
        <v>0</v>
      </c>
      <c r="X46" s="71"/>
      <c r="Y46" s="80"/>
      <c r="Z46" s="79">
        <f t="shared" si="16"/>
        <v>0</v>
      </c>
      <c r="AA46" s="71"/>
      <c r="AB46" s="80"/>
      <c r="AC46" s="79">
        <f t="shared" si="16"/>
        <v>0</v>
      </c>
      <c r="AD46" s="71"/>
      <c r="AE46" s="80"/>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1943</v>
      </c>
      <c r="T47" s="79">
        <f t="shared" si="8"/>
        <v>0</v>
      </c>
      <c r="U47" s="71"/>
      <c r="V47" s="80"/>
      <c r="W47" s="79">
        <f t="shared" si="15"/>
        <v>0</v>
      </c>
      <c r="X47" s="71"/>
      <c r="Y47" s="80"/>
      <c r="Z47" s="79">
        <f t="shared" si="16"/>
        <v>0</v>
      </c>
      <c r="AA47" s="71"/>
      <c r="AB47" s="80"/>
      <c r="AC47" s="79">
        <f t="shared" si="16"/>
        <v>0</v>
      </c>
      <c r="AD47" s="71"/>
      <c r="AE47" s="80"/>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1948</v>
      </c>
      <c r="T48" s="79">
        <f t="shared" si="8"/>
        <v>0</v>
      </c>
      <c r="U48" s="71"/>
      <c r="V48" s="80"/>
      <c r="W48" s="79">
        <f t="shared" si="15"/>
        <v>0</v>
      </c>
      <c r="X48" s="71"/>
      <c r="Y48" s="80"/>
      <c r="Z48" s="79">
        <f t="shared" si="16"/>
        <v>0</v>
      </c>
      <c r="AA48" s="71"/>
      <c r="AB48" s="80"/>
      <c r="AC48" s="79">
        <f t="shared" si="16"/>
        <v>0</v>
      </c>
      <c r="AD48" s="71"/>
      <c r="AE48" s="80"/>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c r="W49" s="79">
        <f t="shared" si="15"/>
        <v>0</v>
      </c>
      <c r="X49" s="71"/>
      <c r="Y49" s="80"/>
      <c r="Z49" s="79">
        <f t="shared" si="16"/>
        <v>0</v>
      </c>
      <c r="AA49" s="71"/>
      <c r="AB49" s="80"/>
      <c r="AC49" s="79">
        <f t="shared" si="16"/>
        <v>0</v>
      </c>
      <c r="AD49" s="71"/>
      <c r="AE49" s="80"/>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1947</v>
      </c>
      <c r="T50" s="79">
        <f t="shared" si="8"/>
        <v>0</v>
      </c>
      <c r="U50" s="71"/>
      <c r="V50" s="80"/>
      <c r="W50" s="79">
        <f t="shared" si="15"/>
        <v>0</v>
      </c>
      <c r="X50" s="71"/>
      <c r="Y50" s="80"/>
      <c r="Z50" s="79">
        <f t="shared" si="16"/>
        <v>0</v>
      </c>
      <c r="AA50" s="71"/>
      <c r="AB50" s="80"/>
      <c r="AC50" s="79">
        <f t="shared" si="16"/>
        <v>0</v>
      </c>
      <c r="AD50" s="71"/>
      <c r="AE50" s="80"/>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1948</v>
      </c>
      <c r="T51" s="79">
        <f t="shared" si="8"/>
        <v>0</v>
      </c>
      <c r="U51" s="71"/>
      <c r="V51" s="80"/>
      <c r="W51" s="79">
        <f t="shared" si="15"/>
        <v>0</v>
      </c>
      <c r="X51" s="71"/>
      <c r="Y51" s="80"/>
      <c r="Z51" s="79">
        <f t="shared" si="16"/>
        <v>0</v>
      </c>
      <c r="AA51" s="71"/>
      <c r="AB51" s="80"/>
      <c r="AC51" s="79">
        <f t="shared" si="16"/>
        <v>0</v>
      </c>
      <c r="AD51" s="71"/>
      <c r="AE51" s="80"/>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1941</v>
      </c>
      <c r="T52" s="79">
        <f t="shared" si="8"/>
        <v>0</v>
      </c>
      <c r="U52" s="71"/>
      <c r="V52" s="80"/>
      <c r="W52" s="79">
        <f t="shared" si="15"/>
        <v>0</v>
      </c>
      <c r="X52" s="71"/>
      <c r="Y52" s="80"/>
      <c r="Z52" s="79">
        <f t="shared" si="16"/>
        <v>0</v>
      </c>
      <c r="AA52" s="71"/>
      <c r="AB52" s="80"/>
      <c r="AC52" s="79">
        <f t="shared" si="16"/>
        <v>0</v>
      </c>
      <c r="AD52" s="71"/>
      <c r="AE52" s="80"/>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1944</v>
      </c>
      <c r="T53" s="85">
        <f t="shared" si="8"/>
        <v>0</v>
      </c>
      <c r="U53" s="71"/>
      <c r="V53" s="84"/>
      <c r="W53" s="85">
        <f t="shared" si="15"/>
        <v>0</v>
      </c>
      <c r="X53" s="71"/>
      <c r="Y53" s="84"/>
      <c r="Z53" s="85">
        <f t="shared" si="16"/>
        <v>0</v>
      </c>
      <c r="AA53" s="71"/>
      <c r="AB53" s="84"/>
      <c r="AC53" s="85">
        <f t="shared" si="16"/>
        <v>0</v>
      </c>
      <c r="AD53" s="71"/>
      <c r="AE53" s="84"/>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1946</v>
      </c>
      <c r="T54" s="83">
        <f t="shared" si="8"/>
        <v>0</v>
      </c>
      <c r="U54" s="71"/>
      <c r="V54" s="82" t="str">
        <f>Idiomas!$D$366</f>
        <v>Pegar Valores (J3)</v>
      </c>
      <c r="W54" s="83">
        <f t="shared" si="15"/>
        <v>0</v>
      </c>
      <c r="X54" s="71"/>
      <c r="Y54" s="82" t="str">
        <f>Idiomas!$D$366</f>
        <v>Pegar Valores (J3)</v>
      </c>
      <c r="Z54" s="83">
        <f t="shared" si="16"/>
        <v>0</v>
      </c>
      <c r="AA54" s="71"/>
      <c r="AB54" s="82" t="str">
        <f>Idiomas!$D$366</f>
        <v>Pegar Valores (J3)</v>
      </c>
      <c r="AC54" s="83">
        <f t="shared" si="16"/>
        <v>0</v>
      </c>
      <c r="AD54" s="71"/>
      <c r="AE54" s="82" t="str">
        <f>Idiomas!$D$366</f>
        <v>Pegar Valores (J3)</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1948</v>
      </c>
      <c r="T55" s="79">
        <f t="shared" si="8"/>
        <v>0</v>
      </c>
      <c r="U55" s="71"/>
      <c r="V55" s="80"/>
      <c r="W55" s="79">
        <f t="shared" si="15"/>
        <v>0</v>
      </c>
      <c r="X55" s="71"/>
      <c r="Y55" s="80"/>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c r="AC55" s="79">
        <f t="shared" si="17"/>
        <v>0</v>
      </c>
      <c r="AD55" s="71"/>
      <c r="AE55" s="80"/>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1946</v>
      </c>
      <c r="T56" s="79">
        <f t="shared" si="8"/>
        <v>0</v>
      </c>
      <c r="U56" s="71"/>
      <c r="V56" s="80"/>
      <c r="W56" s="79">
        <f t="shared" si="15"/>
        <v>0</v>
      </c>
      <c r="X56" s="71"/>
      <c r="Y56" s="80"/>
      <c r="Z56" s="79">
        <f t="shared" si="17"/>
        <v>0</v>
      </c>
      <c r="AA56" s="71"/>
      <c r="AB56" s="80"/>
      <c r="AC56" s="79">
        <f t="shared" si="17"/>
        <v>0</v>
      </c>
      <c r="AD56" s="71"/>
      <c r="AE56" s="80"/>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1950</v>
      </c>
      <c r="T57" s="79">
        <f t="shared" si="8"/>
        <v>0</v>
      </c>
      <c r="U57" s="71"/>
      <c r="V57" s="80"/>
      <c r="W57" s="79">
        <f t="shared" si="15"/>
        <v>0</v>
      </c>
      <c r="X57" s="71"/>
      <c r="Y57" s="80"/>
      <c r="Z57" s="79">
        <f t="shared" si="17"/>
        <v>0</v>
      </c>
      <c r="AA57" s="71"/>
      <c r="AB57" s="80"/>
      <c r="AC57" s="79">
        <f t="shared" si="17"/>
        <v>0</v>
      </c>
      <c r="AD57" s="71"/>
      <c r="AE57" s="80"/>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1944</v>
      </c>
      <c r="T58" s="79">
        <f t="shared" si="8"/>
        <v>0</v>
      </c>
      <c r="U58" s="71"/>
      <c r="V58" s="80"/>
      <c r="W58" s="79">
        <f t="shared" si="15"/>
        <v>0</v>
      </c>
      <c r="X58" s="71"/>
      <c r="Y58" s="80"/>
      <c r="Z58" s="79">
        <f t="shared" si="17"/>
        <v>0</v>
      </c>
      <c r="AA58" s="71"/>
      <c r="AB58" s="80"/>
      <c r="AC58" s="79">
        <f t="shared" si="17"/>
        <v>0</v>
      </c>
      <c r="AD58" s="71"/>
      <c r="AE58" s="80"/>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1952</v>
      </c>
      <c r="T59" s="79">
        <f t="shared" si="8"/>
        <v>0</v>
      </c>
      <c r="U59" s="71"/>
      <c r="V59" s="80"/>
      <c r="W59" s="79">
        <f t="shared" si="15"/>
        <v>0</v>
      </c>
      <c r="X59" s="71"/>
      <c r="Y59" s="80"/>
      <c r="Z59" s="79">
        <f t="shared" si="17"/>
        <v>0</v>
      </c>
      <c r="AA59" s="71"/>
      <c r="AB59" s="80"/>
      <c r="AC59" s="79">
        <f t="shared" si="17"/>
        <v>0</v>
      </c>
      <c r="AD59" s="71"/>
      <c r="AE59" s="80"/>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1950</v>
      </c>
      <c r="T60" s="83">
        <f t="shared" si="8"/>
        <v>0</v>
      </c>
      <c r="U60" s="71"/>
      <c r="V60" s="82"/>
      <c r="W60" s="83">
        <f t="shared" si="15"/>
        <v>0</v>
      </c>
      <c r="X60" s="71"/>
      <c r="Y60" s="82"/>
      <c r="Z60" s="83">
        <f t="shared" si="17"/>
        <v>0</v>
      </c>
      <c r="AA60" s="71"/>
      <c r="AB60" s="82"/>
      <c r="AC60" s="83">
        <f t="shared" si="17"/>
        <v>0</v>
      </c>
      <c r="AD60" s="71"/>
      <c r="AE60" s="82"/>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c r="W61" s="79">
        <f t="shared" si="15"/>
        <v>0</v>
      </c>
      <c r="X61" s="71"/>
      <c r="Y61" s="80"/>
      <c r="Z61" s="79">
        <f t="shared" si="17"/>
        <v>0</v>
      </c>
      <c r="AA61" s="71"/>
      <c r="AB61" s="80"/>
      <c r="AC61" s="79">
        <f t="shared" si="17"/>
        <v>0</v>
      </c>
      <c r="AD61" s="71"/>
      <c r="AE61" s="80"/>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1944</v>
      </c>
      <c r="T62" s="79">
        <f t="shared" si="8"/>
        <v>0</v>
      </c>
      <c r="U62" s="71"/>
      <c r="V62" s="80"/>
      <c r="W62" s="79">
        <f t="shared" si="15"/>
        <v>0</v>
      </c>
      <c r="X62" s="71"/>
      <c r="Y62" s="80"/>
      <c r="Z62" s="79">
        <f t="shared" si="17"/>
        <v>0</v>
      </c>
      <c r="AA62" s="71"/>
      <c r="AB62" s="80"/>
      <c r="AC62" s="79">
        <f t="shared" si="17"/>
        <v>0</v>
      </c>
      <c r="AD62" s="71"/>
      <c r="AE62" s="80"/>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1944</v>
      </c>
      <c r="T63" s="79">
        <f t="shared" si="8"/>
        <v>0</v>
      </c>
      <c r="U63" s="71"/>
      <c r="V63" s="80"/>
      <c r="W63" s="79">
        <f t="shared" si="15"/>
        <v>0</v>
      </c>
      <c r="X63" s="71"/>
      <c r="Y63" s="80"/>
      <c r="Z63" s="79">
        <f t="shared" si="17"/>
        <v>0</v>
      </c>
      <c r="AA63" s="71"/>
      <c r="AB63" s="80"/>
      <c r="AC63" s="79">
        <f t="shared" si="17"/>
        <v>0</v>
      </c>
      <c r="AD63" s="71"/>
      <c r="AE63" s="80"/>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1945</v>
      </c>
      <c r="T64" s="79">
        <f t="shared" si="8"/>
        <v>0</v>
      </c>
      <c r="U64" s="71"/>
      <c r="V64" s="80"/>
      <c r="W64" s="79">
        <f t="shared" si="15"/>
        <v>0</v>
      </c>
      <c r="X64" s="71"/>
      <c r="Y64" s="80"/>
      <c r="Z64" s="79">
        <f t="shared" si="17"/>
        <v>0</v>
      </c>
      <c r="AA64" s="71"/>
      <c r="AB64" s="80"/>
      <c r="AC64" s="79">
        <f t="shared" si="17"/>
        <v>0</v>
      </c>
      <c r="AD64" s="71"/>
      <c r="AE64" s="80"/>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1944</v>
      </c>
      <c r="T65" s="79">
        <f t="shared" si="8"/>
        <v>0</v>
      </c>
      <c r="U65" s="71"/>
      <c r="V65" s="80"/>
      <c r="W65" s="79">
        <f t="shared" si="15"/>
        <v>0</v>
      </c>
      <c r="X65" s="71"/>
      <c r="Y65" s="80"/>
      <c r="Z65" s="79">
        <f t="shared" si="17"/>
        <v>0</v>
      </c>
      <c r="AA65" s="71"/>
      <c r="AB65" s="80"/>
      <c r="AC65" s="79">
        <f t="shared" si="17"/>
        <v>0</v>
      </c>
      <c r="AD65" s="71"/>
      <c r="AE65" s="80"/>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1943</v>
      </c>
      <c r="T66" s="79">
        <f t="shared" si="8"/>
        <v>0</v>
      </c>
      <c r="U66" s="71"/>
      <c r="V66" s="80"/>
      <c r="W66" s="79">
        <f t="shared" si="15"/>
        <v>0</v>
      </c>
      <c r="X66" s="71"/>
      <c r="Y66" s="80"/>
      <c r="Z66" s="79">
        <f t="shared" si="17"/>
        <v>0</v>
      </c>
      <c r="AA66" s="71"/>
      <c r="AB66" s="80"/>
      <c r="AC66" s="79">
        <f t="shared" si="17"/>
        <v>0</v>
      </c>
      <c r="AD66" s="71"/>
      <c r="AE66" s="80"/>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1943</v>
      </c>
      <c r="T67" s="79">
        <f t="shared" si="8"/>
        <v>0</v>
      </c>
      <c r="U67" s="71"/>
      <c r="V67" s="80"/>
      <c r="W67" s="79">
        <f t="shared" si="15"/>
        <v>0</v>
      </c>
      <c r="X67" s="71"/>
      <c r="Y67" s="80"/>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c r="AC67" s="79">
        <f t="shared" si="18"/>
        <v>0</v>
      </c>
      <c r="AD67" s="71"/>
      <c r="AE67" s="80"/>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1946</v>
      </c>
      <c r="T68" s="79">
        <f t="shared" si="8"/>
        <v>0</v>
      </c>
      <c r="U68" s="71"/>
      <c r="V68" s="80"/>
      <c r="W68" s="79">
        <f t="shared" si="15"/>
        <v>0</v>
      </c>
      <c r="X68" s="71"/>
      <c r="Y68" s="80"/>
      <c r="Z68" s="79">
        <f t="shared" si="18"/>
        <v>0</v>
      </c>
      <c r="AA68" s="71"/>
      <c r="AB68" s="80"/>
      <c r="AC68" s="79">
        <f t="shared" si="18"/>
        <v>0</v>
      </c>
      <c r="AD68" s="71"/>
      <c r="AE68" s="80"/>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1950</v>
      </c>
      <c r="T69" s="79">
        <f t="shared" si="8"/>
        <v>0</v>
      </c>
      <c r="U69" s="71"/>
      <c r="V69" s="80"/>
      <c r="W69" s="79">
        <f t="shared" si="15"/>
        <v>0</v>
      </c>
      <c r="X69" s="71"/>
      <c r="Y69" s="80"/>
      <c r="Z69" s="79">
        <f t="shared" si="18"/>
        <v>0</v>
      </c>
      <c r="AA69" s="71"/>
      <c r="AB69" s="80"/>
      <c r="AC69" s="79">
        <f t="shared" si="18"/>
        <v>0</v>
      </c>
      <c r="AD69" s="71"/>
      <c r="AE69" s="80"/>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1945</v>
      </c>
      <c r="T70" s="79">
        <f t="shared" si="8"/>
        <v>0</v>
      </c>
      <c r="U70" s="71"/>
      <c r="V70" s="80"/>
      <c r="W70" s="79">
        <f t="shared" si="15"/>
        <v>0</v>
      </c>
      <c r="X70" s="71"/>
      <c r="Y70" s="80"/>
      <c r="Z70" s="79">
        <f t="shared" si="18"/>
        <v>0</v>
      </c>
      <c r="AA70" s="71"/>
      <c r="AB70" s="80"/>
      <c r="AC70" s="79">
        <f t="shared" si="18"/>
        <v>0</v>
      </c>
      <c r="AD70" s="71"/>
      <c r="AE70" s="80"/>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1941</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c r="W71" s="79">
        <f t="shared" si="15"/>
        <v>0</v>
      </c>
      <c r="X71" s="71"/>
      <c r="Y71" s="80"/>
      <c r="Z71" s="79">
        <f t="shared" si="18"/>
        <v>0</v>
      </c>
      <c r="AA71" s="71"/>
      <c r="AB71" s="80"/>
      <c r="AC71" s="79">
        <f t="shared" si="18"/>
        <v>0</v>
      </c>
      <c r="AD71" s="71"/>
      <c r="AE71" s="80"/>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1946</v>
      </c>
      <c r="T72" s="79">
        <f t="shared" si="21"/>
        <v>0</v>
      </c>
      <c r="U72" s="71"/>
      <c r="V72" s="80"/>
      <c r="W72" s="79">
        <f t="shared" si="15"/>
        <v>0</v>
      </c>
      <c r="X72" s="71"/>
      <c r="Y72" s="80"/>
      <c r="Z72" s="79">
        <f t="shared" si="18"/>
        <v>0</v>
      </c>
      <c r="AA72" s="71"/>
      <c r="AB72" s="80"/>
      <c r="AC72" s="79">
        <f t="shared" si="18"/>
        <v>0</v>
      </c>
      <c r="AD72" s="71"/>
      <c r="AE72" s="80"/>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1953</v>
      </c>
      <c r="T73" s="79">
        <f t="shared" si="21"/>
        <v>0</v>
      </c>
      <c r="U73" s="71"/>
      <c r="V73" s="80"/>
      <c r="W73" s="79">
        <f t="shared" si="15"/>
        <v>0</v>
      </c>
      <c r="X73" s="71"/>
      <c r="Y73" s="80"/>
      <c r="Z73" s="79">
        <f t="shared" si="18"/>
        <v>0</v>
      </c>
      <c r="AA73" s="71"/>
      <c r="AB73" s="80"/>
      <c r="AC73" s="79">
        <f t="shared" si="18"/>
        <v>0</v>
      </c>
      <c r="AD73" s="71"/>
      <c r="AE73" s="80"/>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1950</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c r="Z74" s="79">
        <f t="shared" si="18"/>
        <v>0</v>
      </c>
      <c r="AA74" s="71"/>
      <c r="AB74" s="80"/>
      <c r="AC74" s="79">
        <f t="shared" si="18"/>
        <v>0</v>
      </c>
      <c r="AD74" s="71"/>
      <c r="AE74" s="80"/>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1946</v>
      </c>
      <c r="T75" s="79">
        <f t="shared" si="21"/>
        <v>0</v>
      </c>
      <c r="U75" s="71"/>
      <c r="V75" s="80"/>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c r="Z75" s="79">
        <f t="shared" si="18"/>
        <v>0</v>
      </c>
      <c r="AA75" s="71"/>
      <c r="AB75" s="80"/>
      <c r="AC75" s="79">
        <f t="shared" si="18"/>
        <v>0</v>
      </c>
      <c r="AD75" s="71"/>
      <c r="AE75" s="80"/>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1950</v>
      </c>
      <c r="T76" s="79">
        <f t="shared" si="21"/>
        <v>0</v>
      </c>
      <c r="U76" s="71"/>
      <c r="V76" s="80"/>
      <c r="W76" s="79">
        <f t="shared" si="22"/>
        <v>0</v>
      </c>
      <c r="X76" s="71"/>
      <c r="Y76" s="80"/>
      <c r="Z76" s="79">
        <f t="shared" si="18"/>
        <v>0</v>
      </c>
      <c r="AA76" s="71"/>
      <c r="AB76" s="80"/>
      <c r="AC76" s="79">
        <f t="shared" si="18"/>
        <v>0</v>
      </c>
      <c r="AD76" s="71"/>
      <c r="AE76" s="80"/>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1943</v>
      </c>
      <c r="T77" s="87">
        <f t="shared" si="21"/>
        <v>0</v>
      </c>
      <c r="U77" s="71"/>
      <c r="V77" s="86"/>
      <c r="W77" s="87">
        <f t="shared" si="22"/>
        <v>0</v>
      </c>
      <c r="X77" s="71"/>
      <c r="Y77" s="86"/>
      <c r="Z77" s="87">
        <f t="shared" si="18"/>
        <v>0</v>
      </c>
      <c r="AA77" s="71"/>
      <c r="AB77" s="86"/>
      <c r="AC77" s="87">
        <f t="shared" si="18"/>
        <v>0</v>
      </c>
      <c r="AD77" s="71"/>
      <c r="AE77" s="86"/>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6</v>
      </c>
      <c r="U78" s="70"/>
      <c r="V78" s="88"/>
      <c r="W78" s="89">
        <f>SUM(W6:W77)</f>
        <v>0</v>
      </c>
      <c r="X78" s="70"/>
      <c r="Y78" s="88"/>
      <c r="Z78" s="89">
        <f t="shared" ref="Z78" si="23">SUM(Z6:Z77)</f>
        <v>0</v>
      </c>
      <c r="AA78" s="70"/>
      <c r="AB78" s="88"/>
      <c r="AC78" s="89">
        <f t="shared" ref="AC78" si="24">SUM(AC6:AC77)</f>
        <v>0</v>
      </c>
      <c r="AD78" s="70"/>
      <c r="AE78" s="88"/>
      <c r="AF78" s="89">
        <f t="shared" ref="AF78" si="25">SUM(AF6:AF77)</f>
        <v>0</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1957</v>
      </c>
      <c r="T253" s="79">
        <f>COUNTIF($M$253,S253)*$D$42</f>
        <v>0</v>
      </c>
      <c r="U253" s="70"/>
      <c r="V253" s="80" t="str">
        <f>Idiomas!$D$373</f>
        <v>Pegar Valores Cuadro de Honor</v>
      </c>
      <c r="W253" s="79">
        <f t="shared" ref="W253" si="333">COUNTIF($M$253,V253)*$D$42</f>
        <v>0</v>
      </c>
      <c r="X253" s="70"/>
      <c r="Y253" s="80" t="str">
        <f>Idiomas!$D$373</f>
        <v>Pegar Valores Cuadro de Honor</v>
      </c>
      <c r="Z253" s="79">
        <f t="shared" ref="Z253" si="334">COUNTIF($M$253,Y253)*$D$42</f>
        <v>0</v>
      </c>
      <c r="AA253" s="70"/>
      <c r="AB253" s="80" t="str">
        <f>Idiomas!$D$373</f>
        <v>Pegar Valores Cuadro de Honor</v>
      </c>
      <c r="AC253" s="79">
        <f t="shared" ref="AC253" si="335">COUNTIF($M$253,AB253)*$D$42</f>
        <v>0</v>
      </c>
      <c r="AD253" s="70"/>
      <c r="AE253" s="80" t="str">
        <f>Idiomas!$D$373</f>
        <v>Pegar Valores Cuadro de Honor</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1954</v>
      </c>
      <c r="T254" s="79">
        <f>COUNTIF($M$254,S254)*$D$43</f>
        <v>0</v>
      </c>
      <c r="U254" s="70"/>
      <c r="V254" s="80"/>
      <c r="W254" s="79">
        <f t="shared" ref="W254" si="337">COUNTIF($M$254,V254)*$D$43</f>
        <v>0</v>
      </c>
      <c r="X254" s="70"/>
      <c r="Y254" s="80"/>
      <c r="Z254" s="79">
        <f t="shared" ref="Z254" si="338">COUNTIF($M$254,Y254)*$D$43</f>
        <v>0</v>
      </c>
      <c r="AA254" s="70"/>
      <c r="AB254" s="80"/>
      <c r="AC254" s="79">
        <f t="shared" ref="AC254" si="339">COUNTIF($M$254,AB254)*$D$43</f>
        <v>0</v>
      </c>
      <c r="AD254" s="70"/>
      <c r="AE254" s="80"/>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1955</v>
      </c>
      <c r="T255" s="79">
        <f>COUNTIF($M$255,S255)*$D$44</f>
        <v>0</v>
      </c>
      <c r="U255" s="70"/>
      <c r="V255" s="80"/>
      <c r="W255" s="79">
        <f t="shared" ref="W255" si="341">COUNTIF($M$255,V255)*$D$44</f>
        <v>0</v>
      </c>
      <c r="X255" s="70"/>
      <c r="Y255" s="80"/>
      <c r="Z255" s="79">
        <f t="shared" ref="Z255" si="342">COUNTIF($M$255,Y255)*$D$44</f>
        <v>0</v>
      </c>
      <c r="AA255" s="70"/>
      <c r="AB255" s="80"/>
      <c r="AC255" s="79">
        <f t="shared" ref="AC255" si="343">COUNTIF($M$255,AB255)*$D$44</f>
        <v>0</v>
      </c>
      <c r="AD255" s="70"/>
      <c r="AE255" s="80"/>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1955</v>
      </c>
      <c r="T256" s="79">
        <f>COUNTIF($M$256,S256)*$D$45</f>
        <v>0</v>
      </c>
      <c r="U256" s="70"/>
      <c r="V256" s="80"/>
      <c r="W256" s="79">
        <f t="shared" ref="W256" si="345">COUNTIF($M$256,V256)*$D$45</f>
        <v>0</v>
      </c>
      <c r="X256" s="70"/>
      <c r="Y256" s="80"/>
      <c r="Z256" s="79">
        <f t="shared" ref="Z256" si="346">COUNTIF($M$256,Y256)*$D$45</f>
        <v>0</v>
      </c>
      <c r="AA256" s="70"/>
      <c r="AB256" s="80"/>
      <c r="AC256" s="79">
        <f t="shared" ref="AC256" si="347">COUNTIF($M$256,AB256)*$D$45</f>
        <v>0</v>
      </c>
      <c r="AD256" s="70"/>
      <c r="AE256" s="80"/>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1956</v>
      </c>
      <c r="T257" s="79">
        <f>COUNTIF($M$257,S257)*$D$46</f>
        <v>0</v>
      </c>
      <c r="U257" s="70"/>
      <c r="V257" s="80"/>
      <c r="W257" s="79">
        <f t="shared" ref="W257" si="349">COUNTIF($M$257,V257)*$D$46</f>
        <v>0</v>
      </c>
      <c r="X257" s="70"/>
      <c r="Y257" s="80"/>
      <c r="Z257" s="79">
        <f t="shared" ref="Z257" si="350">COUNTIF($M$257,Y257)*$D$46</f>
        <v>0</v>
      </c>
      <c r="AA257" s="70"/>
      <c r="AB257" s="80"/>
      <c r="AC257" s="79">
        <f t="shared" ref="AC257" si="351">COUNTIF($M$257,AB257)*$D$46</f>
        <v>0</v>
      </c>
      <c r="AD257" s="70"/>
      <c r="AE257" s="80"/>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1958</v>
      </c>
      <c r="T258" s="87">
        <f>COUNTIF($M$258,S258)*$D$47</f>
        <v>0</v>
      </c>
      <c r="U258" s="70"/>
      <c r="V258" s="86"/>
      <c r="W258" s="87">
        <f t="shared" ref="W258" si="353">COUNTIF($M$258,V258)*$D$47</f>
        <v>0</v>
      </c>
      <c r="X258" s="70"/>
      <c r="Y258" s="86"/>
      <c r="Z258" s="87">
        <f t="shared" ref="Z258" si="354">COUNTIF($M$258,Y258)*$D$47</f>
        <v>0</v>
      </c>
      <c r="AA258" s="70"/>
      <c r="AB258" s="86"/>
      <c r="AC258" s="87">
        <f t="shared" ref="AC258" si="355">COUNTIF($M$258,AB258)*$D$47</f>
        <v>0</v>
      </c>
      <c r="AD258" s="70"/>
      <c r="AE258" s="86"/>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2.9981</v>
      </c>
      <c r="T264" s="25"/>
      <c r="U264" s="25"/>
      <c r="V264" s="25">
        <f t="shared" ref="V264" ca="1" si="361">V266-(COLUMN()/10000)</f>
        <v>-2.2000000000000001E-3</v>
      </c>
      <c r="W264" s="25"/>
      <c r="X264" s="25"/>
      <c r="Y264" s="25">
        <f t="shared" ref="Y264" ca="1" si="362">Y266-(COLUMN()/10000)</f>
        <v>-2.5000000000000001E-3</v>
      </c>
      <c r="Z264" s="25"/>
      <c r="AA264" s="25"/>
      <c r="AB264" s="25">
        <f t="shared" ref="AB264" ca="1" si="363">AB266-(COLUMN()/10000)</f>
        <v>-2.8E-3</v>
      </c>
      <c r="AC264" s="25"/>
      <c r="AD264" s="25"/>
      <c r="AE264" s="25">
        <f t="shared" ref="AE264" ca="1" si="364">AE266-(COLUMN()/10000)</f>
        <v>-3.0999999999999999E-3</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1</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2</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3</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CRESPO</v>
      </c>
      <c r="T267" s="25"/>
      <c r="U267" s="25"/>
      <c r="V267" s="25" t="str">
        <f t="shared" ref="V267" si="365">V5</f>
        <v>Pegar Valores Nombre J2</v>
      </c>
      <c r="W267" s="25"/>
      <c r="X267" s="25"/>
      <c r="Y267" s="25" t="str">
        <f t="shared" ref="Y267" si="366">Y5</f>
        <v>Pegar Valores Nombre J3</v>
      </c>
      <c r="Z267" s="25"/>
      <c r="AA267" s="25"/>
      <c r="AB267" s="25" t="str">
        <f t="shared" ref="AB267" si="367">AB5</f>
        <v>Pegar Valores Nombre J4</v>
      </c>
      <c r="AC267" s="25"/>
      <c r="AD267" s="25"/>
      <c r="AE267" s="25" t="str">
        <f t="shared" ref="AE267" si="368">AE5</f>
        <v>Pegar Valores Nombre J5</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CRESPO</v>
      </c>
      <c r="D5" s="97">
        <f ca="1">IFERROR(HLOOKUP(A5,Rango_Admin_Clas,4,FALSE),"-")</f>
        <v>6</v>
      </c>
      <c r="E5" s="98" cm="1">
        <f t="array" aca="1" ref="E5" ca="1">IFERROR(INDEX(Rango_Admin_Clas_Total,E$2,MATCH($A5,Rango_Admin_Clas_Primera,0)+1),"-")</f>
        <v>6</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2</v>
      </c>
      <c r="C6" s="18" t="str">
        <f ca="1">IFERROR(HLOOKUP(A6,Rango_Admin_Clas,5,FALSE),"-")</f>
        <v>Pegar Valores Nombre J2</v>
      </c>
      <c r="D6" s="97">
        <f ca="1">IFERROR(HLOOKUP(A6,Rango_Admin_Clas,4,FALSE),"-")</f>
        <v>0</v>
      </c>
      <c r="E6" s="98" cm="1">
        <f t="array" aca="1" ref="E6" ca="1">IFERROR(INDEX(Rango_Admin_Clas_Total,E$2,MATCH($A6,Rango_Admin_Clas_Primera,0)+1),"-")</f>
        <v>0</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2</v>
      </c>
      <c r="C7" s="18" t="str">
        <f ca="1">IFERROR(HLOOKUP(A7,Rango_Admin_Clas,5,FALSE),"-")</f>
        <v>Pegar Valores Nombre J3</v>
      </c>
      <c r="D7" s="97">
        <f ca="1">IFERROR(HLOOKUP(A7,Rango_Admin_Clas,4,FALSE),"-")</f>
        <v>0</v>
      </c>
      <c r="E7" s="98" cm="1">
        <f t="array" aca="1" ref="E7" ca="1">IFERROR(INDEX(Rango_Admin_Clas_Total,E$2,MATCH($A7,Rango_Admin_Clas_Primera,0)+1),"-")</f>
        <v>0</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2</v>
      </c>
      <c r="C8" s="18" t="str">
        <f ca="1">IFERROR(HLOOKUP(A8,Rango_Admin_Clas,5,FALSE),"-")</f>
        <v>Pegar Valores Nombre J4</v>
      </c>
      <c r="D8" s="97">
        <f ca="1">IFERROR(HLOOKUP(A8,Rango_Admin_Clas,4,FALSE),"-")</f>
        <v>0</v>
      </c>
      <c r="E8" s="98" cm="1">
        <f t="array" aca="1" ref="E8" ca="1">IFERROR(INDEX(Rango_Admin_Clas_Total,E$2,MATCH($A8,Rango_Admin_Clas_Primera,0)+1),"-")</f>
        <v>0</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2</v>
      </c>
      <c r="C9" s="18" t="str">
        <f ca="1">IFERROR(HLOOKUP(A9,Rango_Admin_Clas,5,FALSE),"-")</f>
        <v>Pegar Valores Nombre J5</v>
      </c>
      <c r="D9" s="97">
        <f ca="1">IFERROR(HLOOKUP(A9,Rango_Admin_Clas,4,FALSE),"-")</f>
        <v>0</v>
      </c>
      <c r="E9" s="98" cm="1">
        <f t="array" aca="1" ref="E9" ca="1">IFERROR(INDEX(Rango_Admin_Clas_Total,E$2,MATCH($A9,Rango_Admin_Clas_Primera,0)+1),"-")</f>
        <v>0</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CRESPO</v>
      </c>
      <c r="G4" s="437" t="str">
        <f ca="1">IFERROR(VLOOKUP(G$2,Rango_Admin_DailyPred,MATCH($F4,Rango_Admin_DailyPred_Primera,0),0),"-")</f>
        <v>1|3-1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Pegar Valores Nombre J2</v>
      </c>
      <c r="G5" s="437" t="str">
        <f ca="1">IFERROR(VLOOKUP(G$2,Rango_Admin_DailyPred,MATCH($F5,Rango_Admin_DailyPred_Primera,0),0),"-")</f>
        <v>Pegar Valores (J1)</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Pegar Valores Nombre J3</v>
      </c>
      <c r="G6" s="437" t="str">
        <f ca="1">IFERROR(VLOOKUP(G$2,Rango_Admin_DailyPred,MATCH($F6,Rango_Admin_DailyPred_Primera,0),0),"-")</f>
        <v>Pegar Valores (J1)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Pegar Valores Nombre J4</v>
      </c>
      <c r="G7" s="437" t="str">
        <f ca="1">IFERROR(VLOOKUP(G$2,Rango_Admin_DailyPred,MATCH($F7,Rango_Admin_DailyPred_Primera,0),0),"-")</f>
        <v>Pegar Valores (J1)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Pegar Valores Nombre J5</v>
      </c>
      <c r="G8" s="437" t="str">
        <f ca="1">IFERROR(VLOOKUP(G$2,Rango_Admin_DailyPred,MATCH($F8,Rango_Admin_DailyPred_Primera,0),0),"-")</f>
        <v>Pegar Valores (J1)</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CRESPO</v>
      </c>
      <c r="G4" s="22">
        <f ca="1">IFERROR(HLOOKUP(C4,Rango_Admin_DailyClas,4,FALSE),"-")</f>
        <v>3</v>
      </c>
      <c r="H4" s="437">
        <f ca="1">IFERROR(VLOOKUP(H$2,Rango_Admin_DailyPred,MATCH($F4,Rango_Admin_DailyPred_Primera,0)+1,0),"-")</f>
        <v>3</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Pegar Valores Nombre J2</v>
      </c>
      <c r="G5" s="22">
        <f ca="1">IFERROR(HLOOKUP(C5,Rango_Admin_DailyClas,4,FALSE),"-")</f>
        <v>0</v>
      </c>
      <c r="H5" s="437">
        <f ca="1">IFERROR(VLOOKUP(H$2,Rango_Admin_DailyPred,MATCH($F5,Rango_Admin_DailyPred_Primera,0)+1,0),"-")</f>
        <v>0</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Pegar Valores Nombre J3</v>
      </c>
      <c r="G6" s="22">
        <f ca="1">IFERROR(HLOOKUP(C6,Rango_Admin_DailyClas,4,FALSE),"-")</f>
        <v>0</v>
      </c>
      <c r="H6" s="437">
        <f ca="1">IFERROR(VLOOKUP(H$2,Rango_Admin_DailyPred,MATCH($F6,Rango_Admin_DailyPred_Primera,0)+1,0),"-")</f>
        <v>0</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Pegar Valores Nombre J4</v>
      </c>
      <c r="G7" s="22">
        <f ca="1">IFERROR(HLOOKUP(C7,Rango_Admin_DailyClas,4,FALSE),"-")</f>
        <v>0</v>
      </c>
      <c r="H7" s="437">
        <f ca="1">IFERROR(VLOOKUP(H$2,Rango_Admin_DailyPred,MATCH($F7,Rango_Admin_DailyPred_Primera,0)+1,0),"-")</f>
        <v>0</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Pegar Valores Nombre J5</v>
      </c>
      <c r="G8" s="22">
        <f ca="1">IFERROR(HLOOKUP(C8,Rango_Admin_DailyClas,4,FALSE),"-")</f>
        <v>0</v>
      </c>
      <c r="H8" s="437">
        <f ca="1">IFERROR(VLOOKUP(H$2,Rango_Admin_DailyPred,MATCH($F8,Rango_Admin_DailyPred_Primera,0)+1,0),"-")</f>
        <v>0</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9" ca="1">_xlfn.SORTBY(OFFSET($Y$35,0,0,COUNTA(_xlfn.ANCHORARRAY($Y$35)),2),OFFSET(Z35,0,0,COUNTA(_xlfn.ANCHORARRAY($Y$35))),-1)</f>
        <v>Pegar Valores (J1)</v>
      </c>
      <c r="I8" s="712">
        <f ca="1"/>
        <v>4</v>
      </c>
      <c r="J8" s="713" cm="1">
        <f t="array" aca="1" ref="J8:J9"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9"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1|3-1</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c r="I10" s="712"/>
      <c r="J10" s="713"/>
      <c r="K10" s="412"/>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3</v>
      </c>
      <c r="F13" s="464">
        <f ca="1">IFERROR(E13/E12,0)</f>
        <v>0.1</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0</v>
      </c>
      <c r="F14" s="464">
        <f ca="1">IFERROR(E14/ADMIN!$D$5,0)</f>
        <v>0</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1</v>
      </c>
      <c r="F15" s="464">
        <f ca="1">IFERROR(E15/ADMIN!$D$5,0)</f>
        <v>0.2</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4</v>
      </c>
      <c r="F16" s="464">
        <f ca="1">IFERROR(E16/ADMIN!$D$5,0)</f>
        <v>0.8</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0.6</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0</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1</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6" ca="1">IFERROR(IF(_xlfn.ANCHORARRAY(Y35)&lt;&gt;"",COUNTIF(INDEX(DailyPrediction!$G$4:$AQ$58,,MATCH(Stats!$I$5,DailyPrediction!$G$2:$AQ$2,0)),_xlfn.ANCHORARRAY(Y35)),""),"")</f>
        <v>1</v>
      </c>
      <c r="X35" s="11" t="str" cm="1">
        <f t="array" aca="1" ref="X35:X36" ca="1">IFERROR(_xlfn._xlws.SORT(_xlfn.UNIQUE(_xlfn._xlws.FILTER(INDEX(DailyPrediction!$G$4:$AQ$58,,MATCH(Stats!$I$5,DailyPrediction!$G$2:$AQ$2,0)),LEN(INDEX(DailyPrediction!$G$4:$AQ$58,,MATCH(Stats!$I$5,DailyPrediction!$G$2:$AQ$2,0)))&gt;1))),Idiomas!D501)</f>
        <v>1|3-1</v>
      </c>
      <c r="Y35" s="11" t="str" cm="1">
        <f t="array" aca="1" ref="Y35:Y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Z35" s="11" cm="1">
        <f t="array" aca="1" ref="Z35:Z36" ca="1">IFERROR(IF(_xlfn.ANCHORARRAY(Y35)&lt;&gt;"",COUNTIF(INDEX(OFFSET(DailyPrediction!$G$4,0,0,ADMIN!$D$5,COUNTA(DailyPrediction!$A$4:$A$35)),,MATCH(Stats!$I$5,OFFSET(DailyPrediction!$G$2,0,0,1,COUNTA(DailyPrediction!$A$4:$A$35)),0)),_xlfn.ANCHORARRAY(Y35)),""),"")</f>
        <v>1</v>
      </c>
      <c r="AA35" s="11" cm="1">
        <f t="array" aca="1" ref="AA35:AA36"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6"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6" ca="1">_xlfn.SORTBY(OFFSET($Y$35,0,0,COUNTA(_xlfn.ANCHORARRAY($Y$35)),3),OFFSET(Z35,0,0,COUNTA(_xlfn.ANCHORARRAY($Y$35))),-1)</f>
        <v>Pegar Valores (J1)</v>
      </c>
      <c r="AD35" s="11">
        <f ca="1"/>
        <v>4</v>
      </c>
      <c r="AE35" s="11">
        <f ca="1"/>
        <v>0</v>
      </c>
      <c r="AF35" s="11"/>
      <c r="AG35" s="11" t="str" cm="1">
        <f t="array" aca="1" ref="AG35" ca="1">_xlfn.UNIQUE(_xlfn._xlws.FILTER(DailyPrediction!$A$4:$A$35,DailyPrediction!$A$4:$A$35&lt;&gt;""))</f>
        <v>México-Sudáfrica</v>
      </c>
      <c r="AH35" s="11" t="str" cm="1">
        <f t="array" aca="1" ref="AH35:AH36" ca="1">LEFT(OFFSET(_xlfn.ANCHORARRAY(Y35),0,0,COUNTA(_xlfn.ANCHORARRAY(Y35)),1))</f>
        <v>1</v>
      </c>
      <c r="AI35" s="11" t="str" cm="1">
        <f t="array" aca="1" ref="AI35:AI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AJ35" s="11" t="str" cm="1">
        <f t="array" aca="1" ref="AJ35:AJ36" ca="1">IFERROR(_xlfn._xlws.SORT(_xlfn.UNIQUE(INDEX(OFFSET(DailyPrediction!$G$4,0,0,ADMIN!$D$5,COUNTA(_xlfn.ANCHORARRAY(DailyPrediction!$G$2))),,MATCH(Stats!$I$5,OFFSET(DailyPrediction!$G$2,0,0,1,COUNTA(_xlfn.ANCHORARRAY(DailyPrediction!$G$2))),0)),0)),Idiomas!D501)</f>
        <v>1|3-1</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4</v>
      </c>
      <c r="X36" s="11" t="str">
        <f ca="1"/>
        <v>Pegar Valores (J1)</v>
      </c>
      <c r="Y36" s="11" t="str">
        <f ca="1"/>
        <v>Pegar Valores (J1)</v>
      </c>
      <c r="Z36" s="11">
        <f ca="1"/>
        <v>4</v>
      </c>
      <c r="AA36" s="11">
        <f ca="1"/>
        <v>0</v>
      </c>
      <c r="AB36" s="11">
        <f ca="1"/>
        <v>0</v>
      </c>
      <c r="AC36" s="11" t="str">
        <f ca="1"/>
        <v>1|3-1</v>
      </c>
      <c r="AD36" s="11">
        <f ca="1"/>
        <v>1</v>
      </c>
      <c r="AE36" s="11">
        <f ca="1"/>
        <v>0</v>
      </c>
      <c r="AF36" s="11"/>
      <c r="AG36" s="11"/>
      <c r="AH36" s="11" t="str">
        <f ca="1"/>
        <v>P</v>
      </c>
      <c r="AI36" s="11" t="str">
        <f ca="1"/>
        <v>Pegar Valores (J1)</v>
      </c>
      <c r="AJ36" s="11" t="str">
        <f ca="1"/>
        <v>Pegar Valores (J1)</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f>IF(ISBLANK(INDEX(WORLDCUP!$AC$4:$AC$147,MATCH(A5,WORLDCUP!$AH$4:$AH$147,0))),"",INDEX(WORLDCUP!$AC$4:$AC$147,MATCH(A5,WORLDCUP!$AH$4:$AH$147,0)))</f>
        <v>1</v>
      </c>
      <c r="E5" s="538">
        <f>IF(ISBLANK(INDEX(WORLDCUP!$AD$4:$AD$147,MATCH(A5,WORLDCUP!$AH$4:$AH$147,0))),"",INDEX(WORLDCUP!$AD$4:$AD$147,MATCH(A5,WORLDCUP!$AH$4:$AH$147,0)))</f>
        <v>1</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1</v>
      </c>
      <c r="J6" s="230">
        <f ca="1">+INDEX(WORLDCUP!$AT$6:$AT$97,MATCH(L6,WORLDCUP!$AI$6:$AI$97,0))</f>
        <v>-1</v>
      </c>
      <c r="K6" s="231" t="str">
        <f ca="1">+INDEX(WORLDCUP!$AR$6:$AR$97,MATCH(L6,WORLDCUP!$AI$6:$AI$97,0))&amp;"-"&amp;INDEX(WORLDCUP!$AS$6:$AS$97,MATCH(L6,WORLDCUP!$AI$6:$AI$97,0))</f>
        <v>2-3</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1</v>
      </c>
      <c r="J7" s="571">
        <f ca="1">+INDEX(WORLDCUP!$AT$6:$AT$97,MATCH(L7,WORLDCUP!$AI$6:$AI$97,0))</f>
        <v>-2</v>
      </c>
      <c r="K7" s="572" t="str">
        <f ca="1">+INDEX(WORLDCUP!$AR$6:$AR$97,MATCH(L7,WORLDCUP!$AI$6:$AI$97,0))&amp;"-"&amp;INDEX(WORLDCUP!$AS$6:$AS$97,MATCH(L7,WORLDCUP!$AI$6:$AI$97,0))</f>
        <v>1-3</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0</v>
      </c>
      <c r="J12" s="543">
        <f ca="1">+INDEX(WORLDCUP!$AT$6:$AT$97,MATCH(L12,WORLDCUP!$AI$6:$AI$97,0))</f>
        <v>0</v>
      </c>
      <c r="K12" s="544" t="str">
        <f ca="1">+INDEX(WORLDCUP!$AR$6:$AR$97,MATCH(L12,WORLDCUP!$AI$6:$AI$97,0))&amp;"-"&amp;INDEX(WORLDCUP!$AS$6:$AS$97,MATCH(L12,WORLDCUP!$AI$6:$AI$97,0))</f>
        <v>0-0</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0</v>
      </c>
      <c r="J13" s="230">
        <f ca="1">+INDEX(WORLDCUP!$AT$6:$AT$97,MATCH(L13,WORLDCUP!$AI$6:$AI$97,0))</f>
        <v>0</v>
      </c>
      <c r="K13" s="231" t="str">
        <f ca="1">+INDEX(WORLDCUP!$AR$6:$AR$97,MATCH(L13,WORLDCUP!$AI$6:$AI$97,0))&amp;"-"&amp;INDEX(WORLDCUP!$AS$6:$AS$97,MATCH(L13,WORLDCUP!$AI$6:$AI$97,0))</f>
        <v>0-0</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2026-06-12T22:25:17Z</dcterms:modified>
  <cp:category/>
</cp:coreProperties>
</file>