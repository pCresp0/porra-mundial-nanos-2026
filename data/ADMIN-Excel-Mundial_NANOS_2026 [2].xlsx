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00. ADMIN/"/>
    </mc:Choice>
  </mc:AlternateContent>
  <xr:revisionPtr revIDLastSave="0" documentId="13_ncr:1_{7C766A61-1708-BB48-B283-D962C367DECE}"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10360" yWindow="-28200" windowWidth="51200" windowHeight="2666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Q30" i="46" s="1"/>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Q7"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D406" i="36" l="1"/>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O40" i="45"/>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DT22" i="3" l="1"/>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BL26" i="3" s="1"/>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7" i="32" l="1"/>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X28" i="3"/>
  <c r="X33" i="3"/>
  <c r="H61" i="46" s="1"/>
  <c r="Y126" i="3"/>
  <c r="Y105" i="3"/>
  <c r="BR22" i="3"/>
  <c r="BR51" i="3"/>
  <c r="Y23" i="3" l="1"/>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G19" i="30"/>
  <c r="H74" i="46"/>
  <c r="H70" i="46"/>
  <c r="H14" i="46"/>
  <c r="H11" i="46"/>
  <c r="H25" i="46"/>
  <c r="H64" i="46"/>
  <c r="H53" i="46"/>
  <c r="H47" i="46"/>
  <c r="H24" i="46"/>
  <c r="H77" i="46"/>
  <c r="H62" i="46"/>
  <c r="H13" i="46"/>
  <c r="H12" i="46"/>
  <c r="H20" i="46"/>
  <c r="H27" i="46"/>
  <c r="H69" i="46"/>
  <c r="H58" i="46"/>
  <c r="H91" i="46" s="1"/>
  <c r="H22" i="46"/>
  <c r="H44" i="46"/>
  <c r="H26" i="46"/>
  <c r="H48" i="46"/>
  <c r="H18" i="46"/>
  <c r="H52" i="46"/>
  <c r="H51" i="46"/>
  <c r="H33" i="46"/>
  <c r="H43" i="46"/>
  <c r="H19" i="46"/>
  <c r="H66" i="46"/>
  <c r="H65" i="46"/>
  <c r="H41" i="46"/>
  <c r="H10" i="46"/>
  <c r="H76" i="46"/>
  <c r="H127" i="46" s="1"/>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G20" i="30" l="1"/>
  <c r="E45" i="51"/>
  <c r="H116" i="46"/>
  <c r="H117" i="46"/>
  <c r="H118" i="46"/>
  <c r="H89" i="46"/>
  <c r="Q2" i="6" a="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3" i="6" l="1" a="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BX39"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G11" i="46" s="1"/>
  <c r="BX33" i="3"/>
  <c r="BX17" i="3"/>
  <c r="BX34" i="3"/>
  <c r="BX49" i="3"/>
  <c r="BX16" i="3"/>
  <c r="BX6" i="3"/>
  <c r="BX18" i="3"/>
  <c r="BX12" i="3"/>
  <c r="BX29" i="3"/>
  <c r="BX10" i="3"/>
  <c r="BY52" i="3" l="1"/>
  <c r="BY37" i="3"/>
  <c r="BY48" i="3"/>
  <c r="BY19" i="3"/>
  <c r="BY21" i="3"/>
  <c r="BY32" i="3"/>
  <c r="BY34" i="3"/>
  <c r="BY26" i="3"/>
  <c r="BY25" i="3"/>
  <c r="BY16" i="3"/>
  <c r="BY36" i="3"/>
  <c r="BY17" i="3"/>
  <c r="BY40" i="3"/>
  <c r="BY46" i="3"/>
  <c r="BY28" i="3"/>
  <c r="BY43" i="3"/>
  <c r="G10" i="46"/>
  <c r="G13" i="46"/>
  <c r="Q6" i="6" a="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BZ34" i="3" l="1"/>
  <c r="H60" i="3" s="1"/>
  <c r="Q7" i="6" a="1"/>
  <c r="Q8" i="6" s="1" a="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Q9" i="6" a="1"/>
  <c r="G19" i="46"/>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CA42" i="3" l="1"/>
  <c r="CC42" i="3" s="1"/>
  <c r="CB31" i="3"/>
  <c r="CB9" i="3"/>
  <c r="CA14" i="3"/>
  <c r="CB14" i="3"/>
  <c r="CA15" i="3"/>
  <c r="CB17" i="3"/>
  <c r="CB15" i="3"/>
  <c r="CA17" i="3"/>
  <c r="CB6" i="3"/>
  <c r="CC6" i="3" s="1"/>
  <c r="CB39" i="3"/>
  <c r="CC46" i="3"/>
  <c r="CB50" i="3"/>
  <c r="CC50" i="3" s="1"/>
  <c r="CA48" i="3"/>
  <c r="CC48" i="3" s="1"/>
  <c r="CA49" i="3"/>
  <c r="CC49" i="3" s="1"/>
  <c r="CB35" i="3"/>
  <c r="CA30" i="3"/>
  <c r="CC31"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9" i="3" l="1"/>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<sst xmlns="http://schemas.openxmlformats.org/spreadsheetml/2006/main" count="7685" uniqueCount="1960">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</sst>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44" t="str">
        <f>Idiomas!D8</f>
        <v>XXIII Mundial USA/MEX/CAN 2026</v>
      </c>
      <c r="C3" s="844"/>
      <c r="D3" s="844"/>
      <c r="E3" s="844"/>
      <c r="F3" s="844"/>
      <c r="G3" s="844"/>
      <c r="H3" s="844"/>
      <c r="I3" s="844"/>
      <c r="J3" s="844"/>
      <c r="K3" s="844"/>
      <c r="L3" s="844"/>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842" t="str">
        <f>HYPERLINK(Idiomas!D10,Idiomas!D5)</f>
        <v>Esta versión es para un maximo de 5 participantes. Puedes descargar versiones para más participantes desde el enlace de abajo</v>
      </c>
      <c r="F16" s="843"/>
      <c r="G16" s="843"/>
      <c r="H16" s="843"/>
      <c r="I16" s="843"/>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839" t="str">
        <f>HYPERLINK(Idiomas!D10,Idiomas!D9)</f>
        <v>Versiones para más participantes</v>
      </c>
      <c r="F17" s="840"/>
      <c r="G17" s="840"/>
      <c r="H17" s="840"/>
      <c r="I17" s="841"/>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2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37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45"/>
      <c r="C24" s="846"/>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46185</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5" sqref="AC5"/>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26" t="str">
        <f>Idiomas!D8</f>
        <v>XXIII Mundial USA/MEX/CAN 2026</v>
      </c>
      <c r="X1" s="826"/>
      <c r="Y1" s="826"/>
      <c r="Z1" s="826"/>
      <c r="AA1" s="826"/>
      <c r="AB1" s="826"/>
      <c r="AC1" s="826"/>
      <c r="AD1" s="826"/>
      <c r="AE1" s="826"/>
      <c r="AF1" s="826"/>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v>
      </c>
      <c r="F4" s="756" t="str">
        <f t="shared" ref="F4:F9" ca="1" si="2">IF(D4="Pendiente","-",INDEX($BT$6:$BT$53,MATCH($AF4,$BD$6:$BD$53,0)))</f>
        <v>P.2 (3)</v>
      </c>
      <c r="G4" s="756"/>
      <c r="H4" s="756" t="str">
        <f t="shared" ref="H4:H9" ca="1" si="3">IF(D4="Pendiente","-",INDEX($BZ$6:$BZ$53,MATCH($AA4,$BD$6:$BD$53,0)))</f>
        <v>-</v>
      </c>
      <c r="I4" s="756" t="str">
        <f t="shared" ref="I4:I9" ca="1" si="4">IF(D4="Pendiente","-",INDEX($BZ$6:$BZ$53,MATCH($AF4,$BD$6:$BD$53,0)))</f>
        <v>P.2 (3)</v>
      </c>
      <c r="J4" s="756"/>
      <c r="K4" s="756" t="str">
        <f t="shared" ref="K4:K9" ca="1" si="5">IF(D4="Pendiente","-",INDEX($CE$6:$CE$53,MATCH($AA4,$BD$6:$BD$53,0)))</f>
        <v>-</v>
      </c>
      <c r="L4" s="756" t="str">
        <f t="shared" ref="L4:L9" ca="1" si="6">IF(D4="Pendiente","-",INDEX($CE$6:$CE$53,MATCH($AF4,$BD$6:$BD$53,0)))</f>
        <v>P.2 (3)</v>
      </c>
      <c r="M4" s="756"/>
      <c r="N4" s="756" t="str">
        <f t="shared" ref="N4:N9" ca="1" si="7">IF(D4="Pendiente","-",INDEX($CH$6:$CH$53,MATCH($AA4,$BD$6:$BD$53,0)))</f>
        <v>-</v>
      </c>
      <c r="O4" s="756" t="str">
        <f t="shared" ref="O4:O9" ca="1" si="8">IF(D4="Pendiente","-",INDEX($CH$6:$CH$53,MATCH($AF4,$BD$6:$BD$53,0)))</f>
        <v>P.2 (3)</v>
      </c>
      <c r="P4" s="756"/>
      <c r="Q4" s="756" t="str">
        <f t="shared" ref="Q4:Q9" ca="1" si="9">IF(D4="Pendiente","-",INDEX($CN$6:$CN$53,MATCH($AA4,$BD$6:$BD$53,0)))</f>
        <v>-</v>
      </c>
      <c r="R4" s="756" t="str">
        <f t="shared" ref="R4:R9" ca="1" si="10">IF(D4="Pendiente","-",INDEX($CN$6:$CN$53,MATCH($AF4,$BD$6:$BD$53,0)))</f>
        <v>P.2 (3)</v>
      </c>
      <c r="S4" s="756"/>
      <c r="T4" s="756" t="str">
        <f t="shared" ref="T4:T9" ca="1" si="11">IF(D4="Pendiente","-",INDEX($CS$6:$CS$53,MATCH($AA4,$BD$6:$BD$53,0)))</f>
        <v>-</v>
      </c>
      <c r="U4" s="756" t="str">
        <f t="shared" ref="U4:U9" ca="1" si="12">IF(D4="Pendiente","-",INDEX($CS$6:$CS$53,MATCH($AF4,$BD$6:$BD$53,0)))</f>
        <v>P.2 (3)</v>
      </c>
      <c r="V4" s="178"/>
      <c r="W4" s="822"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Pendiente</v>
      </c>
      <c r="E5" s="756" t="str">
        <f t="shared" si="1"/>
        <v>-</v>
      </c>
      <c r="F5" s="756" t="str">
        <f t="shared" si="2"/>
        <v>-</v>
      </c>
      <c r="G5" s="756"/>
      <c r="H5" s="756" t="str">
        <f t="shared" si="3"/>
        <v>-</v>
      </c>
      <c r="I5" s="756" t="str">
        <f t="shared" si="4"/>
        <v>-</v>
      </c>
      <c r="J5" s="756"/>
      <c r="K5" s="756" t="str">
        <f t="shared" si="5"/>
        <v>-</v>
      </c>
      <c r="L5" s="756" t="str">
        <f t="shared" si="6"/>
        <v>-</v>
      </c>
      <c r="M5" s="756"/>
      <c r="N5" s="756" t="str">
        <f t="shared" si="7"/>
        <v>-</v>
      </c>
      <c r="O5" s="756" t="str">
        <f t="shared" si="8"/>
        <v>-</v>
      </c>
      <c r="P5" s="756"/>
      <c r="Q5" s="756" t="str">
        <f t="shared" si="9"/>
        <v>-</v>
      </c>
      <c r="R5" s="756" t="str">
        <f t="shared" si="10"/>
        <v>-</v>
      </c>
      <c r="S5" s="756"/>
      <c r="T5" s="756" t="str">
        <f t="shared" si="11"/>
        <v>-</v>
      </c>
      <c r="U5" s="756" t="str">
        <f t="shared" si="12"/>
        <v>-</v>
      </c>
      <c r="V5" s="178"/>
      <c r="W5" s="822"/>
      <c r="X5" s="195">
        <f ca="1">Horarios!C5</f>
        <v>46185.166666666664</v>
      </c>
      <c r="Y5" s="196">
        <f ca="1">Horarios!C5</f>
        <v>46185.166666666664</v>
      </c>
      <c r="Z5" s="197" t="str">
        <f>$Z$4</f>
        <v>J1</v>
      </c>
      <c r="AA5" s="198" t="str">
        <f ca="1">A7</f>
        <v>Corea del Sur</v>
      </c>
      <c r="AB5" s="488" t="str" cm="1">
        <f t="array" aca="1" ref="AB5" ca="1">Ver_flag_local</f>
        <v>🇰🇷</v>
      </c>
      <c r="AC5" s="199"/>
      <c r="AD5" s="200"/>
      <c r="AE5" s="491" t="str" cm="1">
        <f t="array" aca="1" ref="AE5" ca="1">Ver_flag_visit</f>
        <v>🇨🇿</v>
      </c>
      <c r="AF5" s="201" t="str">
        <f ca="1">A8</f>
        <v>República Checa</v>
      </c>
      <c r="AG5" s="421">
        <f t="shared" si="13"/>
        <v>0</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22"/>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v>
      </c>
      <c r="BU6" s="770" t="str">
        <f ca="1">IF($BT6="-","-",COUNTIFS(FGLocal,$BD6,Ganador,"Local",Part1Empate1V,$BT6)+COUNTIFS(FGVisitante,$BD6,Ganador,"Visitante",Part1Empate1L,$BT6))</f>
        <v>-</v>
      </c>
      <c r="BV6" s="770" t="str">
        <f ca="1">IF($BT6="-","-",COUNTIFS(FGLocal,$BD6,Ganador,"Empate",Part1Empate1V,$BT6)+COUNTIFS(FGVisitante,$BD6,Ganador,"Empate",Part1Empate1L,$BT6))</f>
        <v>-</v>
      </c>
      <c r="BW6" s="770" t="str">
        <f ca="1">IF($BT6="-","-",COUNTIFS(FGLocal,$BD6,Ganador,"Visitante",Part1Empate1V,$BT6)+COUNTIFS(FGVisitante,$BD6,Ganador,"Local",Part1Empate1L,$BT6))</f>
        <v>-</v>
      </c>
      <c r="BX6" s="770" t="str">
        <f ca="1">IF($BT6="-","-",BU6*3+BV6)</f>
        <v>-</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v>
      </c>
      <c r="CA6" s="770" t="str">
        <f ca="1">IF($BZ6="-","-",SUMIFS(FG_GolesLocal,FGLocal,$BD6,Part1Empate2V,$BZ6)+SUMIFS(FG_GolesVisitante,FGVisitante,$BD6,Part1Empate2L,$BZ6))</f>
        <v>-</v>
      </c>
      <c r="CB6" s="770" t="str">
        <f ca="1">IF($BZ6="-","-",SUMIFS(FG_GolesVisitante,FGLocal,$BD6,Part1Empate2V,$BZ6)+SUMIFS(FG_GolesLocal,FGVisitante,$BD6,Part1Empate2L,$BZ6))</f>
        <v>-</v>
      </c>
      <c r="CC6" s="770" t="str">
        <f ca="1">IF($BZ6="-","-",CA6-CB6)</f>
        <v>-</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v>
      </c>
      <c r="CF6" s="770" t="str">
        <f ca="1">IF($CE6="-","-",SUMIFS(FG_GolesLocal,FGLocal,$BD6,Part1Empate3V,$CE6)+SUMIFS(FG_GolesVisitante,FGVisitante,$BD6,Part1Empate3L,$CE6))</f>
        <v>-</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v>
      </c>
      <c r="CI6" s="770" t="str">
        <f ca="1">IF($CH6="-","-",COUNTIFS(FGLocal,$BD6,Ganador,"Local",Part2Empate4V,$CH6)+COUNTIFS(FGVisitante,$BD6,Ganador,"Visitante",Part2Empate4L,$CH6))</f>
        <v>-</v>
      </c>
      <c r="CJ6" s="770" t="str">
        <f ca="1">IF($CH6="-","-",COUNTIFS(FGLocal,$BD6,Ganador,"Empate",Part2Empate4V,$CH6)+COUNTIFS(FGVisitante,$BD6,Ganador,"Empate",Part2Empate4L,$CH6))</f>
        <v>-</v>
      </c>
      <c r="CK6" s="770" t="str">
        <f ca="1">IF($CH6="-","-",COUNTIFS(FGLocal,$BD6,Ganador,"Visitante",Part2Empate4V,$CH6)+COUNTIFS(FGVisitante,$BD6,Ganador,"Local",Part2Empate4L,$CH6))</f>
        <v>-</v>
      </c>
      <c r="CL6" s="770" t="str">
        <f ca="1">IF($CH6="-","-",CI6*3+CJ6)</f>
        <v>-</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v>
      </c>
      <c r="CO6" s="770" t="str">
        <f ca="1">IF($CN6="-","-",SUMIFS(FG_GolesLocal,FGLocal,$BD6,Part2Empate5V,$CN6)+SUMIFS(FG_GolesVisitante,FGVisitante,$BD6,Part2Empate5L,$CN6))</f>
        <v>-</v>
      </c>
      <c r="CP6" s="770" t="str">
        <f ca="1">IF($CN6="-","-",SUMIFS(FG_GolesVisitante,FGLocal,$BD6,Part2Empate5V,$CN6)+SUMIFS(FG_GolesLocal,FGVisitante,$BD6,Part2Empate5L,$CN6))</f>
        <v>-</v>
      </c>
      <c r="CQ6" s="770" t="str">
        <f ca="1">IF($CN6="-","-",CO6-CP6)</f>
        <v>-</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v>
      </c>
      <c r="CT6" s="770" t="str">
        <f ca="1">IF($CS6="-","-",SUMIFS(FG_GolesLocal,FGLocal,$BD6,Part2Empate6V,$CS6)+SUMIFS(FG_GolesVisitante,FGVisitante,$BD6,Part2Empate6L,$CS6))</f>
        <v>-</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v>
      </c>
      <c r="CW6" s="769" t="str">
        <f ca="1">IF(CV6="-","-",BL6)</f>
        <v>-</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2</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22"/>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0</v>
      </c>
      <c r="AN7" s="230">
        <f t="shared" ca="1" si="16"/>
        <v>0</v>
      </c>
      <c r="AO7" s="230">
        <f t="shared" ca="1" si="16"/>
        <v>0</v>
      </c>
      <c r="AP7" s="230">
        <f t="shared" ca="1" si="16"/>
        <v>0</v>
      </c>
      <c r="AQ7" s="230">
        <f t="shared" ca="1" si="16"/>
        <v>0</v>
      </c>
      <c r="AR7" s="230">
        <f t="shared" ca="1" si="16"/>
        <v>0</v>
      </c>
      <c r="AS7" s="230">
        <f t="shared" ca="1" si="16"/>
        <v>0</v>
      </c>
      <c r="AT7" s="231">
        <f t="shared" ca="1" si="16"/>
        <v>0</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2</v>
      </c>
      <c r="BT7" s="769" t="str">
        <f ca="1">IF(COUNTIFS($BS$6:$BS$53,BS7,$BC$6:$BC$53,INDEX(T_Equipos[Grupo],MATCH(BD7,T_Equipos[NombreEquipo],0)))=1,"-","P."&amp;BS7&amp;" ("&amp;COUNTIFS($BS$6:$BS$53,BS7,$BC$6:$BC$53,INDEX(T_Equipos[Grupo],MATCH(BD7,T_Equipos[NombreEquipo],0)))&amp;")")</f>
        <v>P.2 (3)</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2</v>
      </c>
      <c r="BZ7" s="769" t="str">
        <f ca="1">IF(COUNTIFS($BY$6:$BY$53,BY7,$BC$6:$BC$53,INDEX(T_Equipos[Grupo],MATCH(BD7,T_Equipos[NombreEquipo],0)))=1,"-","P."&amp;BY7&amp;" ("&amp;COUNTIFS($BY$6:$BY$53,BY7,$BC$6:$BC$53,INDEX(T_Equipos[Grupo],MATCH(BD7,T_Equipos[NombreEquipo],0)))&amp;")")</f>
        <v>P.2 (3)</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2</v>
      </c>
      <c r="CE7" s="769" t="str">
        <f ca="1">IF(COUNTIFS($CD$6:$CD$53,CD7,$BC$6:$BC$53,INDEX(T_Equipos[Grupo],MATCH(BD7,T_Equipos[NombreEquipo],0)))=1,"-","P."&amp;CD7&amp;" ("&amp;COUNTIFS($CD$6:$CD$53,CD7,$BC$6:$BC$53,INDEX(T_Equipos[Grupo],MATCH(BD7,T_Equipos[NombreEquipo],0)))&amp;")")</f>
        <v>P.2 (3)</v>
      </c>
      <c r="CF7" s="770">
        <f ca="1">IF($CE7="-","-",SUMIFS(FG_GolesLocal,FGLocal,$BD7,Part1Empate3V,$CE7)+SUMIFS(FG_GolesVisitante,FGVisitante,$BD7,Part1Empate3L,$CE7))</f>
        <v>0</v>
      </c>
      <c r="CG7" s="770">
        <f ca="1">CD7+COUNTIFS($CE$6:$CE$53,CE7,$CF$6:CF$53,"&gt;"&amp;CF7,$BC$6:$BC$53,INDEX(T_Equipos[Grupo],MATCH(BD7,T_Equipos[NombreEquipo],0)))</f>
        <v>2</v>
      </c>
      <c r="CH7" s="769" t="str">
        <f ca="1">IF(COUNTIFS($CG$6:$CG$53,CG7,$BC$6:$BC$53,INDEX(T_Equipos[Grupo],MATCH(BD7,T_Equipos[NombreEquipo],0)))=1,"-","P."&amp;CG7&amp;" ("&amp;COUNTIFS($CG$6:$CG$53,CG7,$BC$6:$BC$53,INDEX(T_Equipos[Grupo],MATCH(BD7,T_Equipos[NombreEquipo],0)))&amp;")")</f>
        <v>P.2 (3)</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2</v>
      </c>
      <c r="CN7" s="769" t="str">
        <f ca="1">IF(COUNTIFS($CM$6:$CM$53,CM7,$BC$6:$BC$53,INDEX(T_Equipos[Grupo],MATCH(BD7,T_Equipos[NombreEquipo],0)))=1,"-","P."&amp;CM7&amp;" ("&amp;COUNTIFS($CM$6:$CM$53,CM7,$BC$6:$BC$53,INDEX(T_Equipos[Grupo],MATCH(BD7,T_Equipos[NombreEquipo],0)))&amp;")")</f>
        <v>P.2 (3)</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2</v>
      </c>
      <c r="CS7" s="769" t="str">
        <f ca="1">IF(COUNTIFS($CR$6:$CR$53,CR7,$BC$6:$BC$53,INDEX(T_Equipos[Grupo],MATCH(BD7,T_Equipos[NombreEquipo],0)))=1,"-","P."&amp;CR7&amp;" ("&amp;COUNTIFS($CR$6:$CR$53,CR7,$BC$6:$BC$53,INDEX(T_Equipos[Grupo],MATCH(BD7,T_Equipos[NombreEquipo],0)))&amp;")")</f>
        <v>P.2 (3)</v>
      </c>
      <c r="CT7" s="770">
        <f ca="1">IF($CS7="-","-",SUMIFS(FG_GolesLocal,FGLocal,$BD7,Part2Empate6V,$CS7)+SUMIFS(FG_GolesVisitante,FGVisitante,$BD7,Part2Empate6L,$CS7))</f>
        <v>0</v>
      </c>
      <c r="CU7" s="770">
        <f ca="1">CR7+COUNTIFS($CS$6:$CS$53,CS7,$CT$6:CT$53,"&gt;"&amp;CT7,$BC$6:$BC$53,INDEX(T_Equipos[Grupo],MATCH(BD7,T_Equipos[NombreEquipo],0)))</f>
        <v>2</v>
      </c>
      <c r="CV7" s="769" t="str">
        <f ca="1">IF(COUNTIFS($CU$6:$CU$53,CU7,$BC$6:$BC$53,INDEX(T_Equipos[Grupo],MATCH(BD7,T_Equipos[NombreEquipo],0)))=1,"-","P."&amp;CU7&amp;" ("&amp;COUNTIFS($CU$6:$CU$53,CU7,$BC$6:$BC$53,INDEX(T_Equipos[Grupo],MATCH(BD7,T_Equipos[NombreEquipo],0)))&amp;")")</f>
        <v>P.2 (3)</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2</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22"/>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0</v>
      </c>
      <c r="AO8" s="230">
        <f t="shared" ca="1" si="16"/>
        <v>0</v>
      </c>
      <c r="AP8" s="230">
        <f t="shared" ca="1" si="16"/>
        <v>0</v>
      </c>
      <c r="AQ8" s="230">
        <f t="shared" ca="1" si="16"/>
        <v>0</v>
      </c>
      <c r="AR8" s="230">
        <f t="shared" ca="1" si="16"/>
        <v>0</v>
      </c>
      <c r="AS8" s="230">
        <f t="shared" ca="1" si="16"/>
        <v>0</v>
      </c>
      <c r="AT8" s="231">
        <f t="shared" ca="1" si="16"/>
        <v>0</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0</v>
      </c>
      <c r="BF8" s="760">
        <f t="shared" ca="1" si="26"/>
        <v>0</v>
      </c>
      <c r="BG8" s="760">
        <f t="shared" ca="1" si="17"/>
        <v>0</v>
      </c>
      <c r="BH8" s="760">
        <f t="shared" ca="1" si="18"/>
        <v>0</v>
      </c>
      <c r="BI8" s="760">
        <f t="shared" ca="1" si="19"/>
        <v>0</v>
      </c>
      <c r="BJ8" s="760">
        <f t="shared" ca="1" si="20"/>
        <v>0</v>
      </c>
      <c r="BK8" s="760">
        <f t="shared" ca="1" si="21"/>
        <v>0</v>
      </c>
      <c r="BL8" s="760">
        <f t="shared" ca="1" si="27"/>
        <v>0</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0</v>
      </c>
      <c r="BS8" s="769">
        <f ca="1">BP8+COUNTIFS($BQ$6:$BQ$53,BQ8,$BR$6:BR$53,"&gt;"&amp;BR8,$BC$6:$BC$53,INDEX(T_Equipos[Grupo],MATCH(BD8,T_Equipos[NombreEquipo],0)))</f>
        <v>2</v>
      </c>
      <c r="BT8" s="769" t="str">
        <f ca="1">IF(COUNTIFS($BS$6:$BS$53,BS8,$BC$6:$BC$53,INDEX(T_Equipos[Grupo],MATCH(BD8,T_Equipos[NombreEquipo],0)))=1,"-","P."&amp;BS8&amp;" ("&amp;COUNTIFS($BS$6:$BS$53,BS8,$BC$6:$BC$53,INDEX(T_Equipos[Grupo],MATCH(BD8,T_Equipos[NombreEquipo],0)))&amp;")")</f>
        <v>P.2 (3)</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2</v>
      </c>
      <c r="BZ8" s="769" t="str">
        <f ca="1">IF(COUNTIFS($BY$6:$BY$53,BY8,$BC$6:$BC$53,INDEX(T_Equipos[Grupo],MATCH(BD8,T_Equipos[NombreEquipo],0)))=1,"-","P."&amp;BY8&amp;" ("&amp;COUNTIFS($BY$6:$BY$53,BY8,$BC$6:$BC$53,INDEX(T_Equipos[Grupo],MATCH(BD8,T_Equipos[NombreEquipo],0)))&amp;")")</f>
        <v>P.2 (3)</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2</v>
      </c>
      <c r="CE8" s="769" t="str">
        <f ca="1">IF(COUNTIFS($CD$6:$CD$53,CD8,$BC$6:$BC$53,INDEX(T_Equipos[Grupo],MATCH(BD8,T_Equipos[NombreEquipo],0)))=1,"-","P."&amp;CD8&amp;" ("&amp;COUNTIFS($CD$6:$CD$53,CD8,$BC$6:$BC$53,INDEX(T_Equipos[Grupo],MATCH(BD8,T_Equipos[NombreEquipo],0)))&amp;")")</f>
        <v>P.2 (3)</v>
      </c>
      <c r="CF8" s="770">
        <f ca="1">IF($CE8="-","-",SUMIFS(FG_GolesLocal,FGLocal,$BD8,Part1Empate3V,$CE8)+SUMIFS(FG_GolesVisitante,FGVisitante,$BD8,Part1Empate3L,$CE8))</f>
        <v>0</v>
      </c>
      <c r="CG8" s="770">
        <f ca="1">CD8+COUNTIFS($CE$6:$CE$53,CE8,$CF$6:CF$53,"&gt;"&amp;CF8,$BC$6:$BC$53,INDEX(T_Equipos[Grupo],MATCH(BD8,T_Equipos[NombreEquipo],0)))</f>
        <v>2</v>
      </c>
      <c r="CH8" s="769" t="str">
        <f ca="1">IF(COUNTIFS($CG$6:$CG$53,CG8,$BC$6:$BC$53,INDEX(T_Equipos[Grupo],MATCH(BD8,T_Equipos[NombreEquipo],0)))=1,"-","P."&amp;CG8&amp;" ("&amp;COUNTIFS($CG$6:$CG$53,CG8,$BC$6:$BC$53,INDEX(T_Equipos[Grupo],MATCH(BD8,T_Equipos[NombreEquipo],0)))&amp;")")</f>
        <v>P.2 (3)</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2</v>
      </c>
      <c r="CN8" s="769" t="str">
        <f ca="1">IF(COUNTIFS($CM$6:$CM$53,CM8,$BC$6:$BC$53,INDEX(T_Equipos[Grupo],MATCH(BD8,T_Equipos[NombreEquipo],0)))=1,"-","P."&amp;CM8&amp;" ("&amp;COUNTIFS($CM$6:$CM$53,CM8,$BC$6:$BC$53,INDEX(T_Equipos[Grupo],MATCH(BD8,T_Equipos[NombreEquipo],0)))&amp;")")</f>
        <v>P.2 (3)</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2</v>
      </c>
      <c r="CS8" s="769" t="str">
        <f ca="1">IF(COUNTIFS($CR$6:$CR$53,CR8,$BC$6:$BC$53,INDEX(T_Equipos[Grupo],MATCH(BD8,T_Equipos[NombreEquipo],0)))=1,"-","P."&amp;CR8&amp;" ("&amp;COUNTIFS($CR$6:$CR$53,CR8,$BC$6:$BC$53,INDEX(T_Equipos[Grupo],MATCH(BD8,T_Equipos[NombreEquipo],0)))&amp;")")</f>
        <v>P.2 (3)</v>
      </c>
      <c r="CT8" s="770">
        <f ca="1">IF($CS8="-","-",SUMIFS(FG_GolesLocal,FGLocal,$BD8,Part2Empate6V,$CS8)+SUMIFS(FG_GolesVisitante,FGVisitante,$BD8,Part2Empate6L,$CS8))</f>
        <v>0</v>
      </c>
      <c r="CU8" s="770">
        <f ca="1">CR8+COUNTIFS($CS$6:$CS$53,CS8,$CT$6:CT$53,"&gt;"&amp;CT8,$BC$6:$BC$53,INDEX(T_Equipos[Grupo],MATCH(BD8,T_Equipos[NombreEquipo],0)))</f>
        <v>2</v>
      </c>
      <c r="CV8" s="769" t="str">
        <f ca="1">IF(COUNTIFS($CU$6:$CU$53,CU8,$BC$6:$BC$53,INDEX(T_Equipos[Grupo],MATCH(BD8,T_Equipos[NombreEquipo],0)))=1,"-","P."&amp;CU8&amp;" ("&amp;COUNTIFS($CU$6:$CU$53,CU8,$BC$6:$BC$53,INDEX(T_Equipos[Grupo],MATCH(BD8,T_Equipos[NombreEquipo],0)))&amp;")")</f>
        <v>P.2 (3)</v>
      </c>
      <c r="CW8" s="769">
        <f t="shared" ca="1" si="30"/>
        <v>0</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P.2 (2)</v>
      </c>
      <c r="CZ8" s="769">
        <f t="shared" ca="1" si="31"/>
        <v>0</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P.2 (2)</v>
      </c>
      <c r="DC8" s="768">
        <f ca="1">IF(DB8="-","-",COUNTIFS(T_Equipos[Rank],"&lt;"&amp;INDEX(T_Equipos[Rank],MATCH(BD8,T_Equipos[NombreEquipo],0)),$BC$6:$BC$53,INDEX(T_Equipos[Grupo],MATCH(BD8,T_Equipos[NombreEquipo],0)))+1)</f>
        <v>3</v>
      </c>
      <c r="DD8" s="768">
        <f ca="1">DA8+COUNTIFS($DB$6:$DB$53,DB8,$DC$6:DC$53,"&lt;"&amp;DC8,$BC$6:$BC$53,INDEX(T_Equipos[Grupo],MATCH(BD8,T_Equipos[NombreEquipo],0)))</f>
        <v>2</v>
      </c>
      <c r="DE8" s="768"/>
      <c r="DF8" s="768">
        <f t="shared" ca="1" si="32"/>
        <v>2</v>
      </c>
      <c r="DG8" s="768">
        <f ca="1">IF(DB8="-","-",COUNTIFS(DF$6:DF$53,"&lt;"&amp;DF8,$BC$6:$BC$53,INDEX(T_Equipos[Grupo],MATCH(BD8,T_Equipos[NombreEquipo],0))))</f>
        <v>1</v>
      </c>
      <c r="DH8" s="768">
        <f ca="1">DA8+COUNTIFS(DB$6:DB$53,DB8,DG$6:DG$53,"&lt;"&amp;DG8,$BC$6:$BC$53,INDEX(T_Equipos[Grupo],MATCH(BD8,T_Equipos[NombreEquipo],0)))</f>
        <v>2</v>
      </c>
      <c r="DI8" s="756"/>
      <c r="DJ8" s="756">
        <f ca="1">INDEX($DA$6:$DA$53,MATCH($DQ8,$BD$6:$BD$53,0))</f>
        <v>2</v>
      </c>
      <c r="DK8" s="756">
        <f t="shared" ca="1" si="24"/>
        <v>2</v>
      </c>
      <c r="DL8" s="756">
        <f t="shared" ca="1" si="33"/>
        <v>1</v>
      </c>
      <c r="DM8" s="750" t="str">
        <f t="shared" ca="1" si="34"/>
        <v>2.1</v>
      </c>
      <c r="DN8" s="756" cm="1">
        <f t="array" aca="1" ref="DN8" ca="1">OFFSET(Horarios!$P$3,DJ8-1,0,DL8,1)</f>
        <v>2</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23"/>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0</v>
      </c>
      <c r="BG9" s="760">
        <f t="shared" ca="1" si="17"/>
        <v>0</v>
      </c>
      <c r="BH9" s="760">
        <f t="shared" ca="1" si="18"/>
        <v>0</v>
      </c>
      <c r="BI9" s="760">
        <f t="shared" ca="1" si="19"/>
        <v>0</v>
      </c>
      <c r="BJ9" s="760">
        <f t="shared" ca="1" si="20"/>
        <v>0</v>
      </c>
      <c r="BK9" s="760">
        <f t="shared" ca="1" si="21"/>
        <v>0</v>
      </c>
      <c r="BL9" s="760">
        <f t="shared" ca="1" si="27"/>
        <v>0</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2</v>
      </c>
      <c r="BT9" s="769" t="str">
        <f ca="1">IF(COUNTIFS($BS$6:$BS$53,BS9,$BC$6:$BC$53,INDEX(T_Equipos[Grupo],MATCH(BD9,T_Equipos[NombreEquipo],0)))=1,"-","P."&amp;BS9&amp;" ("&amp;COUNTIFS($BS$6:$BS$53,BS9,$BC$6:$BC$53,INDEX(T_Equipos[Grupo],MATCH(BD9,T_Equipos[NombreEquipo],0)))&amp;")")</f>
        <v>P.2 (3)</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2</v>
      </c>
      <c r="BZ9" s="769" t="str">
        <f ca="1">IF(COUNTIFS($BY$6:$BY$53,BY9,$BC$6:$BC$53,INDEX(T_Equipos[Grupo],MATCH(BD9,T_Equipos[NombreEquipo],0)))=1,"-","P."&amp;BY9&amp;" ("&amp;COUNTIFS($BY$6:$BY$53,BY9,$BC$6:$BC$53,INDEX(T_Equipos[Grupo],MATCH(BD9,T_Equipos[NombreEquipo],0)))&amp;")")</f>
        <v>P.2 (3)</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2</v>
      </c>
      <c r="CE9" s="769" t="str">
        <f ca="1">IF(COUNTIFS($CD$6:$CD$53,CD9,$BC$6:$BC$53,INDEX(T_Equipos[Grupo],MATCH(BD9,T_Equipos[NombreEquipo],0)))=1,"-","P."&amp;CD9&amp;" ("&amp;COUNTIFS($CD$6:$CD$53,CD9,$BC$6:$BC$53,INDEX(T_Equipos[Grupo],MATCH(BD9,T_Equipos[NombreEquipo],0)))&amp;")")</f>
        <v>P.2 (3)</v>
      </c>
      <c r="CF9" s="770">
        <f ca="1">IF($CE9="-","-",SUMIFS(FG_GolesLocal,FGLocal,$BD9,Part1Empate3V,$CE9)+SUMIFS(FG_GolesVisitante,FGVisitante,$BD9,Part1Empate3L,$CE9))</f>
        <v>0</v>
      </c>
      <c r="CG9" s="770">
        <f ca="1">CD9+COUNTIFS($CE$6:$CE$53,CE9,$CF$6:CF$53,"&gt;"&amp;CF9,$BC$6:$BC$53,INDEX(T_Equipos[Grupo],MATCH(BD9,T_Equipos[NombreEquipo],0)))</f>
        <v>2</v>
      </c>
      <c r="CH9" s="769" t="str">
        <f ca="1">IF(COUNTIFS($CG$6:$CG$53,CG9,$BC$6:$BC$53,INDEX(T_Equipos[Grupo],MATCH(BD9,T_Equipos[NombreEquipo],0)))=1,"-","P."&amp;CG9&amp;" ("&amp;COUNTIFS($CG$6:$CG$53,CG9,$BC$6:$BC$53,INDEX(T_Equipos[Grupo],MATCH(BD9,T_Equipos[NombreEquipo],0)))&amp;")")</f>
        <v>P.2 (3)</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2</v>
      </c>
      <c r="CN9" s="769" t="str">
        <f ca="1">IF(COUNTIFS($CM$6:$CM$53,CM9,$BC$6:$BC$53,INDEX(T_Equipos[Grupo],MATCH(BD9,T_Equipos[NombreEquipo],0)))=1,"-","P."&amp;CM9&amp;" ("&amp;COUNTIFS($CM$6:$CM$53,CM9,$BC$6:$BC$53,INDEX(T_Equipos[Grupo],MATCH(BD9,T_Equipos[NombreEquipo],0)))&amp;")")</f>
        <v>P.2 (3)</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2</v>
      </c>
      <c r="CS9" s="769" t="str">
        <f ca="1">IF(COUNTIFS($CR$6:$CR$53,CR9,$BC$6:$BC$53,INDEX(T_Equipos[Grupo],MATCH(BD9,T_Equipos[NombreEquipo],0)))=1,"-","P."&amp;CR9&amp;" ("&amp;COUNTIFS($CR$6:$CR$53,CR9,$BC$6:$BC$53,INDEX(T_Equipos[Grupo],MATCH(BD9,T_Equipos[NombreEquipo],0)))&amp;")")</f>
        <v>P.2 (3)</v>
      </c>
      <c r="CT9" s="770">
        <f ca="1">IF($CS9="-","-",SUMIFS(FG_GolesLocal,FGLocal,$BD9,Part2Empate6V,$CS9)+SUMIFS(FG_GolesVisitante,FGVisitante,$BD9,Part2Empate6L,$CS9))</f>
        <v>0</v>
      </c>
      <c r="CU9" s="770">
        <f ca="1">CR9+COUNTIFS($CS$6:$CS$53,CS9,$CT$6:CT$53,"&gt;"&amp;CT9,$BC$6:$BC$53,INDEX(T_Equipos[Grupo],MATCH(BD9,T_Equipos[NombreEquipo],0)))</f>
        <v>2</v>
      </c>
      <c r="CV9" s="769" t="str">
        <f ca="1">IF(COUNTIFS($CU$6:$CU$53,CU9,$BC$6:$BC$53,INDEX(T_Equipos[Grupo],MATCH(BD9,T_Equipos[NombreEquipo],0)))=1,"-","P."&amp;CU9&amp;" ("&amp;COUNTIFS($CU$6:$CU$53,CU9,$BC$6:$BC$53,INDEX(T_Equipos[Grupo],MATCH(BD9,T_Equipos[NombreEquipo],0)))&amp;")")</f>
        <v>P.2 (3)</v>
      </c>
      <c r="CW9" s="769">
        <f t="shared" ca="1" si="30"/>
        <v>0</v>
      </c>
      <c r="CX9" s="769">
        <f ca="1">CU9+COUNTIFS($CV$6:$CV$53,CV9,$CW$6:CW$53,"&gt;"&amp;CW9,$BC$6:$BC$53,INDEX(T_Equipos[Grupo],MATCH(BD9,T_Equipos[NombreEquipo],0)))</f>
        <v>2</v>
      </c>
      <c r="CY9" s="769" t="str">
        <f ca="1">IF(COUNTIFS($CX$6:$CX$53,CX9,$BC$6:$BC$53,INDEX(T_Equipos[Grupo],MATCH(BD9,T_Equipos[NombreEquipo],0)))=1,"-","P."&amp;CX9&amp;" ("&amp;COUNTIFS($CX$6:$CX$53,CX9,$BC$6:$BC$53,INDEX(T_Equipos[Grupo],MATCH(BD9,T_Equipos[NombreEquipo],0)))&amp;")")</f>
        <v>P.2 (2)</v>
      </c>
      <c r="CZ9" s="769">
        <f t="shared" ca="1" si="31"/>
        <v>0</v>
      </c>
      <c r="DA9" s="770">
        <f ca="1">CX9+COUNTIFS($CY$6:$CY$53,CY9,$CZ$6:CZ$53,"&gt;"&amp;CZ9,$BC$6:$BC$53,INDEX(T_Equipos[Grupo],MATCH(BD9,T_Equipos[NombreEquipo],0)))</f>
        <v>2</v>
      </c>
      <c r="DB9" s="769" t="str">
        <f ca="1">IF(COUNTIFS($DA$6:$DA$53,DA9,$BC$6:$BC$53,INDEX(T_Equipos[Grupo],MATCH(BD9,T_Equipos[NombreEquipo],0)))=1,"-","P."&amp;DA9&amp;" ("&amp;COUNTIFS($DA$6:$DA$53,DA9,$BC$6:$BC$53,INDEX(T_Equipos[Grupo],MATCH(BD9,T_Equipos[NombreEquipo],0)))&amp;")")</f>
        <v>P.2 (2)</v>
      </c>
      <c r="DC9" s="768">
        <f ca="1">IF(DB9="-","-",COUNTIFS(T_Equipos[Rank],"&lt;"&amp;INDEX(T_Equipos[Rank],MATCH(BD9,T_Equipos[NombreEquipo],0)),$BC$6:$BC$53,INDEX(T_Equipos[Grupo],MATCH(BD9,T_Equipos[NombreEquipo],0)))+1)</f>
        <v>4</v>
      </c>
      <c r="DD9" s="768">
        <f ca="1">DA9+COUNTIFS($DB$6:$DB$53,DB9,$DC$6:DC$53,"&lt;"&amp;DC9,$BC$6:$BC$53,INDEX(T_Equipos[Grupo],MATCH(BD9,T_Equipos[NombreEquipo],0)))</f>
        <v>3</v>
      </c>
      <c r="DE9" s="768"/>
      <c r="DF9" s="768">
        <f t="shared" ca="1" si="32"/>
        <v>3</v>
      </c>
      <c r="DG9" s="768">
        <f ca="1">IF(DB9="-","-",COUNTIFS(DF$6:DF$53,"&lt;"&amp;DF9,$BC$6:$BC$53,INDEX(T_Equipos[Grupo],MATCH(BD9,T_Equipos[NombreEquipo],0))))</f>
        <v>2</v>
      </c>
      <c r="DH9" s="768">
        <f ca="1">DA9+COUNTIFS(DB$6:DB$53,DB9,DG$6:DG$53,"&lt;"&amp;DG9,$BC$6:$BC$53,INDEX(T_Equipos[Grupo],MATCH(BD9,T_Equipos[NombreEquipo],0)))</f>
        <v>3</v>
      </c>
      <c r="DI9" s="756"/>
      <c r="DJ9" s="756">
        <f ca="1">INDEX($DA$6:$DA$53,MATCH($DQ9,$BD$6:$BD$53,0))</f>
        <v>4</v>
      </c>
      <c r="DK9" s="756">
        <f t="shared" ca="1" si="24"/>
        <v>2</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24" t="s">
        <v>1</v>
      </c>
      <c r="X12" s="195">
        <f ca="1">Horarios!C12</f>
        <v>46185.875</v>
      </c>
      <c r="Y12" s="196">
        <f ca="1">Horarios!C12</f>
        <v>46185.875</v>
      </c>
      <c r="Z12" s="197" t="str">
        <f>$Z$4</f>
        <v>J1</v>
      </c>
      <c r="AA12" s="198" t="str">
        <f ca="1">A13</f>
        <v>Canadá</v>
      </c>
      <c r="AB12" s="486" t="str" cm="1">
        <f t="array" aca="1" ref="AB12" ca="1">Ver_flag_local</f>
        <v>🇨🇦</v>
      </c>
      <c r="AC12" s="199"/>
      <c r="AD12" s="200"/>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24"/>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24"/>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24"/>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24"/>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25"/>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33"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33"/>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33"/>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33"/>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33"/>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34"/>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35"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35"/>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35"/>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35"/>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35"/>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36"/>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37"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37"/>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37"/>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37"/>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37"/>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38"/>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00"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00"/>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00"/>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00"/>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00"/>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01"/>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20"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20"/>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20"/>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20"/>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20"/>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21"/>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0</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0</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60">
        <f ca="1">BJ58-BK58</f>
        <v>0</v>
      </c>
      <c r="BM58" s="760">
        <f ca="1">CB58</f>
        <v>10</v>
      </c>
      <c r="BN58" s="760">
        <f ca="1">CF58</f>
        <v>10</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0</v>
      </c>
      <c r="BV58" s="760">
        <f t="shared" ref="BV58:BV69" ca="1" si="181">BS58+COUNTIFS(BT$58:BT$69,BT58,BU$58:BU$69,"&gt;"&amp;BU58)</f>
        <v>1</v>
      </c>
      <c r="BW58" s="760" t="str">
        <f t="shared" ref="BW58:BW69" ca="1" si="182">IF(COUNTIF(BV$58:BV$69,BV58)=1,"-","Pos. "&amp;BV58&amp;" ("&amp;COUNTIF(BV$58:BV$69,BV58)&amp;")")</f>
        <v>Pos. 1 (12)</v>
      </c>
      <c r="BX58" s="760">
        <f t="shared" ref="BX58:BX69" ca="1" si="183">IF(BW58="-","-",BJ58)</f>
        <v>0</v>
      </c>
      <c r="BY58" s="760">
        <f t="shared" ref="BY58:BY69" ca="1" si="184">BV58+COUNTIFS(BW$58:BW$69,BW58,BX$58:BX$69,"&gt;"&amp;BX58)</f>
        <v>1</v>
      </c>
      <c r="BZ58" s="760" t="str">
        <f t="shared" ref="BZ58:BZ69" ca="1" si="185">IF(COUNTIF(BY$58:BY$69,BY58)=1,"-","Pos. "&amp;BY58&amp;" ("&amp;COUNTIF(BY$58:BY$69,BY58)&amp;")")</f>
        <v>Pos. 1 (12)</v>
      </c>
      <c r="CA58" s="760">
        <f ca="1">IF(BZ58="-","-",COUNTIF($BD$58:$BD$69,"&gt;"&amp;BD58))</f>
        <v>2</v>
      </c>
      <c r="CB58" s="760">
        <f ca="1">BY58+COUNTIFS(BZ$58:BZ$69,BZ58,CA$58:CA$69,"&gt;"&amp;CA58)</f>
        <v>10</v>
      </c>
      <c r="CC58" s="760"/>
      <c r="CD58" s="760">
        <f ca="1">IF(OR(INDEX($AW$102:$AW$113,MATCH($BD58,$AV$102:$AV$113,0))="",BZ58="-"),CB58,INDEX($AW$102:$AW$113,MATCH($BD58,$AV$102:$AV$113,0))+CB58/1000)</f>
        <v>10</v>
      </c>
      <c r="CE58" s="760">
        <f ca="1">IF(BZ58="-","-",COUNTIF(CD$58:CD$69,"&lt;"&amp;CD58))</f>
        <v>9</v>
      </c>
      <c r="CF58" s="760">
        <f ca="1">BY58+COUNTIFS(BZ$58:BZ$69,BZ58,CE$58:CE$69,"&lt;"&amp;CE58)</f>
        <v>10</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(12)</v>
      </c>
      <c r="BX59" s="760">
        <f t="shared" ca="1" si="183"/>
        <v>0</v>
      </c>
      <c r="BY59" s="760">
        <f t="shared" ca="1" si="184"/>
        <v>1</v>
      </c>
      <c r="BZ59" s="760" t="str">
        <f t="shared" ca="1" si="185"/>
        <v>Pos. 1 (12)</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02"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(12)</v>
      </c>
      <c r="BX60" s="760">
        <f t="shared" ca="1" si="183"/>
        <v>0</v>
      </c>
      <c r="BY60" s="760">
        <f t="shared" ca="1" si="184"/>
        <v>1</v>
      </c>
      <c r="BZ60" s="760" t="str">
        <f t="shared" ca="1" si="185"/>
        <v>Pos. 1 (12)</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02"/>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(12)</v>
      </c>
      <c r="BX61" s="760">
        <f t="shared" ca="1" si="183"/>
        <v>0</v>
      </c>
      <c r="BY61" s="760">
        <f t="shared" ca="1" si="184"/>
        <v>1</v>
      </c>
      <c r="BZ61" s="760" t="str">
        <f t="shared" ca="1" si="185"/>
        <v>Pos. 1 (12)</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02"/>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(12)</v>
      </c>
      <c r="BX62" s="760">
        <f t="shared" ca="1" si="183"/>
        <v>0</v>
      </c>
      <c r="BY62" s="760">
        <f t="shared" ca="1" si="184"/>
        <v>1</v>
      </c>
      <c r="BZ62" s="760" t="str">
        <f t="shared" ca="1" si="185"/>
        <v>Pos. 1 (12)</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02"/>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(12)</v>
      </c>
      <c r="BX63" s="760">
        <f t="shared" ca="1" si="183"/>
        <v>0</v>
      </c>
      <c r="BY63" s="760">
        <f t="shared" ca="1" si="184"/>
        <v>1</v>
      </c>
      <c r="BZ63" s="760" t="str">
        <f t="shared" ca="1" si="185"/>
        <v>Pos. 1 (12)</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02"/>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(12)</v>
      </c>
      <c r="BX64" s="760">
        <f t="shared" ca="1" si="183"/>
        <v>0</v>
      </c>
      <c r="BY64" s="760">
        <f t="shared" ca="1" si="184"/>
        <v>1</v>
      </c>
      <c r="BZ64" s="760" t="str">
        <f t="shared" ca="1" si="185"/>
        <v>Pos. 1 (12)</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03"/>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(12)</v>
      </c>
      <c r="BX65" s="760">
        <f t="shared" ca="1" si="183"/>
        <v>0</v>
      </c>
      <c r="BY65" s="760">
        <f t="shared" ca="1" si="184"/>
        <v>1</v>
      </c>
      <c r="BZ65" s="760" t="str">
        <f t="shared" ca="1" si="185"/>
        <v>Pos. 1 (12)</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(12)</v>
      </c>
      <c r="BX66" s="760">
        <f t="shared" ca="1" si="183"/>
        <v>0</v>
      </c>
      <c r="BY66" s="760">
        <f t="shared" ca="1" si="184"/>
        <v>1</v>
      </c>
      <c r="BZ66" s="760" t="str">
        <f t="shared" ca="1" si="185"/>
        <v>Pos. 1 (12)</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(12)</v>
      </c>
      <c r="BX67" s="760">
        <f t="shared" ca="1" si="183"/>
        <v>0</v>
      </c>
      <c r="BY67" s="760">
        <f t="shared" ca="1" si="184"/>
        <v>1</v>
      </c>
      <c r="BZ67" s="760" t="str">
        <f t="shared" ca="1" si="185"/>
        <v>Pos. 1 (12)</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República Checa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08"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(12)</v>
      </c>
      <c r="BX68" s="760">
        <f t="shared" ca="1" si="183"/>
        <v>0</v>
      </c>
      <c r="BY68" s="760">
        <f t="shared" ca="1" si="184"/>
        <v>1</v>
      </c>
      <c r="BZ68" s="760" t="str">
        <f t="shared" ca="1" si="185"/>
        <v>Pos. 1 (12)</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08"/>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(12)</v>
      </c>
      <c r="BX69" s="760">
        <f t="shared" ca="1" si="183"/>
        <v>0</v>
      </c>
      <c r="BY69" s="760">
        <f t="shared" ca="1" si="184"/>
        <v>1</v>
      </c>
      <c r="BZ69" s="760" t="str">
        <f t="shared" ca="1" si="185"/>
        <v>Pos. 1 (12)</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v>
      </c>
      <c r="DK69" s="756"/>
      <c r="DL69" s="756">
        <f t="shared" ca="1" si="204"/>
        <v>1</v>
      </c>
      <c r="DM69" s="750" t="str">
        <f t="shared" ca="1" si="187"/>
        <v>1.1</v>
      </c>
      <c r="DN69" s="756" cm="1">
        <f t="array" aca="1" ref="DN69" ca="1">OFFSET(Horarios!$P$3,DJ69-1,0,DL69,1)</f>
        <v>1</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08"/>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08"/>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08"/>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09"/>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04"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04"/>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04"/>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04"/>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04"/>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05"/>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10"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10"/>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10"/>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10"/>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10"/>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11"/>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06"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06"/>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06"/>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06"/>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06"/>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07"/>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2</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12"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12"/>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12"/>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12"/>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12"/>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12"/>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12"/>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12"/>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12"/>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12"/>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12"/>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República Checa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12"/>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2</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12"/>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12"/>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12"/>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13"/>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14"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14"/>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14"/>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14"/>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14"/>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14"/>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14"/>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15"/>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16"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16"/>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16"/>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17"/>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18"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19"/>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27" t="str">
        <f>IF(SUM(COUNTIF(AG4:AG97,0),COUNTIF(AG101:AG160,0)&gt;0),AL148,AL149)</f>
        <v>MUNDIAL EN CURSO</v>
      </c>
      <c r="AK151" s="828"/>
      <c r="AL151" s="828"/>
      <c r="AM151" s="828"/>
      <c r="AN151" s="828"/>
      <c r="AO151" s="828"/>
      <c r="AP151" s="828"/>
      <c r="AQ151" s="828"/>
      <c r="AR151" s="828"/>
      <c r="AS151" s="828"/>
      <c r="AT151" s="828"/>
      <c r="AU151" s="829"/>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30"/>
      <c r="AK152" s="831"/>
      <c r="AL152" s="831"/>
      <c r="AM152" s="831"/>
      <c r="AN152" s="831"/>
      <c r="AO152" s="831"/>
      <c r="AP152" s="831"/>
      <c r="AQ152" s="831"/>
      <c r="AR152" s="831"/>
      <c r="AS152" s="831"/>
      <c r="AT152" s="831"/>
      <c r="AU152" s="832"/>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30"/>
      <c r="AK153" s="831"/>
      <c r="AL153" s="831"/>
      <c r="AM153" s="831"/>
      <c r="AN153" s="831"/>
      <c r="AO153" s="831"/>
      <c r="AP153" s="831"/>
      <c r="AQ153" s="831"/>
      <c r="AR153" s="831"/>
      <c r="AS153" s="831"/>
      <c r="AT153" s="831"/>
      <c r="AU153" s="832"/>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30"/>
      <c r="AK154" s="831"/>
      <c r="AL154" s="831"/>
      <c r="AM154" s="831"/>
      <c r="AN154" s="831"/>
      <c r="AO154" s="831"/>
      <c r="AP154" s="831"/>
      <c r="AQ154" s="831"/>
      <c r="AR154" s="831"/>
      <c r="AS154" s="831"/>
      <c r="AT154" s="831"/>
      <c r="AU154" s="832"/>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794" t="str">
        <f>IF(SUM(COUNTIF(AG4:AG97,0),COUNTIF(AG101:AG160,0)&gt;0),AM148,AM149)</f>
        <v>Todavía hay emoción</v>
      </c>
      <c r="AK155" s="795"/>
      <c r="AL155" s="795"/>
      <c r="AM155" s="795"/>
      <c r="AN155" s="795"/>
      <c r="AO155" s="795"/>
      <c r="AP155" s="795"/>
      <c r="AQ155" s="795"/>
      <c r="AR155" s="795"/>
      <c r="AS155" s="795"/>
      <c r="AT155" s="795"/>
      <c r="AU155" s="796"/>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794"/>
      <c r="AK156" s="795"/>
      <c r="AL156" s="795"/>
      <c r="AM156" s="795"/>
      <c r="AN156" s="795"/>
      <c r="AO156" s="795"/>
      <c r="AP156" s="795"/>
      <c r="AQ156" s="795"/>
      <c r="AR156" s="795"/>
      <c r="AS156" s="795"/>
      <c r="AT156" s="795"/>
      <c r="AU156" s="796"/>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797"/>
      <c r="AK157" s="798"/>
      <c r="AL157" s="798"/>
      <c r="AM157" s="798"/>
      <c r="AN157" s="798"/>
      <c r="AO157" s="798"/>
      <c r="AP157" s="798"/>
      <c r="AQ157" s="798"/>
      <c r="AR157" s="798"/>
      <c r="AS157" s="798"/>
      <c r="AT157" s="798"/>
      <c r="AU157" s="799"/>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792" t="str">
        <f>+Idiomas!D12</f>
        <v>Donar</v>
      </c>
      <c r="AP161" s="793"/>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2.9981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3</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v>
      </c>
      <c r="N7" s="25" t="str">
        <f>IF(OR(WORLDCUP!AC5="",WORLDCUP!AD5=""),"",IF(WORLDCUP!AC5&gt;WORLDCUP!AD5,"1",IF(WORLDCUP!AC5&lt;WORLDCUP!AD5,"2","X")))</f>
        <v/>
      </c>
      <c r="O7" s="25">
        <f>WORLDCUP!AC5</f>
        <v>0</v>
      </c>
      <c r="P7" s="25">
        <f>WORLDCUP!AD5</f>
        <v>0</v>
      </c>
      <c r="Q7" s="25">
        <f>ABS(O7-P7)</f>
        <v>0</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3</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848"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848"/>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848"/>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848"/>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847"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847"/>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847"/>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847"/>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848"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848"/>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848"/>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848"/>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847"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847"/>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847"/>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847"/>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848"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848"/>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848"/>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848"/>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847"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847"/>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847"/>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847"/>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848"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848"/>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848"/>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848"/>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847"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847"/>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847"/>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847"/>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848"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848"/>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848"/>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848"/>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847"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847"/>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847"/>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847"/>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848"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848"/>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848"/>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848"/>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847"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847"/>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847"/>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847"/>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849"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849"/>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849"/>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849"/>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849"/>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849"/>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849"/>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849"/>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849"/>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849"/>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849"/>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849"/>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849"/>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849"/>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849"/>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849"/>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849"/>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849"/>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849"/>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849"/>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849"/>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849"/>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849"/>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849"/>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849"/>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849"/>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849"/>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849"/>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849"/>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849"/>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849"/>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849"/>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849"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849"/>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849"/>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849"/>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849"/>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849"/>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849"/>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849"/>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849"/>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849"/>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849"/>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849"/>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849"/>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849"/>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849"/>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849"/>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849"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849"/>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849"/>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849"/>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849"/>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849"/>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849"/>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849"/>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849"/>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849"/>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849"/>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849"/>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849"/>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849"/>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849"/>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849"/>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849"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849"/>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849"/>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849"/>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849"/>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849"/>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849"/>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849"/>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849"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849"/>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849"/>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849"/>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849"/>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849"/>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849"/>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849"/>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849"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849"/>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849"/>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849"/>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849"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849"/>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849"/>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849"/>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850"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850"/>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850"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850"/>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850"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850"/>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3</v>
      </c>
      <c r="E5" s="98" cm="1">
        <f t="array" aca="1" ref="E5" ca="1">IFERROR(INDEX(Rango_Admin_Clas_Total,E$2,MATCH($A5,Rango_Admin_Clas_Primera,0)+1),"-")</f>
        <v>3</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9.6153846153846159E-3</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2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t="str">
        <f>IF(ISBLANK(INDEX(WORLDCUP!$AC$4:$AC$147,MATCH(A4,WORLDCUP!$AH$4:$AH$147,0))),"",INDEX(WORLDCUP!$AC$4:$AC$147,MATCH(A4,WORLDCUP!$AH$4:$AH$147,0)))</f>
        <v/>
      </c>
      <c r="E4" s="538" t="str">
        <f>IF(ISBLANK(INDEX(WORLDCUP!$AD$4:$AD$147,MATCH(A4,WORLDCUP!$AH$4:$AH$147,0))),"",INDEX(WORLDCUP!$AD$4:$AD$147,MATCH(A4,WORLDCUP!$AH$4:$AH$147,0)))</f>
        <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0</v>
      </c>
      <c r="J5" s="230">
        <f ca="1">+INDEX(WORLDCUP!$AT$6:$AT$97,MATCH(L5,WORLDCUP!$AI$6:$AI$97,0))</f>
        <v>0</v>
      </c>
      <c r="K5" s="231" t="str">
        <f ca="1">+INDEX(WORLDCUP!$AR$6:$AR$97,MATCH(L5,WORLDCUP!$AI$6:$AI$97,0))&amp;"-"&amp;INDEX(WORLDCUP!$AS$6:$AS$97,MATCH(L5,WORLDCUP!$AI$6:$AI$97,0))</f>
        <v>0-0</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0</v>
      </c>
      <c r="K6" s="231" t="str">
        <f ca="1">+INDEX(WORLDCUP!$AR$6:$AR$97,MATCH(L6,WORLDCUP!$AI$6:$AI$97,0))&amp;"-"&amp;INDEX(WORLDCUP!$AS$6:$AS$97,MATCH(L6,WORLDCUP!$AI$6:$AI$97,0))</f>
        <v>0-0</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t="str">
        <f>IF(ISBLANK(INDEX(WORLDCUP!$AC$4:$AC$147,MATCH(A11,WORLDCUP!$AH$4:$AH$147,0))),"",INDEX(WORLDCUP!$AC$4:$AC$147,MATCH(A11,WORLDCUP!$AH$4:$AH$147,0)))</f>
        <v/>
      </c>
      <c r="E11" s="511" t="str">
        <f>IF(ISBLANK(INDEX(WORLDCUP!$AD$4:$AD$147,MATCH(A11,WORLDCUP!$AH$4:$AH$147,0))),"",INDEX(WORLDCUP!$AD$4:$AD$147,MATCH(A11,WORLDCUP!$AH$4:$AH$147,0)))</f>
        <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2026-06-12T00:12:35Z</dcterms:modified>
  <cp:category/>
</cp:coreProperties>
</file>