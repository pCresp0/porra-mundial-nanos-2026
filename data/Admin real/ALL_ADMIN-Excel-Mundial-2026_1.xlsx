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codeName="ThisWorkbook" autoCompressPictures="0" defaultThemeVersion="124226"/>
  <mc:AlternateContent xmlns:mc="http://schemas.openxmlformats.org/markup-compatibility/2006">
    <mc:Choice Requires="x15">
      <x15ac:absPath xmlns:x15ac="http://schemas.microsoft.com/office/spreadsheetml/2010/11/ac" url="/Users/pcrespo/Documents/Github/Web_Interactiva_PORRA_NANOS_MUNDIAL_2026/data/Admin real/"/>
    </mc:Choice>
  </mc:AlternateContent>
  <xr:revisionPtr revIDLastSave="0" documentId="13_ncr:1_{9AC75544-2F0F-644F-B5F2-D0D7EBE64472}"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P202" i="46" s="1"/>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M14" i="46" s="1"/>
  <c r="N15" i="46"/>
  <c r="N16" i="46"/>
  <c r="M16" i="46" s="1"/>
  <c r="N17" i="46"/>
  <c r="M17" i="46" s="1"/>
  <c r="N18" i="46"/>
  <c r="N19" i="46"/>
  <c r="N20" i="46"/>
  <c r="N21" i="46"/>
  <c r="M21" i="46" s="1"/>
  <c r="N22" i="46"/>
  <c r="N23" i="46"/>
  <c r="N24" i="46"/>
  <c r="N25" i="46"/>
  <c r="N26" i="46"/>
  <c r="N27" i="46"/>
  <c r="N30" i="46"/>
  <c r="N52" i="46"/>
  <c r="P52" i="46"/>
  <c r="N77" i="46"/>
  <c r="N76" i="46"/>
  <c r="P76" i="46"/>
  <c r="N75" i="46"/>
  <c r="N74" i="46"/>
  <c r="N73" i="46"/>
  <c r="N72" i="46"/>
  <c r="N71" i="46"/>
  <c r="N70" i="46"/>
  <c r="N69" i="46"/>
  <c r="N68" i="46"/>
  <c r="N67" i="46"/>
  <c r="N66" i="46"/>
  <c r="N65" i="46"/>
  <c r="N64" i="46"/>
  <c r="N63" i="46"/>
  <c r="N62" i="46"/>
  <c r="N61" i="46"/>
  <c r="N60" i="46"/>
  <c r="N59" i="46"/>
  <c r="N58" i="46"/>
  <c r="N57" i="46"/>
  <c r="N56" i="46"/>
  <c r="N55" i="46"/>
  <c r="N54" i="46"/>
  <c r="O54" i="46"/>
  <c r="P54" i="46"/>
  <c r="N53" i="46"/>
  <c r="N51" i="46"/>
  <c r="N50" i="46"/>
  <c r="N49" i="46"/>
  <c r="N48" i="46"/>
  <c r="N47" i="46"/>
  <c r="N46" i="46"/>
  <c r="N45" i="46"/>
  <c r="N44" i="46"/>
  <c r="N43" i="46"/>
  <c r="N42" i="46"/>
  <c r="N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Q76" i="46" s="1"/>
  <c r="P75" i="46"/>
  <c r="O75" i="46"/>
  <c r="Q75" i="46" s="1"/>
  <c r="P74" i="46"/>
  <c r="O74" i="46"/>
  <c r="Q74" i="46" s="1"/>
  <c r="P73" i="46"/>
  <c r="O73" i="46"/>
  <c r="P72" i="46"/>
  <c r="O72" i="46"/>
  <c r="P71" i="46"/>
  <c r="O71" i="46"/>
  <c r="P70" i="46"/>
  <c r="O70" i="46"/>
  <c r="P69" i="46"/>
  <c r="O69" i="46"/>
  <c r="P68" i="46"/>
  <c r="O68" i="46"/>
  <c r="P67" i="46"/>
  <c r="O67" i="46"/>
  <c r="P66" i="46"/>
  <c r="O66" i="46"/>
  <c r="Q66" i="46" s="1"/>
  <c r="P65" i="46"/>
  <c r="O65" i="46"/>
  <c r="P64" i="46"/>
  <c r="O64" i="46"/>
  <c r="P63" i="46"/>
  <c r="O63" i="46"/>
  <c r="Q63" i="46" s="1"/>
  <c r="P62" i="46"/>
  <c r="O62" i="46"/>
  <c r="Q62" i="46" s="1"/>
  <c r="P61" i="46"/>
  <c r="O61" i="46"/>
  <c r="P60" i="46"/>
  <c r="O60" i="46"/>
  <c r="Q60" i="46" s="1"/>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D109" i="36"/>
  <c r="L42" i="34" s="1"/>
  <c r="D108" i="36"/>
  <c r="L41" i="34" s="1"/>
  <c r="D106" i="36"/>
  <c r="L38" i="34" s="1"/>
  <c r="D99" i="36"/>
  <c r="L23" i="34" s="1"/>
  <c r="D88" i="36"/>
  <c r="D90" i="3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Q244" i="46"/>
  <c r="Q179" i="46"/>
  <c r="Q27" i="46"/>
  <c r="E221" i="46"/>
  <c r="Q45" i="46"/>
  <c r="Q21" i="46"/>
  <c r="Q13" i="46"/>
  <c r="Q9" i="46"/>
  <c r="Q7" i="46"/>
  <c r="E233" i="46"/>
  <c r="M61" i="46"/>
  <c r="M45" i="46"/>
  <c r="M69" i="46"/>
  <c r="Q201" i="46"/>
  <c r="M221" i="46"/>
  <c r="M49" i="46"/>
  <c r="M13" i="46"/>
  <c r="Q26" i="46"/>
  <c r="M57" i="46"/>
  <c r="E223" i="46"/>
  <c r="Q223" i="46"/>
  <c r="M26" i="46"/>
  <c r="M36" i="46"/>
  <c r="M50" i="46"/>
  <c r="Q47" i="46"/>
  <c r="M47" i="46"/>
  <c r="M11" i="46"/>
  <c r="M44" i="46"/>
  <c r="S267" i="46"/>
  <c r="M204" i="46" l="1"/>
  <c r="M62" i="46"/>
  <c r="M29" i="46"/>
  <c r="M77" i="46"/>
  <c r="M65" i="46"/>
  <c r="P247" i="46"/>
  <c r="M75" i="46"/>
  <c r="M63" i="46"/>
  <c r="M53" i="46"/>
  <c r="M41" i="46"/>
  <c r="Q202" i="46"/>
  <c r="M201" i="46"/>
  <c r="M52" i="46"/>
  <c r="M48" i="46"/>
  <c r="M20" i="46"/>
  <c r="Q65" i="46"/>
  <c r="M58" i="46"/>
  <c r="M7" i="46"/>
  <c r="W7" i="46" s="1"/>
  <c r="Q30"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K182" i="46"/>
  <c r="AF75" i="3"/>
  <c r="AF67" i="3"/>
  <c r="H250" i="46"/>
  <c r="AF51" i="3"/>
  <c r="D13" i="36"/>
  <c r="K14" i="30" s="1"/>
  <c r="D432" i="36"/>
  <c r="H226" i="46"/>
  <c r="K213" i="46"/>
  <c r="AM53" i="3"/>
  <c r="H196" i="46"/>
  <c r="AF130" i="3"/>
  <c r="H222" i="46"/>
  <c r="AF142" i="3"/>
  <c r="H252" i="46"/>
  <c r="Q25" i="6"/>
  <c r="AF137" i="3"/>
  <c r="T1" i="6"/>
  <c r="C61" i="46"/>
  <c r="H177" i="46"/>
  <c r="H227" i="46"/>
  <c r="H207" i="46"/>
  <c r="H212" i="46"/>
  <c r="H156" i="46"/>
  <c r="H134" i="46"/>
  <c r="H254" i="46"/>
  <c r="H256" i="46"/>
  <c r="H141" i="46"/>
  <c r="H133"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45" i="46"/>
  <c r="W26" i="46"/>
  <c r="W17" i="46"/>
  <c r="W74" i="46"/>
  <c r="W66" i="46"/>
  <c r="W49" i="46"/>
  <c r="W56" i="46"/>
  <c r="W48" i="46"/>
  <c r="W47" i="46"/>
  <c r="W21" i="46"/>
  <c r="W13" i="46"/>
  <c r="W37" i="46"/>
  <c r="W20" i="46"/>
  <c r="E165" i="46"/>
  <c r="AC7" i="46"/>
  <c r="AF7" i="46"/>
  <c r="Z13" i="46"/>
  <c r="AC13" i="46"/>
  <c r="AF13" i="46"/>
  <c r="AC21" i="46"/>
  <c r="Z17" i="46"/>
  <c r="AF21" i="46"/>
  <c r="AC17" i="46"/>
  <c r="AF17" i="46"/>
  <c r="Z26" i="46"/>
  <c r="AC26" i="46"/>
  <c r="Z21" i="46"/>
  <c r="AF26" i="46"/>
  <c r="AC37" i="46"/>
  <c r="AF37" i="46"/>
  <c r="Z44" i="46"/>
  <c r="AC44" i="46"/>
  <c r="AF44" i="46"/>
  <c r="Z49" i="46"/>
  <c r="Z36" i="46"/>
  <c r="Z45" i="46"/>
  <c r="AC49" i="46"/>
  <c r="AF45" i="46"/>
  <c r="AC56" i="46"/>
  <c r="AC36" i="46"/>
  <c r="AF56" i="46"/>
  <c r="AF36" i="46"/>
  <c r="AF49" i="46"/>
  <c r="Z37" i="46"/>
  <c r="Z47" i="46"/>
  <c r="AC47" i="46"/>
  <c r="Z52" i="46"/>
  <c r="Z56" i="46"/>
  <c r="AC52" i="46"/>
  <c r="Z66" i="46"/>
  <c r="AC45" i="46"/>
  <c r="AF66" i="46"/>
  <c r="AC74" i="46"/>
  <c r="AF52" i="46"/>
  <c r="AF74" i="46"/>
  <c r="AF47" i="46"/>
  <c r="Z74" i="46"/>
  <c r="AC66" i="46"/>
  <c r="Z7" i="46"/>
  <c r="Q46" i="46"/>
  <c r="P221" i="46"/>
  <c r="Q222" i="46"/>
  <c r="Q68" i="46"/>
  <c r="T256" i="46"/>
  <c r="Q16" i="46"/>
  <c r="AF16" i="46" s="1"/>
  <c r="Q29" i="46"/>
  <c r="Q220" i="46"/>
  <c r="Q14" i="46"/>
  <c r="Z14" i="46" s="1"/>
  <c r="Q233" i="46"/>
  <c r="Q8" i="46"/>
  <c r="Z8" i="46" s="1"/>
  <c r="P178" i="46"/>
  <c r="P174" i="46"/>
  <c r="Q173" i="46"/>
  <c r="Q169" i="46"/>
  <c r="T47" i="46"/>
  <c r="Q50" i="46"/>
  <c r="Q70" i="46"/>
  <c r="Q71" i="46"/>
  <c r="Q23" i="46"/>
  <c r="M46" i="46"/>
  <c r="M71" i="46"/>
  <c r="M70" i="46"/>
  <c r="W70" i="46" s="1"/>
  <c r="M23" i="46"/>
  <c r="W23" i="46" s="1"/>
  <c r="Q22" i="46"/>
  <c r="M22" i="46"/>
  <c r="AF22" i="46" s="1"/>
  <c r="Q200" i="46"/>
  <c r="T50" i="46"/>
  <c r="T26" i="46"/>
  <c r="Q72" i="46"/>
  <c r="Q43" i="46"/>
  <c r="T17" i="46"/>
  <c r="Q64" i="46"/>
  <c r="T36" i="46"/>
  <c r="T13" i="46"/>
  <c r="Q34" i="46"/>
  <c r="T7" i="46"/>
  <c r="F5" i="48" a="1"/>
  <c r="V267" i="46"/>
  <c r="T258" i="46"/>
  <c r="M39" i="46"/>
  <c r="M28" i="46"/>
  <c r="Z28" i="46" s="1"/>
  <c r="Q28" i="46"/>
  <c r="Q12" i="46"/>
  <c r="E205" i="46"/>
  <c r="Q205" i="46"/>
  <c r="M233" i="46"/>
  <c r="P233" i="46"/>
  <c r="M244" i="46"/>
  <c r="P244" i="46"/>
  <c r="E164" i="46"/>
  <c r="Q164" i="46"/>
  <c r="E176" i="46"/>
  <c r="Q172" i="46"/>
  <c r="E168" i="46"/>
  <c r="M35" i="46"/>
  <c r="Q35" i="46"/>
  <c r="M51" i="46"/>
  <c r="Q51" i="46"/>
  <c r="Q11" i="46"/>
  <c r="W11" i="46" s="1"/>
  <c r="M64" i="46"/>
  <c r="Z64" i="46" s="1"/>
  <c r="M25" i="46"/>
  <c r="M10" i="46"/>
  <c r="Q18" i="46"/>
  <c r="Q57" i="46"/>
  <c r="Q61" i="46"/>
  <c r="AC61" i="46" s="1"/>
  <c r="Q69" i="46"/>
  <c r="Q73" i="46"/>
  <c r="M73" i="46"/>
  <c r="Z73" i="46" s="1"/>
  <c r="M12" i="46"/>
  <c r="W12" i="46" s="1"/>
  <c r="M24" i="46"/>
  <c r="Q171" i="46"/>
  <c r="M32" i="46"/>
  <c r="M40" i="46"/>
  <c r="Q48" i="46"/>
  <c r="AF48" i="46" s="1"/>
  <c r="M27" i="46"/>
  <c r="M19" i="46"/>
  <c r="D65" i="46"/>
  <c r="M59" i="46"/>
  <c r="T59" i="46" s="1"/>
  <c r="M15" i="46"/>
  <c r="P170" i="46"/>
  <c r="M60" i="46"/>
  <c r="M68" i="46"/>
  <c r="M200" i="46"/>
  <c r="M76" i="46"/>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Q38" i="46"/>
  <c r="M34" i="46"/>
  <c r="Q32" i="46"/>
  <c r="Q31" i="46"/>
  <c r="Q25" i="46"/>
  <c r="Q24" i="46"/>
  <c r="T21" i="46"/>
  <c r="Q20" i="46"/>
  <c r="Q19" i="46"/>
  <c r="T18" i="46"/>
  <c r="Q15" i="46"/>
  <c r="Q10" i="46"/>
  <c r="M9" i="46"/>
  <c r="Z9" i="46" s="1"/>
  <c r="Q67"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24" i="46" l="1"/>
  <c r="T77" i="46"/>
  <c r="AC25" i="46"/>
  <c r="AC29" i="46"/>
  <c r="AF62" i="46"/>
  <c r="AC62" i="46"/>
  <c r="W62" i="46"/>
  <c r="Z62" i="46"/>
  <c r="T62" i="46"/>
  <c r="T29" i="46"/>
  <c r="W29" i="46"/>
  <c r="W77" i="46"/>
  <c r="Z77" i="46"/>
  <c r="AC77" i="46"/>
  <c r="AF77" i="46"/>
  <c r="T65" i="46"/>
  <c r="AF65" i="46"/>
  <c r="W65" i="46"/>
  <c r="Z65" i="46"/>
  <c r="AC65" i="46"/>
  <c r="AC75" i="46"/>
  <c r="Z75" i="46"/>
  <c r="AF75" i="46"/>
  <c r="W75" i="46"/>
  <c r="T75" i="46"/>
  <c r="T63" i="46"/>
  <c r="AF63" i="46"/>
  <c r="W63" i="46"/>
  <c r="Z63" i="46"/>
  <c r="AC63" i="46"/>
  <c r="T53" i="46"/>
  <c r="Z53" i="46"/>
  <c r="AF53" i="46"/>
  <c r="AC53" i="46"/>
  <c r="W53" i="46"/>
  <c r="AC41" i="46"/>
  <c r="W41" i="46"/>
  <c r="AF41" i="46"/>
  <c r="T41" i="46"/>
  <c r="Z41" i="46"/>
  <c r="W50" i="46"/>
  <c r="Z50" i="46"/>
  <c r="AF72" i="46"/>
  <c r="AC72" i="46"/>
  <c r="W43" i="46"/>
  <c r="AC43" i="46"/>
  <c r="AC57" i="46"/>
  <c r="W57" i="46"/>
  <c r="Z69" i="46"/>
  <c r="AC69" i="46"/>
  <c r="AF20" i="46"/>
  <c r="Z20" i="46"/>
  <c r="W52" i="46"/>
  <c r="T52" i="46"/>
  <c r="Z76" i="46"/>
  <c r="AC76" i="46"/>
  <c r="AF76" i="46"/>
  <c r="Z51" i="46"/>
  <c r="W51" i="46"/>
  <c r="Z27" i="46"/>
  <c r="AF27" i="46"/>
  <c r="AF70" i="46"/>
  <c r="AF46" i="46"/>
  <c r="AC46" i="46"/>
  <c r="Z71" i="46"/>
  <c r="AC71" i="46"/>
  <c r="AF71" i="46"/>
  <c r="AC68" i="46"/>
  <c r="T68" i="46"/>
  <c r="Z68" i="46"/>
  <c r="AC19" i="46"/>
  <c r="Z19" i="46"/>
  <c r="W40" i="46"/>
  <c r="AC40" i="46"/>
  <c r="T40" i="46"/>
  <c r="W39" i="46"/>
  <c r="AF39" i="46"/>
  <c r="AF15" i="46"/>
  <c r="AC15" i="46"/>
  <c r="Z60" i="46"/>
  <c r="W60" i="46"/>
  <c r="AC58" i="46"/>
  <c r="W58" i="46"/>
  <c r="AF58" i="46"/>
  <c r="T58" i="46"/>
  <c r="Z58" i="46"/>
  <c r="T32"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K75" i="46" l="1"/>
  <c r="O40" i="45"/>
  <c r="DT22" i="3"/>
  <c r="AB62" i="3" a="1"/>
  <c r="K44" i="46"/>
  <c r="K58" i="46"/>
  <c r="O13" i="45"/>
  <c r="T12" i="32"/>
  <c r="DT13" i="3"/>
  <c r="AB22" i="3" a="1"/>
  <c r="AB60" i="3" a="1"/>
  <c r="DT89" i="3"/>
  <c r="K9" i="46"/>
  <c r="L28" i="51"/>
  <c r="R10" i="32"/>
  <c r="K34" i="46"/>
  <c r="DT30" i="3"/>
  <c r="BG38" i="45"/>
  <c r="S12" i="32"/>
  <c r="R37" i="32"/>
  <c r="L8" i="51"/>
  <c r="C29" i="45"/>
  <c r="T11" i="32"/>
  <c r="X37" i="32"/>
  <c r="BG4" i="45"/>
  <c r="K36" i="46"/>
  <c r="S11" i="32"/>
  <c r="S3" i="32"/>
  <c r="S37" i="32"/>
  <c r="L42" i="51"/>
  <c r="T23" i="32"/>
  <c r="L17" i="51"/>
  <c r="L16" i="51"/>
  <c r="AB37" i="3" a="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L24" i="51"/>
  <c r="L43" i="51"/>
  <c r="AE13" i="3" a="1"/>
  <c r="AE49" i="3" a="1"/>
  <c r="DT48" i="3"/>
  <c r="X4" i="32"/>
  <c r="R35" i="45"/>
  <c r="S4" i="32"/>
  <c r="DT52" i="3"/>
  <c r="AB28" i="3" a="1"/>
  <c r="K32" i="46"/>
  <c r="DT14" i="3"/>
  <c r="L9" i="51"/>
  <c r="S13" i="32"/>
  <c r="R3" i="45"/>
  <c r="AE52" i="3" a="1"/>
  <c r="C13" i="45"/>
  <c r="BG9" i="45"/>
  <c r="BG5" i="45"/>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T44" i="32"/>
  <c r="DT38" i="3"/>
  <c r="BG39" i="45"/>
  <c r="T13" i="32"/>
  <c r="K35" i="46"/>
  <c r="X21" i="32"/>
  <c r="BG45" i="45"/>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X20" i="32"/>
  <c r="S24" i="32"/>
  <c r="L36" i="51"/>
  <c r="R20" i="32"/>
  <c r="X31" i="32"/>
  <c r="T20" i="32"/>
  <c r="S31" i="32"/>
  <c r="BG21" i="45"/>
  <c r="AE40" i="3" a="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U3" i="32"/>
  <c r="W7"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H14" i="46"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C28" i="32"/>
  <c r="C57" i="32"/>
  <c r="Y57" i="3" s="1"/>
  <c r="C48" i="32"/>
  <c r="X48" i="3" s="1"/>
  <c r="H64" i="46" s="1"/>
  <c r="C110" i="32"/>
  <c r="X110" i="3" s="1"/>
  <c r="C23" i="32"/>
  <c r="C115" i="32"/>
  <c r="X115" i="3" s="1"/>
  <c r="C124" i="32"/>
  <c r="C16" i="32"/>
  <c r="X16" i="3" s="1"/>
  <c r="H56" i="46" s="1"/>
  <c r="C70" i="32"/>
  <c r="Y70" i="3" s="1"/>
  <c r="C6" i="32"/>
  <c r="Y6" i="3" s="1"/>
  <c r="C105" i="32"/>
  <c r="X105" i="3" s="1"/>
  <c r="C134" i="32"/>
  <c r="Y134" i="3" s="1"/>
  <c r="C107" i="32"/>
  <c r="Y107" i="3" s="1"/>
  <c r="C97" i="32"/>
  <c r="Y97" i="3" s="1"/>
  <c r="C96" i="32"/>
  <c r="Y96" i="3" s="1"/>
  <c r="C126" i="32"/>
  <c r="X126" i="3" s="1"/>
  <c r="C113" i="32"/>
  <c r="X113" i="3" s="1"/>
  <c r="C68" i="32"/>
  <c r="X68" i="3" s="1"/>
  <c r="H22" i="46" s="1"/>
  <c r="C104" i="32"/>
  <c r="X104" i="3" s="1"/>
  <c r="C4" i="32"/>
  <c r="Y4" i="3" s="1"/>
  <c r="C15" i="32"/>
  <c r="Y15" i="3" s="1"/>
  <c r="C77" i="32"/>
  <c r="X77" i="3" s="1"/>
  <c r="H25" i="46" s="1"/>
  <c r="C147" i="32"/>
  <c r="X147" i="3" s="1"/>
  <c r="C76" i="32"/>
  <c r="C84" i="32"/>
  <c r="X84" i="3" s="1"/>
  <c r="H26" i="46" s="1"/>
  <c r="C56" i="32"/>
  <c r="C63" i="32"/>
  <c r="X63" i="3" s="1"/>
  <c r="H45" i="46" s="1"/>
  <c r="C8" i="32"/>
  <c r="Y8" i="3" s="1"/>
  <c r="C14" i="32"/>
  <c r="Y14" i="3" s="1"/>
  <c r="C102" i="32"/>
  <c r="X102" i="3" s="1"/>
  <c r="C47" i="32"/>
  <c r="X47" i="3" s="1"/>
  <c r="H41" i="46" s="1"/>
  <c r="C13" i="32"/>
  <c r="Y13" i="3" s="1"/>
  <c r="C46" i="32"/>
  <c r="Y46" i="3" s="1"/>
  <c r="C41" i="32"/>
  <c r="X41" i="3" s="1"/>
  <c r="H63" i="46" s="1"/>
  <c r="C131" i="32"/>
  <c r="Y131" i="3" s="1"/>
  <c r="C143" i="32"/>
  <c r="X143" i="3" s="1"/>
  <c r="C87" i="32"/>
  <c r="X87" i="3" s="1"/>
  <c r="H51" i="46" s="1"/>
  <c r="C106" i="32"/>
  <c r="Y106" i="3" s="1"/>
  <c r="C132" i="32"/>
  <c r="X132" i="3" s="1"/>
  <c r="C65" i="32"/>
  <c r="X65" i="3" s="1"/>
  <c r="H69" i="46" s="1"/>
  <c r="C69" i="32"/>
  <c r="Y69" i="3" s="1"/>
  <c r="C79" i="32"/>
  <c r="Y79" i="3" s="1"/>
  <c r="C9" i="32"/>
  <c r="Y9" i="3" s="1"/>
  <c r="C114" i="32"/>
  <c r="Y114" i="3" s="1"/>
  <c r="C101" i="32"/>
  <c r="X101" i="3" s="1"/>
  <c r="C116" i="32"/>
  <c r="X116" i="3" s="1"/>
  <c r="C94" i="32"/>
  <c r="X94" i="3" s="1"/>
  <c r="H52" i="46" s="1"/>
  <c r="C108" i="32"/>
  <c r="Y108" i="3" s="1"/>
  <c r="C20" i="32"/>
  <c r="X20" i="3" s="1"/>
  <c r="H10" i="46" s="1"/>
  <c r="C5" i="32"/>
  <c r="Y5" i="3" s="1"/>
  <c r="C103" i="32"/>
  <c r="X103" i="3" s="1"/>
  <c r="C62" i="32"/>
  <c r="X62" i="3" s="1"/>
  <c r="H44" i="46" s="1"/>
  <c r="C88" i="32"/>
  <c r="X88" i="3" s="1"/>
  <c r="H74" i="46" s="1"/>
  <c r="C29" i="32"/>
  <c r="X29" i="3" s="1"/>
  <c r="H13" i="46" s="1"/>
  <c r="C85" i="32"/>
  <c r="X85" i="3" s="1"/>
  <c r="H27" i="46" s="1"/>
  <c r="C72" i="32"/>
  <c r="X72" i="3" s="1"/>
  <c r="H70" i="46" s="1"/>
  <c r="C120" i="32"/>
  <c r="Y120" i="3" s="1"/>
  <c r="C125" i="32"/>
  <c r="X125" i="3" s="1"/>
  <c r="C138" i="32"/>
  <c r="Y138" i="3" s="1"/>
  <c r="C53" i="32"/>
  <c r="X53" i="3" s="1"/>
  <c r="H19" i="46" s="1"/>
  <c r="C60" i="32"/>
  <c r="X60" i="3" s="1"/>
  <c r="H20" i="46" s="1"/>
  <c r="C12" i="32"/>
  <c r="Y12" i="3" s="1"/>
  <c r="C78" i="32"/>
  <c r="X78" i="3" s="1"/>
  <c r="H48" i="46" s="1"/>
  <c r="C54" i="32"/>
  <c r="Y54" i="3" s="1"/>
  <c r="C61" i="32"/>
  <c r="Y61" i="3" s="1"/>
  <c r="C39" i="32"/>
  <c r="Y39" i="3" s="1"/>
  <c r="C40" i="32"/>
  <c r="X40" i="3" s="1"/>
  <c r="H62" i="46" s="1"/>
  <c r="C25" i="32"/>
  <c r="Y25" i="3" s="1"/>
  <c r="C52" i="32"/>
  <c r="X52" i="3" s="1"/>
  <c r="H18" i="46" s="1"/>
  <c r="C112" i="32"/>
  <c r="X112" i="3" s="1"/>
  <c r="C17" i="32"/>
  <c r="Y17" i="3" s="1"/>
  <c r="C89" i="32"/>
  <c r="Y89" i="3" s="1"/>
  <c r="C139" i="32"/>
  <c r="Y139" i="3" s="1"/>
  <c r="C93" i="32"/>
  <c r="Y93" i="3" s="1"/>
  <c r="C30" i="32"/>
  <c r="Y30" i="3" s="1"/>
  <c r="C45" i="32"/>
  <c r="Y45" i="3" s="1"/>
  <c r="C109" i="32"/>
  <c r="Y109" i="3" s="1"/>
  <c r="C31" i="32"/>
  <c r="Y31" i="3" s="1"/>
  <c r="C71" i="32"/>
  <c r="X71" i="3" s="1"/>
  <c r="H47" i="46" s="1"/>
  <c r="C38" i="32"/>
  <c r="Y38" i="3" s="1"/>
  <c r="C81" i="32"/>
  <c r="Y81" i="3" s="1"/>
  <c r="C21" i="32"/>
  <c r="X21" i="3" s="1"/>
  <c r="H11" i="46" s="1"/>
  <c r="C73" i="32"/>
  <c r="X73" i="3" s="1"/>
  <c r="H71" i="46" s="1"/>
  <c r="C49" i="32"/>
  <c r="X49" i="3" s="1"/>
  <c r="H65" i="46"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H43" i="46" s="1"/>
  <c r="C95" i="32"/>
  <c r="X95" i="3" s="1"/>
  <c r="H53" i="46" s="1"/>
  <c r="C133" i="32"/>
  <c r="C37" i="32"/>
  <c r="Y37" i="3" s="1"/>
  <c r="Y36" i="3"/>
  <c r="X96" i="3"/>
  <c r="H76" i="46" s="1"/>
  <c r="Y113" i="3"/>
  <c r="Y126" i="3"/>
  <c r="BR22" i="3"/>
  <c r="BR51" i="3"/>
  <c r="Y33" i="3" l="1"/>
  <c r="X33" i="3"/>
  <c r="H61" i="46" s="1"/>
  <c r="Y28" i="3"/>
  <c r="X28" i="3"/>
  <c r="H12" i="46" s="1"/>
  <c r="X23" i="3"/>
  <c r="H35" i="46" s="1"/>
  <c r="Y23" i="3"/>
  <c r="Y124" i="3"/>
  <c r="X124" i="3"/>
  <c r="X76" i="3"/>
  <c r="H24" i="46" s="1"/>
  <c r="Y76" i="3"/>
  <c r="Y56" i="3"/>
  <c r="X56" i="3"/>
  <c r="H66" i="46" s="1"/>
  <c r="Y77" i="3"/>
  <c r="Y105" i="3"/>
  <c r="Y84" i="3"/>
  <c r="Y102" i="3"/>
  <c r="Y115" i="3"/>
  <c r="Y48" i="3"/>
  <c r="X134" i="3"/>
  <c r="E42" i="30"/>
  <c r="X57" i="3"/>
  <c r="H67" i="46" s="1"/>
  <c r="X70" i="3"/>
  <c r="H46" i="46" s="1"/>
  <c r="X4" i="3"/>
  <c r="H6" i="46" s="1"/>
  <c r="Y110" i="3"/>
  <c r="X97" i="3"/>
  <c r="H77" i="46" s="1"/>
  <c r="X15" i="3"/>
  <c r="H33" i="46" s="1"/>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X44" i="3"/>
  <c r="H16" i="46" s="1"/>
  <c r="X80" i="3"/>
  <c r="X92" i="3"/>
  <c r="H28" i="46" s="1"/>
  <c r="X86" i="3"/>
  <c r="H50" i="46" s="1"/>
  <c r="Y121" i="3"/>
  <c r="X121" i="3"/>
  <c r="X133" i="3"/>
  <c r="Y133" i="3"/>
  <c r="Y55" i="3"/>
  <c r="Y95" i="3"/>
  <c r="X111" i="3"/>
  <c r="X22" i="3"/>
  <c r="H34" i="46" s="1"/>
  <c r="H127"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G20" i="30" l="1"/>
  <c r="H72" i="46"/>
  <c r="H119" i="46" s="1"/>
  <c r="H60" i="46"/>
  <c r="H58" i="46"/>
  <c r="G19" i="30"/>
  <c r="E45" i="51"/>
  <c r="H124" i="46"/>
  <c r="H125"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3" i="46" l="1"/>
  <c r="H92" i="46"/>
  <c r="H90" i="46"/>
  <c r="H88" i="46"/>
  <c r="H117" i="46"/>
  <c r="Q2" i="6" a="1"/>
  <c r="G6" i="46" s="1"/>
  <c r="H91" i="46"/>
  <c r="H89" i="46"/>
  <c r="H94" i="46"/>
  <c r="H118" i="46"/>
  <c r="H95" i="46"/>
  <c r="H116"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V31" i="3" l="1"/>
  <c r="Q3" i="6" a="1"/>
  <c r="G7" i="46" s="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BX39" i="3" s="1"/>
  <c r="BX31" i="3" l="1"/>
  <c r="G8" i="46"/>
  <c r="Q4" i="6" a="1"/>
  <c r="G9" i="46" s="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4"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1" i="46" l="1"/>
  <c r="G10" i="46"/>
  <c r="G13" i="46"/>
  <c r="Q6" i="6" a="1"/>
  <c r="BZ34" i="3"/>
  <c r="H60" i="3" s="1"/>
  <c r="BZ42" i="3"/>
  <c r="H76" i="3" s="1"/>
  <c r="BZ49" i="3"/>
  <c r="H87" i="3" s="1"/>
  <c r="BZ51" i="3"/>
  <c r="H97" i="3" s="1"/>
  <c r="G16" i="46"/>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G20" i="46"/>
  <c r="Q7" i="6" a="1"/>
  <c r="G19" i="46" s="1"/>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CA46" i="3" s="1"/>
  <c r="I95" i="3"/>
  <c r="I92" i="3"/>
  <c r="I62" i="3"/>
  <c r="CA34" i="3" s="1"/>
  <c r="I64" i="3"/>
  <c r="I63" i="3"/>
  <c r="I52" i="3"/>
  <c r="H57" i="3"/>
  <c r="I53" i="3"/>
  <c r="H38" i="3"/>
  <c r="I32" i="3"/>
  <c r="H56" i="3"/>
  <c r="I22" i="3"/>
  <c r="I41" i="3"/>
  <c r="I78" i="3"/>
  <c r="H40" i="3"/>
  <c r="I39" i="3"/>
  <c r="H33" i="3"/>
  <c r="H12" i="3"/>
  <c r="H70" i="3"/>
  <c r="H79" i="3"/>
  <c r="I24" i="3"/>
  <c r="H20" i="3"/>
  <c r="I56" i="3"/>
  <c r="H28" i="3"/>
  <c r="I93" i="3"/>
  <c r="CA52" i="3" s="1"/>
  <c r="H52" i="3"/>
  <c r="I28" i="3"/>
  <c r="H54" i="3"/>
  <c r="I40" i="3"/>
  <c r="CB23" i="3" s="1"/>
  <c r="I71" i="3"/>
  <c r="I76" i="3"/>
  <c r="CB42" i="3" s="1"/>
  <c r="H96" i="3"/>
  <c r="CA50" i="3" s="1"/>
  <c r="I68" i="3"/>
  <c r="H80" i="3"/>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A16" i="3"/>
  <c r="CB16" i="3"/>
  <c r="CA53" i="3"/>
  <c r="CB53" i="3"/>
  <c r="CA47" i="3"/>
  <c r="CA18" i="3"/>
  <c r="CB47" i="3"/>
  <c r="CB18" i="3"/>
  <c r="CA45" i="3"/>
  <c r="CB45" i="3"/>
  <c r="CB27" i="3"/>
  <c r="CA27" i="3"/>
  <c r="CB20" i="3" l="1"/>
  <c r="CA31" i="3"/>
  <c r="CA43" i="3"/>
  <c r="CB43" i="3"/>
  <c r="CB44" i="3"/>
  <c r="CA44" i="3"/>
  <c r="CB37" i="3"/>
  <c r="CA36" i="3"/>
  <c r="CB36" i="3"/>
  <c r="CA20" i="3"/>
  <c r="CA19" i="3"/>
  <c r="CA11" i="3"/>
  <c r="Q8" i="6" a="1"/>
  <c r="Q9" i="6" s="1" a="1"/>
  <c r="Q10" i="6" s="1" a="1"/>
  <c r="Q11" i="6" s="1" a="1"/>
  <c r="Q12" i="6" s="1"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C26" i="3" s="1"/>
  <c r="CA25" i="3"/>
  <c r="CB19" i="3"/>
  <c r="CB25" i="3"/>
  <c r="CA23" i="3"/>
  <c r="CC23" i="3" s="1"/>
  <c r="CA38" i="3"/>
  <c r="CA41" i="3"/>
  <c r="CA22" i="3"/>
  <c r="CA39" i="3"/>
  <c r="CB41" i="3"/>
  <c r="CB40" i="3"/>
  <c r="CC18" i="3"/>
  <c r="CC16" i="3"/>
  <c r="CC47" i="3"/>
  <c r="CC53" i="3"/>
  <c r="CC45" i="3"/>
  <c r="CC27" i="3"/>
  <c r="CC20" i="3" l="1"/>
  <c r="CC31" i="3"/>
  <c r="CC43" i="3"/>
  <c r="CC44" i="3"/>
  <c r="CC37" i="3"/>
  <c r="CC36" i="3"/>
  <c r="CC19" i="3"/>
  <c r="CC11" i="3"/>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L25" i="3"/>
  <c r="K24" i="3"/>
  <c r="L46" i="3"/>
  <c r="L48" i="3"/>
  <c r="K38" i="3"/>
  <c r="K69" i="3"/>
  <c r="L41" i="3"/>
  <c r="L70" i="3"/>
  <c r="CF38" i="3" s="1"/>
  <c r="K68" i="3"/>
  <c r="K56" i="3"/>
  <c r="L20" i="3"/>
  <c r="L32" i="3"/>
  <c r="L22" i="3"/>
  <c r="CF17" i="3" s="1"/>
  <c r="K8" i="3"/>
  <c r="CF6" i="3" s="1"/>
  <c r="K28" i="3"/>
  <c r="CF19" i="3" s="1"/>
  <c r="L28" i="3"/>
  <c r="CF18" i="3" s="1"/>
  <c r="L55" i="3"/>
  <c r="K33" i="3"/>
  <c r="K32" i="3"/>
  <c r="L72" i="3"/>
  <c r="K6" i="3"/>
  <c r="CF7" i="3" s="1"/>
  <c r="L13" i="3"/>
  <c r="CF12" i="3" s="1"/>
  <c r="K40" i="3"/>
  <c r="CF24" i="3" s="1"/>
  <c r="L8" i="3"/>
  <c r="K16" i="3"/>
  <c r="K7" i="3"/>
  <c r="K64" i="3"/>
  <c r="CF36" i="3" s="1"/>
  <c r="L39" i="3"/>
  <c r="L29" i="3"/>
  <c r="L71" i="3"/>
  <c r="K73" i="3"/>
  <c r="CF40" i="3" s="1"/>
  <c r="L6" i="3"/>
  <c r="K53" i="3"/>
  <c r="L4" i="3"/>
  <c r="L64" i="3"/>
  <c r="CF35" i="3" s="1"/>
  <c r="L54" i="3"/>
  <c r="K88" i="3"/>
  <c r="K87" i="3"/>
  <c r="CF47" i="3" s="1"/>
  <c r="K61" i="3"/>
  <c r="CF37" i="3" s="1"/>
  <c r="L47" i="3"/>
  <c r="CF29" i="3" s="1"/>
  <c r="CF49" i="3"/>
  <c r="CF33" i="3"/>
  <c r="CF45" i="3"/>
  <c r="CF50" i="3"/>
  <c r="CF16" i="3"/>
  <c r="CF32" i="3"/>
  <c r="CF46" i="3"/>
  <c r="CF53" i="3"/>
  <c r="CF21" i="3"/>
  <c r="E9" i="51"/>
  <c r="CF22" i="3"/>
  <c r="CF51" i="3"/>
  <c r="CF8" i="3"/>
  <c r="CF26" i="3"/>
  <c r="CF25" i="3"/>
  <c r="B46" i="51"/>
  <c r="B47" i="51" s="1"/>
  <c r="E10" i="51"/>
  <c r="E12" i="51"/>
  <c r="E11" i="51"/>
  <c r="CF30" i="3" l="1"/>
  <c r="CF31" i="3"/>
  <c r="CF20" i="3"/>
  <c r="CF11" i="3"/>
  <c r="CF14" i="3"/>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O86" i="3" s="1"/>
  <c r="CH37" i="3"/>
  <c r="N63" i="3" s="1"/>
  <c r="CH36" i="3"/>
  <c r="N61" i="3" s="1"/>
  <c r="CH46" i="3"/>
  <c r="N86" i="3" s="1"/>
  <c r="CH34" i="3"/>
  <c r="O65" i="3" s="1"/>
  <c r="CH30" i="3"/>
  <c r="N54" i="3" s="1"/>
  <c r="CH9" i="3"/>
  <c r="N6" i="3" s="1"/>
  <c r="CH13" i="3"/>
  <c r="N14" i="3" s="1"/>
  <c r="CH28" i="3"/>
  <c r="CH41" i="3"/>
  <c r="CH12" i="3"/>
  <c r="O17" i="3" s="1"/>
  <c r="CH53" i="3"/>
  <c r="N95" i="3" s="1"/>
  <c r="CH22" i="3"/>
  <c r="N38" i="3" s="1"/>
  <c r="CH25" i="3"/>
  <c r="N41" i="3" s="1"/>
  <c r="CH40" i="3"/>
  <c r="O73" i="3" s="1"/>
  <c r="CH18" i="3"/>
  <c r="N28" i="3" s="1"/>
  <c r="CH16" i="3"/>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N21" i="3" l="1"/>
  <c r="O25" i="3"/>
  <c r="N85" i="3"/>
  <c r="O89" i="3"/>
  <c r="N72" i="3"/>
  <c r="N71" i="3"/>
  <c r="O46" i="3"/>
  <c r="O48" i="3"/>
  <c r="N45" i="3"/>
  <c r="O88" i="3"/>
  <c r="O93" i="3"/>
  <c r="O78" i="3"/>
  <c r="O53" i="3"/>
  <c r="N96" i="3"/>
  <c r="O80" i="3"/>
  <c r="CJ43" i="3" s="1"/>
  <c r="N47" i="3"/>
  <c r="O22" i="3"/>
  <c r="CJ17" i="3" s="1"/>
  <c r="N84" i="3"/>
  <c r="O97" i="3"/>
  <c r="O16" i="3"/>
  <c r="N15" i="3"/>
  <c r="O15" i="3"/>
  <c r="CI10" i="3" s="1"/>
  <c r="O61" i="3"/>
  <c r="CJ37" i="3"/>
  <c r="N13" i="3"/>
  <c r="N65" i="3"/>
  <c r="O69" i="3"/>
  <c r="O62" i="3"/>
  <c r="N55" i="3"/>
  <c r="CI31" i="3" s="1"/>
  <c r="O20" i="3"/>
  <c r="O64" i="3"/>
  <c r="N5" i="3"/>
  <c r="O14" i="3"/>
  <c r="CJ13" i="3" s="1"/>
  <c r="N93" i="3"/>
  <c r="N33" i="3"/>
  <c r="CJ20" i="3" s="1"/>
  <c r="N52" i="3"/>
  <c r="O57" i="3"/>
  <c r="N17" i="3"/>
  <c r="O31" i="3"/>
  <c r="O84" i="3"/>
  <c r="O45" i="3"/>
  <c r="N9" i="3"/>
  <c r="O52" i="3"/>
  <c r="N80" i="3"/>
  <c r="CJ44" i="3" s="1"/>
  <c r="O55" i="3"/>
  <c r="O81" i="3"/>
  <c r="N76" i="3"/>
  <c r="CK43" i="3" s="1"/>
  <c r="O29" i="3"/>
  <c r="CI20" i="3" s="1"/>
  <c r="O71" i="3"/>
  <c r="N69" i="3"/>
  <c r="O37" i="3"/>
  <c r="O60" i="3"/>
  <c r="O47" i="3"/>
  <c r="N8" i="3"/>
  <c r="N31" i="3"/>
  <c r="CI19" i="3" s="1"/>
  <c r="N48" i="3"/>
  <c r="O54" i="3"/>
  <c r="N16" i="3"/>
  <c r="CK10" i="3" s="1"/>
  <c r="O56" i="3"/>
  <c r="CJ31" i="3" s="1"/>
  <c r="O38" i="3"/>
  <c r="N73" i="3"/>
  <c r="N24" i="3"/>
  <c r="N64" i="3"/>
  <c r="O5" i="3"/>
  <c r="O70" i="3"/>
  <c r="CJ38" i="3" s="1"/>
  <c r="N39" i="3"/>
  <c r="O40" i="3"/>
  <c r="O13" i="3"/>
  <c r="N22" i="3"/>
  <c r="N89" i="3"/>
  <c r="O4" i="3"/>
  <c r="N62" i="3"/>
  <c r="CK36" i="3" s="1"/>
  <c r="O92" i="3"/>
  <c r="N60" i="3"/>
  <c r="O41" i="3"/>
  <c r="N36" i="3"/>
  <c r="N4" i="3"/>
  <c r="N92" i="3"/>
  <c r="O76" i="3"/>
  <c r="N79" i="3"/>
  <c r="CI43" i="3" s="1"/>
  <c r="N81" i="3"/>
  <c r="N46" i="3"/>
  <c r="N68" i="3"/>
  <c r="O49" i="3"/>
  <c r="O32" i="3"/>
  <c r="N23" i="3"/>
  <c r="N70" i="3"/>
  <c r="N20" i="3"/>
  <c r="N30" i="3"/>
  <c r="CK20" i="3" s="1"/>
  <c r="O39" i="3"/>
  <c r="N29" i="3"/>
  <c r="N40" i="3"/>
  <c r="O8" i="3"/>
  <c r="CK27" i="3" s="1"/>
  <c r="O33" i="3"/>
  <c r="CJ19" i="3" s="1"/>
  <c r="N94" i="3"/>
  <c r="O9" i="3"/>
  <c r="CJ7" i="3" s="1"/>
  <c r="O23" i="3"/>
  <c r="O95" i="3"/>
  <c r="N87" i="3"/>
  <c r="N88" i="3"/>
  <c r="CJ28" i="3"/>
  <c r="CJ51" i="3"/>
  <c r="CI12" i="3"/>
  <c r="CK35" i="3"/>
  <c r="CK45" i="3"/>
  <c r="CJ45" i="3"/>
  <c r="CJ42" i="3"/>
  <c r="CK6" i="3"/>
  <c r="CK33" i="3"/>
  <c r="CJ52" i="3"/>
  <c r="CJ32" i="3"/>
  <c r="CJ53" i="3"/>
  <c r="CI41" i="3"/>
  <c r="CK48" i="3"/>
  <c r="CJ29" i="3"/>
  <c r="CK50" i="3"/>
  <c r="CI33" i="3"/>
  <c r="CK37" i="3"/>
  <c r="CK44" i="3"/>
  <c r="CK28" i="3"/>
  <c r="CK51" i="3"/>
  <c r="CJ10" i="3"/>
  <c r="CJ21" i="3"/>
  <c r="CJ49" i="3"/>
  <c r="CI32" i="3"/>
  <c r="CI24" i="3"/>
  <c r="CI47" i="3"/>
  <c r="CK18" i="3"/>
  <c r="CI49" i="3"/>
  <c r="CI17" i="3"/>
  <c r="CK53" i="3"/>
  <c r="CJ11" i="3"/>
  <c r="CK13" i="3"/>
  <c r="CI8" i="3"/>
  <c r="CI35" i="3"/>
  <c r="CI18" i="3"/>
  <c r="CK23" i="3"/>
  <c r="CK19" i="3"/>
  <c r="CI46" i="3"/>
  <c r="CK24" i="3"/>
  <c r="CI26" i="3"/>
  <c r="CK42" i="3"/>
  <c r="CI25" i="3"/>
  <c r="CK40" i="3"/>
  <c r="CI40" i="3"/>
  <c r="CJ12" i="3"/>
  <c r="CK41" i="3"/>
  <c r="CI27" i="3"/>
  <c r="CK26" i="3"/>
  <c r="CI23" i="3"/>
  <c r="CI16" i="3"/>
  <c r="CI51" i="3"/>
  <c r="CI38" i="3"/>
  <c r="CI45" i="3"/>
  <c r="CK31" i="3"/>
  <c r="CK22" i="3"/>
  <c r="CJ33" i="3"/>
  <c r="CI22" i="3"/>
  <c r="CI11" i="3"/>
  <c r="CI7" i="3"/>
  <c r="CK52" i="3"/>
  <c r="CK25" i="3"/>
  <c r="CI44" i="3"/>
  <c r="CK47" i="3"/>
  <c r="CI53" i="3"/>
  <c r="CK46" i="3"/>
  <c r="CJ46" i="3"/>
  <c r="CK49" i="3"/>
  <c r="CI9" i="3"/>
  <c r="CK38" i="3"/>
  <c r="CK17" i="3"/>
  <c r="CK8" i="3"/>
  <c r="CI29" i="3"/>
  <c r="CJ9" i="3"/>
  <c r="CJ50" i="3"/>
  <c r="CJ47" i="3"/>
  <c r="CK16" i="3"/>
  <c r="CJ18" i="3"/>
  <c r="CI36" i="3"/>
  <c r="CI21"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4" i="3"/>
  <c r="CJ27" i="3"/>
  <c r="CJ26" i="3"/>
  <c r="CJ41" i="3"/>
  <c r="CI15" i="3" l="1"/>
  <c r="CK30" i="3"/>
  <c r="CJ30" i="3"/>
  <c r="CL30" i="3" s="1"/>
  <c r="CJ36" i="3"/>
  <c r="CL36" i="3" s="1"/>
  <c r="CK15" i="3"/>
  <c r="CJ15" i="3"/>
  <c r="CL15" i="3" s="1"/>
  <c r="CI14" i="3"/>
  <c r="CL42" i="3"/>
  <c r="CL41"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9" i="3"/>
  <c r="CL46" i="3"/>
  <c r="CL31" i="3"/>
  <c r="CL33" i="3"/>
  <c r="CL16" i="3"/>
  <c r="CL17" i="3"/>
  <c r="CL44" i="3"/>
  <c r="CL18" i="3"/>
  <c r="CL21" i="3"/>
  <c r="CL20" i="3"/>
  <c r="CL47" i="3"/>
  <c r="CL14" i="3" l="1"/>
  <c r="CM31" i="3" s="1"/>
  <c r="CM36" i="3"/>
  <c r="CM15" i="3"/>
  <c r="CM25" i="3"/>
  <c r="CM42" i="3"/>
  <c r="CM34" i="3"/>
  <c r="CM47" i="3"/>
  <c r="CM10" i="3"/>
  <c r="CM29" i="3"/>
  <c r="CM20" i="3"/>
  <c r="CM8" i="3"/>
  <c r="CM41" i="3"/>
  <c r="CM48" i="3"/>
  <c r="CM18" i="3"/>
  <c r="CM46" i="3"/>
  <c r="CM50" i="3"/>
  <c r="CM33" i="3"/>
  <c r="CM44" i="3"/>
  <c r="CM9" i="3"/>
  <c r="CM26" i="3"/>
  <c r="CM45" i="3"/>
  <c r="CM40" i="3"/>
  <c r="CM35" i="3"/>
  <c r="CM19" i="3"/>
  <c r="CM37" i="3"/>
  <c r="CM51" i="3"/>
  <c r="CM23" i="3"/>
  <c r="CM53" i="3"/>
  <c r="CM13" i="3"/>
  <c r="CM11" i="3"/>
  <c r="CM6" i="3"/>
  <c r="CM52" i="3"/>
  <c r="CM7" i="3"/>
  <c r="CM22" i="3"/>
  <c r="CM49" i="3"/>
  <c r="CM24" i="3"/>
  <c r="CM28" i="3"/>
  <c r="CM21" i="3"/>
  <c r="CM12" i="3"/>
  <c r="CM43" i="3"/>
  <c r="CM27" i="3"/>
  <c r="CM38" i="3"/>
  <c r="CM39" i="3"/>
  <c r="CM16" i="3"/>
  <c r="CM32" i="3"/>
  <c r="CM17" i="3"/>
  <c r="CM14" i="3" l="1"/>
  <c r="CM30" i="3"/>
  <c r="CN11" i="3" l="1"/>
  <c r="CN28" i="3"/>
  <c r="CN39" i="3"/>
  <c r="CN22" i="3"/>
  <c r="CN52" i="3"/>
  <c r="Q93" i="3" s="1"/>
  <c r="CN46" i="3"/>
  <c r="CN53" i="3"/>
  <c r="CN7" i="3"/>
  <c r="CN45" i="3"/>
  <c r="R77" i="3" s="1"/>
  <c r="CN51" i="3"/>
  <c r="CN23" i="3"/>
  <c r="CN10" i="3"/>
  <c r="CN32" i="3"/>
  <c r="R56" i="3" s="1"/>
  <c r="CN37" i="3"/>
  <c r="CN27" i="3"/>
  <c r="CN35" i="3"/>
  <c r="CN24" i="3"/>
  <c r="CN36" i="3"/>
  <c r="CN9" i="3"/>
  <c r="Q6" i="3" s="1"/>
  <c r="CN41" i="3"/>
  <c r="CN18" i="3"/>
  <c r="CN21" i="3"/>
  <c r="Q31" i="3" s="1"/>
  <c r="CN13" i="3"/>
  <c r="CN38" i="3"/>
  <c r="CN19" i="3"/>
  <c r="CN42" i="3"/>
  <c r="CN50" i="3"/>
  <c r="CN33" i="3"/>
  <c r="R53" i="3" s="1"/>
  <c r="CN43" i="3"/>
  <c r="CN14" i="3"/>
  <c r="CN8" i="3"/>
  <c r="CN31" i="3"/>
  <c r="CN6" i="3"/>
  <c r="CN48" i="3"/>
  <c r="CN20" i="3"/>
  <c r="Q29" i="3" s="1"/>
  <c r="CN15" i="3"/>
  <c r="CN30" i="3"/>
  <c r="CN40" i="3"/>
  <c r="CN25" i="3"/>
  <c r="CN44" i="3"/>
  <c r="CN47" i="3"/>
  <c r="CN26" i="3"/>
  <c r="CN49" i="3"/>
  <c r="CN12" i="3"/>
  <c r="CN17" i="3"/>
  <c r="CN34" i="3"/>
  <c r="CN29" i="3"/>
  <c r="CN16" i="3"/>
  <c r="R14" i="3" l="1"/>
  <c r="R12" i="3"/>
  <c r="Q17" i="3"/>
  <c r="Q38" i="3"/>
  <c r="Q36" i="3"/>
  <c r="R41" i="3"/>
  <c r="R97" i="3"/>
  <c r="R94" i="3"/>
  <c r="R46" i="3"/>
  <c r="R48" i="3"/>
  <c r="Q45" i="3"/>
  <c r="R71" i="3"/>
  <c r="R68" i="3"/>
  <c r="Q73" i="3"/>
  <c r="Q86" i="3"/>
  <c r="R88" i="3"/>
  <c r="Q84" i="3"/>
  <c r="Q95" i="3"/>
  <c r="CO51" i="3" s="1"/>
  <c r="R93" i="3"/>
  <c r="Q96" i="3"/>
  <c r="Q15" i="3"/>
  <c r="R16" i="3"/>
  <c r="Q12" i="3"/>
  <c r="R4" i="3"/>
  <c r="R6" i="3"/>
  <c r="Q9" i="3"/>
  <c r="Q81" i="3"/>
  <c r="Q79" i="3"/>
  <c r="R95" i="3"/>
  <c r="Q97" i="3"/>
  <c r="R92" i="3"/>
  <c r="Q40" i="3"/>
  <c r="R39" i="3"/>
  <c r="R36" i="3"/>
  <c r="R54" i="3"/>
  <c r="Q53" i="3"/>
  <c r="R61" i="3"/>
  <c r="Q65" i="3"/>
  <c r="Q63" i="3"/>
  <c r="Q48" i="3"/>
  <c r="R44" i="3"/>
  <c r="R47" i="3"/>
  <c r="R60" i="3"/>
  <c r="Q64" i="3"/>
  <c r="R63" i="3"/>
  <c r="R40" i="3"/>
  <c r="R38" i="3"/>
  <c r="Q37" i="3"/>
  <c r="Q61" i="3"/>
  <c r="R64" i="3"/>
  <c r="R62" i="3"/>
  <c r="Q71" i="3"/>
  <c r="Q72" i="3"/>
  <c r="R69" i="3"/>
  <c r="Q76" i="3"/>
  <c r="Q78" i="3"/>
  <c r="R81" i="3"/>
  <c r="Q92" i="3"/>
  <c r="R96" i="3"/>
  <c r="Q94" i="3"/>
  <c r="R5" i="3"/>
  <c r="Q8" i="3"/>
  <c r="Q30" i="3"/>
  <c r="R32" i="3"/>
  <c r="Q28" i="3"/>
  <c r="Q32" i="3"/>
  <c r="R29" i="3"/>
  <c r="R13" i="3"/>
  <c r="Q14" i="3"/>
  <c r="Q16" i="3"/>
  <c r="Q68" i="3"/>
  <c r="Q70" i="3"/>
  <c r="R72" i="3"/>
  <c r="CO38" i="3" s="1"/>
  <c r="Q33" i="3"/>
  <c r="R28" i="3"/>
  <c r="R31" i="3"/>
  <c r="Q57" i="3"/>
  <c r="Q55" i="3"/>
  <c r="Q80" i="3"/>
  <c r="R76" i="3"/>
  <c r="R79" i="3"/>
  <c r="Q23" i="3"/>
  <c r="R24" i="3"/>
  <c r="Q20" i="3"/>
  <c r="R9" i="3"/>
  <c r="Q5" i="3"/>
  <c r="R7" i="3"/>
  <c r="Q56" i="3"/>
  <c r="R52" i="3"/>
  <c r="R55" i="3"/>
  <c r="Q4" i="3"/>
  <c r="R8" i="3"/>
  <c r="CO9" i="3" s="1"/>
  <c r="Q7" i="3"/>
  <c r="Q85" i="3"/>
  <c r="R86" i="3"/>
  <c r="R89" i="3"/>
  <c r="R33" i="3"/>
  <c r="R30" i="3"/>
  <c r="R22" i="3"/>
  <c r="Q25" i="3"/>
  <c r="R20" i="3"/>
  <c r="Q54" i="3"/>
  <c r="Q52" i="3"/>
  <c r="R57" i="3"/>
  <c r="R70" i="3"/>
  <c r="Q69" i="3"/>
  <c r="R73" i="3"/>
  <c r="CO39" i="3" s="1"/>
  <c r="Q41" i="3"/>
  <c r="Q39" i="3"/>
  <c r="R37" i="3"/>
  <c r="Q77" i="3"/>
  <c r="R80" i="3"/>
  <c r="R78" i="3"/>
  <c r="R84" i="3"/>
  <c r="R87" i="3"/>
  <c r="Q89" i="3"/>
  <c r="Q44" i="3"/>
  <c r="R49" i="3"/>
  <c r="Q46" i="3"/>
  <c r="Q88" i="3"/>
  <c r="Q87" i="3"/>
  <c r="R85" i="3"/>
  <c r="Q13" i="3"/>
  <c r="R17" i="3"/>
  <c r="R15" i="3"/>
  <c r="Q24" i="3"/>
  <c r="R21" i="3"/>
  <c r="Q22" i="3"/>
  <c r="Q60" i="3"/>
  <c r="Q62" i="3"/>
  <c r="R65" i="3"/>
  <c r="R45" i="3"/>
  <c r="Q47" i="3"/>
  <c r="CP27" i="3" s="1"/>
  <c r="Q49" i="3"/>
  <c r="R25" i="3"/>
  <c r="R23" i="3"/>
  <c r="Q21" i="3"/>
  <c r="CP9" i="3"/>
  <c r="CO40" i="3"/>
  <c r="CP7" i="3"/>
  <c r="CO8" i="3"/>
  <c r="CP51" i="3"/>
  <c r="CQ51" i="3" s="1"/>
  <c r="CP8" i="3"/>
  <c r="CP25" i="3"/>
  <c r="CO26" i="3"/>
  <c r="CO21" i="3"/>
  <c r="CO23" i="3"/>
  <c r="CP39" i="3"/>
  <c r="CQ39" i="3" s="1"/>
  <c r="CO27" i="3"/>
  <c r="CQ27" i="3" s="1"/>
  <c r="CP26" i="3"/>
  <c r="CP23" i="3"/>
  <c r="CP21" i="3"/>
  <c r="CO25" i="3"/>
  <c r="CP34" i="3"/>
  <c r="CO41" i="3"/>
  <c r="CP52" i="3"/>
  <c r="CO52" i="3"/>
  <c r="CP35" i="3"/>
  <c r="CO53" i="3"/>
  <c r="CP13" i="3"/>
  <c r="CP45" i="3"/>
  <c r="CP40" i="3"/>
  <c r="CO35" i="3"/>
  <c r="CP18" i="3"/>
  <c r="CO12" i="3"/>
  <c r="CP46" i="3"/>
  <c r="CP16" i="3"/>
  <c r="CP49" i="3"/>
  <c r="CP47" i="3"/>
  <c r="CO16" i="3"/>
  <c r="CO22" i="3"/>
  <c r="CO46" i="3"/>
  <c r="CO49" i="3"/>
  <c r="CO45" i="3"/>
  <c r="CP50" i="3"/>
  <c r="CO13" i="3"/>
  <c r="CO29" i="3"/>
  <c r="CO42" i="3"/>
  <c r="CO17" i="3"/>
  <c r="CO50" i="3"/>
  <c r="CP48" i="3"/>
  <c r="CP32" i="3"/>
  <c r="CP17" i="3"/>
  <c r="CO18" i="3"/>
  <c r="CP6" i="3"/>
  <c r="CP53" i="3"/>
  <c r="CP22" i="3"/>
  <c r="CO7" i="3"/>
  <c r="CO24" i="3"/>
  <c r="CP33" i="3"/>
  <c r="CP12" i="3"/>
  <c r="CO32" i="3"/>
  <c r="CP41" i="3"/>
  <c r="CO34" i="3"/>
  <c r="CO6" i="3"/>
  <c r="CP38" i="3"/>
  <c r="CQ38" i="3" s="1"/>
  <c r="CP24" i="3"/>
  <c r="CO28" i="3"/>
  <c r="CO48" i="3"/>
  <c r="CP28" i="3"/>
  <c r="CP29" i="3"/>
  <c r="CO47" i="3"/>
  <c r="CP42" i="3"/>
  <c r="CO33" i="3"/>
  <c r="CQ9" i="3"/>
  <c r="CP43" i="3" l="1"/>
  <c r="CP36" i="3"/>
  <c r="CO14" i="3"/>
  <c r="CO37" i="3"/>
  <c r="CP20" i="3"/>
  <c r="CO20" i="3"/>
  <c r="CP31" i="3"/>
  <c r="CO31" i="3"/>
  <c r="CP30" i="3"/>
  <c r="CO30" i="3"/>
  <c r="CO19" i="3"/>
  <c r="CP19" i="3"/>
  <c r="CO36" i="3"/>
  <c r="CO43" i="3"/>
  <c r="CP44" i="3"/>
  <c r="CO44" i="3"/>
  <c r="CP37" i="3"/>
  <c r="CP14" i="3"/>
  <c r="CP11" i="3"/>
  <c r="CO11" i="3"/>
  <c r="CP10" i="3"/>
  <c r="CO10" i="3"/>
  <c r="CO15" i="3"/>
  <c r="CP15" i="3"/>
  <c r="CQ40" i="3"/>
  <c r="CQ47" i="3"/>
  <c r="CQ6" i="3"/>
  <c r="CQ32" i="3"/>
  <c r="CQ50" i="3"/>
  <c r="CQ48" i="3"/>
  <c r="CQ53" i="3"/>
  <c r="CQ49" i="3"/>
  <c r="CQ46" i="3"/>
  <c r="CQ33" i="3"/>
  <c r="CQ13" i="3"/>
  <c r="CQ16" i="3"/>
  <c r="CQ7" i="3"/>
  <c r="CQ8" i="3"/>
  <c r="CQ35" i="3"/>
  <c r="CQ45" i="3"/>
  <c r="CQ25" i="3"/>
  <c r="CQ26" i="3"/>
  <c r="CQ24" i="3"/>
  <c r="CQ21" i="3"/>
  <c r="CQ23" i="3"/>
  <c r="CQ41" i="3"/>
  <c r="CQ34" i="3"/>
  <c r="CQ52" i="3"/>
  <c r="CQ28" i="3"/>
  <c r="CQ42" i="3"/>
  <c r="CQ29" i="3"/>
  <c r="CQ12" i="3"/>
  <c r="CQ22" i="3"/>
  <c r="CQ17" i="3"/>
  <c r="CQ18" i="3"/>
  <c r="CQ43" i="3" l="1"/>
  <c r="CQ31" i="3"/>
  <c r="CQ36" i="3"/>
  <c r="CQ30" i="3"/>
  <c r="CQ37" i="3"/>
  <c r="CR37" i="3" s="1"/>
  <c r="CQ20" i="3"/>
  <c r="CQ44" i="3"/>
  <c r="CQ19" i="3"/>
  <c r="CQ14" i="3"/>
  <c r="CQ11" i="3"/>
  <c r="CQ15" i="3"/>
  <c r="CQ10" i="3"/>
  <c r="CR12" i="3"/>
  <c r="CR16" i="3"/>
  <c r="CR22" i="3"/>
  <c r="CR25" i="3"/>
  <c r="CR7" i="3"/>
  <c r="CR48" i="3"/>
  <c r="CR27" i="3"/>
  <c r="CR53" i="3"/>
  <c r="CR18" i="3"/>
  <c r="CR51" i="3"/>
  <c r="CR21" i="3"/>
  <c r="CR32" i="3"/>
  <c r="CR8" i="3"/>
  <c r="CR45" i="3"/>
  <c r="CR46" i="3"/>
  <c r="CR35" i="3"/>
  <c r="CR47" i="3"/>
  <c r="CR41" i="3"/>
  <c r="CR28" i="3"/>
  <c r="CR24" i="3"/>
  <c r="CR34" i="3"/>
  <c r="CR23" i="3"/>
  <c r="CR49" i="3"/>
  <c r="CR26" i="3"/>
  <c r="CR50" i="3"/>
  <c r="CR17" i="3"/>
  <c r="CR39" i="3"/>
  <c r="CR9" i="3"/>
  <c r="CR42" i="3"/>
  <c r="CR13" i="3"/>
  <c r="CR33" i="3"/>
  <c r="CR40" i="3"/>
  <c r="CR52" i="3"/>
  <c r="CR6" i="3"/>
  <c r="CR38" i="3"/>
  <c r="CR29" i="3"/>
  <c r="CR14" i="3"/>
  <c r="CR44" i="3" l="1"/>
  <c r="CR36" i="3"/>
  <c r="CR31" i="3"/>
  <c r="CR30" i="3"/>
  <c r="CR15" i="3"/>
  <c r="CR11" i="3"/>
  <c r="CR19" i="3"/>
  <c r="CR43" i="3"/>
  <c r="CR10" i="3"/>
  <c r="CR20" i="3"/>
  <c r="CS20" i="3" l="1"/>
  <c r="CS11" i="3"/>
  <c r="CS43" i="3"/>
  <c r="U79" i="3" s="1"/>
  <c r="CS13" i="3"/>
  <c r="T16" i="3" s="1"/>
  <c r="CS15" i="3"/>
  <c r="CS38" i="3"/>
  <c r="CS49" i="3"/>
  <c r="CS40" i="3"/>
  <c r="CS24" i="3"/>
  <c r="U40" i="3" s="1"/>
  <c r="CS26" i="3"/>
  <c r="CS42" i="3"/>
  <c r="CS44" i="3"/>
  <c r="CS36" i="3"/>
  <c r="U64" i="3" s="1"/>
  <c r="CS14" i="3"/>
  <c r="CS27" i="3"/>
  <c r="CS21" i="3"/>
  <c r="CS41" i="3"/>
  <c r="CS10" i="3"/>
  <c r="CS12" i="3"/>
  <c r="T13" i="3" s="1"/>
  <c r="CS53" i="3"/>
  <c r="U93" i="3" s="1"/>
  <c r="CS28" i="3"/>
  <c r="T45" i="3" s="1"/>
  <c r="CS31" i="3"/>
  <c r="CS29" i="3"/>
  <c r="CS18" i="3"/>
  <c r="CS34" i="3"/>
  <c r="CS52" i="3"/>
  <c r="CS50" i="3"/>
  <c r="CS6" i="3"/>
  <c r="CS8" i="3"/>
  <c r="CS7" i="3"/>
  <c r="CS39" i="3"/>
  <c r="CS16" i="3"/>
  <c r="CS23" i="3"/>
  <c r="CS46" i="3"/>
  <c r="CS25" i="3"/>
  <c r="CS17" i="3"/>
  <c r="CS30" i="3"/>
  <c r="CS33" i="3"/>
  <c r="CS48" i="3"/>
  <c r="U89" i="3" s="1"/>
  <c r="CS37" i="3"/>
  <c r="CS9" i="3"/>
  <c r="CS45" i="3"/>
  <c r="CS47" i="3"/>
  <c r="CS32" i="3"/>
  <c r="CS22" i="3"/>
  <c r="CS51" i="3"/>
  <c r="CS35" i="3"/>
  <c r="CS19" i="3"/>
  <c r="T29" i="3" l="1"/>
  <c r="U30" i="3"/>
  <c r="U33" i="3"/>
  <c r="U14" i="3"/>
  <c r="U12" i="3"/>
  <c r="T17" i="3"/>
  <c r="T80" i="3"/>
  <c r="U76" i="3"/>
  <c r="T71" i="3"/>
  <c r="T72" i="3"/>
  <c r="U69" i="3"/>
  <c r="T14" i="3"/>
  <c r="U13" i="3"/>
  <c r="T25" i="3"/>
  <c r="U20" i="3"/>
  <c r="U22" i="3"/>
  <c r="T70" i="3"/>
  <c r="U72" i="3"/>
  <c r="T68" i="3"/>
  <c r="U85" i="3"/>
  <c r="T88" i="3"/>
  <c r="T87" i="3"/>
  <c r="U73" i="3"/>
  <c r="T69" i="3"/>
  <c r="U70" i="3"/>
  <c r="U38" i="3"/>
  <c r="T37" i="3"/>
  <c r="T44" i="3"/>
  <c r="U49" i="3"/>
  <c r="T46" i="3"/>
  <c r="U81" i="3"/>
  <c r="T78" i="3"/>
  <c r="T76" i="3"/>
  <c r="U80" i="3"/>
  <c r="T77" i="3"/>
  <c r="U78" i="3"/>
  <c r="U62" i="3"/>
  <c r="T61" i="3"/>
  <c r="T20" i="3"/>
  <c r="T23" i="3"/>
  <c r="U24" i="3"/>
  <c r="U44" i="3"/>
  <c r="T48" i="3"/>
  <c r="U47" i="3"/>
  <c r="U29" i="3"/>
  <c r="T31" i="3"/>
  <c r="T32" i="3"/>
  <c r="T12" i="3"/>
  <c r="U16" i="3"/>
  <c r="T15" i="3"/>
  <c r="U17" i="3"/>
  <c r="U15" i="3"/>
  <c r="CT10" i="3" s="1"/>
  <c r="T96" i="3"/>
  <c r="T95" i="3"/>
  <c r="U46" i="3"/>
  <c r="U48" i="3"/>
  <c r="T56" i="3"/>
  <c r="U55" i="3"/>
  <c r="U52" i="3"/>
  <c r="T49" i="3"/>
  <c r="U45" i="3"/>
  <c r="T47" i="3"/>
  <c r="T30" i="3"/>
  <c r="U32" i="3"/>
  <c r="T28" i="3"/>
  <c r="T60" i="3"/>
  <c r="U65" i="3"/>
  <c r="T62" i="3"/>
  <c r="T93" i="3"/>
  <c r="U97" i="3"/>
  <c r="CT51" i="3" s="1"/>
  <c r="U94" i="3"/>
  <c r="T92" i="3"/>
  <c r="T94" i="3"/>
  <c r="U96" i="3"/>
  <c r="U8" i="3"/>
  <c r="T4" i="3"/>
  <c r="CT6" i="3"/>
  <c r="T7" i="3"/>
  <c r="U7" i="3"/>
  <c r="U9" i="3"/>
  <c r="T5" i="3"/>
  <c r="U4" i="3"/>
  <c r="T9" i="3"/>
  <c r="U6" i="3"/>
  <c r="U71" i="3"/>
  <c r="U68" i="3"/>
  <c r="T73" i="3"/>
  <c r="U25" i="3"/>
  <c r="T21" i="3"/>
  <c r="U23" i="3"/>
  <c r="U36" i="3"/>
  <c r="T40" i="3"/>
  <c r="U39" i="3"/>
  <c r="U88" i="3"/>
  <c r="T86" i="3"/>
  <c r="T84" i="3"/>
  <c r="T41" i="3"/>
  <c r="U37" i="3"/>
  <c r="T39" i="3"/>
  <c r="T22" i="3"/>
  <c r="T24" i="3"/>
  <c r="U21" i="3"/>
  <c r="T52" i="3"/>
  <c r="U57" i="3"/>
  <c r="T54" i="3"/>
  <c r="T57" i="3"/>
  <c r="T55" i="3"/>
  <c r="U53" i="3"/>
  <c r="U86" i="3"/>
  <c r="T85" i="3"/>
  <c r="U61" i="3"/>
  <c r="T65" i="3"/>
  <c r="T63" i="3"/>
  <c r="T6" i="3"/>
  <c r="T8" i="3"/>
  <c r="U5" i="3"/>
  <c r="U77" i="3"/>
  <c r="CT44" i="3" s="1"/>
  <c r="T79" i="3"/>
  <c r="T81" i="3"/>
  <c r="U87" i="3"/>
  <c r="U84" i="3"/>
  <c r="T89" i="3"/>
  <c r="U54" i="3"/>
  <c r="T53" i="3"/>
  <c r="U56" i="3"/>
  <c r="CT31" i="3" s="1"/>
  <c r="U41" i="3"/>
  <c r="T38" i="3"/>
  <c r="T36" i="3"/>
  <c r="T97" i="3"/>
  <c r="U95" i="3"/>
  <c r="U92" i="3"/>
  <c r="U60" i="3"/>
  <c r="U63" i="3"/>
  <c r="T64" i="3"/>
  <c r="T33" i="3"/>
  <c r="U28" i="3"/>
  <c r="U31" i="3"/>
  <c r="CT16" i="3"/>
  <c r="CT8" i="3"/>
  <c r="CT21" i="3"/>
  <c r="CT39" i="3"/>
  <c r="CT26" i="3"/>
  <c r="CT17" i="3"/>
  <c r="CT35" i="3"/>
  <c r="CT38" i="3"/>
  <c r="CT12" i="3"/>
  <c r="CT46" i="3"/>
  <c r="CT40" i="3"/>
  <c r="CT9" i="3"/>
  <c r="CT23" i="3"/>
  <c r="CT7" i="3"/>
  <c r="CT25" i="3"/>
  <c r="CT41" i="3"/>
  <c r="CT28" i="3"/>
  <c r="CT24" i="3"/>
  <c r="CT49" i="3"/>
  <c r="CT27" i="3"/>
  <c r="CT34" i="3"/>
  <c r="CT45" i="3"/>
  <c r="CT29" i="3"/>
  <c r="CT42" i="3"/>
  <c r="CT53" i="3"/>
  <c r="CT22" i="3"/>
  <c r="CT52" i="3"/>
  <c r="CT50" i="3"/>
  <c r="CT32" i="3"/>
  <c r="CT13" i="3"/>
  <c r="CT33" i="3"/>
  <c r="CT47" i="3"/>
  <c r="CT48" i="3"/>
  <c r="CT18" i="3"/>
  <c r="CT11" i="3" l="1"/>
  <c r="CT37" i="3"/>
  <c r="CT20" i="3"/>
  <c r="CT14" i="3"/>
  <c r="CT43" i="3"/>
  <c r="CT15" i="3"/>
  <c r="CT19" i="3"/>
  <c r="CT36" i="3"/>
  <c r="CT30" i="3"/>
  <c r="CU29" i="3"/>
  <c r="CU48" i="3"/>
  <c r="CU50" i="3"/>
  <c r="CU52" i="3"/>
  <c r="CU35" i="3"/>
  <c r="CU7" i="3"/>
  <c r="CU16" i="3"/>
  <c r="CU24" i="3"/>
  <c r="CU47" i="3"/>
  <c r="CU17" i="3"/>
  <c r="CU38" i="3"/>
  <c r="CU41" i="3"/>
  <c r="CU12" i="3"/>
  <c r="CU28" i="3"/>
  <c r="CU26" i="3"/>
  <c r="CU51" i="3"/>
  <c r="CU34" i="3"/>
  <c r="CU13" i="3"/>
  <c r="CU33" i="3"/>
  <c r="CU45" i="3"/>
  <c r="CU27" i="3"/>
  <c r="CU9" i="3"/>
  <c r="CU53" i="3"/>
  <c r="CU49" i="3"/>
  <c r="CU18" i="3"/>
  <c r="CU23" i="3"/>
  <c r="CU6" i="3"/>
  <c r="CU39" i="3"/>
  <c r="CU40" i="3"/>
  <c r="CU25" i="3"/>
  <c r="CU21" i="3"/>
  <c r="CU46" i="3"/>
  <c r="CU32" i="3"/>
  <c r="CU8" i="3"/>
  <c r="CU22" i="3"/>
  <c r="CU42" i="3"/>
  <c r="CU20" i="3" l="1"/>
  <c r="CU30" i="3"/>
  <c r="CU31" i="3"/>
  <c r="CU14" i="3"/>
  <c r="CU15" i="3"/>
  <c r="CU11" i="3"/>
  <c r="CU44" i="3"/>
  <c r="CU19" i="3"/>
  <c r="CU10" i="3"/>
  <c r="CU43" i="3"/>
  <c r="CU36" i="3"/>
  <c r="CU37" i="3"/>
  <c r="CV19" i="3" l="1"/>
  <c r="CW19" i="3" s="1"/>
  <c r="CV11" i="3"/>
  <c r="CW11" i="3" s="1"/>
  <c r="CV15" i="3"/>
  <c r="CW15" i="3" s="1"/>
  <c r="CV36" i="3"/>
  <c r="CW36" i="3" s="1"/>
  <c r="CV37" i="3"/>
  <c r="CW37" i="3" s="1"/>
  <c r="CV44" i="3"/>
  <c r="CW44" i="3" s="1"/>
  <c r="CV31" i="3"/>
  <c r="CW31" i="3" s="1"/>
  <c r="CV14" i="3"/>
  <c r="CW14" i="3" s="1"/>
  <c r="CV43" i="3"/>
  <c r="CW43" i="3" s="1"/>
  <c r="CV25" i="3"/>
  <c r="CV21" i="3"/>
  <c r="CV35" i="3"/>
  <c r="CV38" i="3"/>
  <c r="CV41" i="3"/>
  <c r="CV32" i="3"/>
  <c r="CV13" i="3"/>
  <c r="CV53" i="3"/>
  <c r="CV39" i="3"/>
  <c r="CV45" i="3"/>
  <c r="CV22" i="3"/>
  <c r="CV51" i="3"/>
  <c r="CV33" i="3"/>
  <c r="CV46" i="3"/>
  <c r="CV23" i="3"/>
  <c r="CV50" i="3"/>
  <c r="CV18" i="3"/>
  <c r="CV12" i="3"/>
  <c r="CV8" i="3"/>
  <c r="CV28" i="3"/>
  <c r="CV7" i="3"/>
  <c r="CV10" i="3"/>
  <c r="CV6" i="3"/>
  <c r="CV20" i="3"/>
  <c r="CV17" i="3"/>
  <c r="CV40" i="3"/>
  <c r="CV42" i="3"/>
  <c r="CV34" i="3"/>
  <c r="CV49" i="3"/>
  <c r="CV9" i="3"/>
  <c r="CV27" i="3"/>
  <c r="CV47" i="3"/>
  <c r="CV29" i="3"/>
  <c r="CV26" i="3"/>
  <c r="CV52" i="3"/>
  <c r="CW52" i="3" s="1"/>
  <c r="CV30" i="3"/>
  <c r="CV16" i="3"/>
  <c r="CV24" i="3"/>
  <c r="CV48" i="3"/>
  <c r="CW41" i="3" l="1"/>
  <c r="CW51" i="3"/>
  <c r="CW25" i="3"/>
  <c r="CW21" i="3"/>
  <c r="CW35" i="3"/>
  <c r="CW38" i="3"/>
  <c r="CW32" i="3"/>
  <c r="CW13" i="3"/>
  <c r="CW53" i="3"/>
  <c r="CW39" i="3"/>
  <c r="CW45" i="3"/>
  <c r="CW22" i="3"/>
  <c r="CW33" i="3"/>
  <c r="CW46" i="3"/>
  <c r="CW23" i="3"/>
  <c r="CW50" i="3"/>
  <c r="CW18" i="3"/>
  <c r="CW12" i="3"/>
  <c r="CW8" i="3"/>
  <c r="CW28" i="3"/>
  <c r="CW7" i="3"/>
  <c r="CX43" i="3"/>
  <c r="CX37" i="3"/>
  <c r="CW10" i="3"/>
  <c r="CW6" i="3"/>
  <c r="CX36" i="3"/>
  <c r="CW20" i="3"/>
  <c r="CX20" i="3" s="1"/>
  <c r="CW17" i="3"/>
  <c r="CW40" i="3"/>
  <c r="CW42" i="3"/>
  <c r="CW34" i="3"/>
  <c r="CW49" i="3"/>
  <c r="CW9" i="3"/>
  <c r="CW27" i="3"/>
  <c r="CW47" i="3"/>
  <c r="CW29" i="3"/>
  <c r="CW26" i="3"/>
  <c r="CW30" i="3"/>
  <c r="CW16" i="3"/>
  <c r="CW24" i="3"/>
  <c r="CW48" i="3"/>
  <c r="CX19" i="3" l="1"/>
  <c r="CX30" i="3"/>
  <c r="CX31" i="3"/>
  <c r="CX16" i="3"/>
  <c r="CX24" i="3"/>
  <c r="CX9" i="3"/>
  <c r="CX27" i="3"/>
  <c r="CX50" i="3"/>
  <c r="CX39" i="3"/>
  <c r="CX45" i="3"/>
  <c r="CX23" i="3"/>
  <c r="CX12" i="3"/>
  <c r="CX33" i="3"/>
  <c r="CX32" i="3"/>
  <c r="CX53" i="3"/>
  <c r="CX22" i="3"/>
  <c r="CX8" i="3"/>
  <c r="CX13" i="3"/>
  <c r="CX18" i="3"/>
  <c r="CX29" i="3"/>
  <c r="CX40" i="3"/>
  <c r="CX42" i="3"/>
  <c r="CX46" i="3"/>
  <c r="CX35" i="3"/>
  <c r="CX47" i="3"/>
  <c r="CX41" i="3"/>
  <c r="CX7" i="3"/>
  <c r="CX28" i="3"/>
  <c r="CX25" i="3"/>
  <c r="CX38" i="3"/>
  <c r="CX51" i="3"/>
  <c r="CX21" i="3"/>
  <c r="CX10" i="3"/>
  <c r="CX44" i="3"/>
  <c r="CX11" i="3"/>
  <c r="CX6" i="3"/>
  <c r="CX48" i="3"/>
  <c r="CX26" i="3"/>
  <c r="CX52" i="3"/>
  <c r="CX34" i="3"/>
  <c r="CX14" i="3"/>
  <c r="CX15" i="3"/>
  <c r="CX17" i="3"/>
  <c r="CX49" i="3"/>
  <c r="CY51" i="3" l="1"/>
  <c r="CZ51" i="3" s="1"/>
  <c r="CY44" i="3"/>
  <c r="CZ44" i="3" s="1"/>
  <c r="CY20" i="3"/>
  <c r="CY43" i="3"/>
  <c r="CY50" i="3"/>
  <c r="CY13" i="3"/>
  <c r="CY22" i="3"/>
  <c r="CY33" i="3"/>
  <c r="CY12" i="3"/>
  <c r="CY32" i="3"/>
  <c r="CY53" i="3"/>
  <c r="CY39" i="3"/>
  <c r="CY8" i="3"/>
  <c r="CY18" i="3"/>
  <c r="CY23" i="3"/>
  <c r="CY45" i="3"/>
  <c r="CY31" i="3"/>
  <c r="CY36" i="3"/>
  <c r="CY24" i="3"/>
  <c r="CY37" i="3"/>
  <c r="CY9" i="3"/>
  <c r="CY30" i="3"/>
  <c r="CY27" i="3"/>
  <c r="CY16" i="3"/>
  <c r="CY40" i="3"/>
  <c r="CY38" i="3"/>
  <c r="CY14" i="3"/>
  <c r="CY7" i="3"/>
  <c r="CY10" i="3"/>
  <c r="CY15" i="3"/>
  <c r="CY21" i="3"/>
  <c r="CY26" i="3"/>
  <c r="CY52" i="3"/>
  <c r="CY34" i="3"/>
  <c r="CY17" i="3"/>
  <c r="CY49" i="3"/>
  <c r="CY42" i="3"/>
  <c r="CY25" i="3"/>
  <c r="CY11" i="3"/>
  <c r="CY46" i="3"/>
  <c r="CY35" i="3"/>
  <c r="CY28" i="3"/>
  <c r="CY29" i="3"/>
  <c r="CY47" i="3"/>
  <c r="CY48" i="3"/>
  <c r="CY6" i="3"/>
  <c r="CY41" i="3"/>
  <c r="CY19" i="3"/>
  <c r="CZ20" i="3" l="1"/>
  <c r="CZ43" i="3"/>
  <c r="CZ50" i="3"/>
  <c r="CZ13" i="3"/>
  <c r="CZ22" i="3"/>
  <c r="CZ33" i="3"/>
  <c r="CZ12" i="3"/>
  <c r="CZ32" i="3"/>
  <c r="CZ53" i="3"/>
  <c r="CZ39" i="3"/>
  <c r="CZ8" i="3"/>
  <c r="CZ18" i="3"/>
  <c r="CZ23" i="3"/>
  <c r="CZ45" i="3"/>
  <c r="CZ31" i="3"/>
  <c r="CZ36" i="3"/>
  <c r="CZ24" i="3"/>
  <c r="CZ37" i="3"/>
  <c r="CZ9" i="3"/>
  <c r="CZ30" i="3"/>
  <c r="CZ27" i="3"/>
  <c r="CZ16" i="3"/>
  <c r="CZ40" i="3"/>
  <c r="CZ38" i="3"/>
  <c r="CZ14" i="3"/>
  <c r="CZ7" i="3"/>
  <c r="CZ10" i="3"/>
  <c r="CZ15" i="3"/>
  <c r="CZ21" i="3"/>
  <c r="CZ26" i="3"/>
  <c r="CZ52" i="3"/>
  <c r="CZ34" i="3"/>
  <c r="CZ17" i="3"/>
  <c r="CZ49" i="3"/>
  <c r="CZ42" i="3"/>
  <c r="CZ25" i="3"/>
  <c r="CZ11" i="3"/>
  <c r="CZ46" i="3"/>
  <c r="CZ35" i="3"/>
  <c r="CZ28" i="3"/>
  <c r="CZ29" i="3"/>
  <c r="CZ47" i="3"/>
  <c r="CZ48" i="3"/>
  <c r="CZ6" i="3"/>
  <c r="CZ41" i="3"/>
  <c r="DA41" i="3" s="1"/>
  <c r="CZ19" i="3"/>
  <c r="DA19" i="3" s="1"/>
  <c r="DA29" i="3" l="1"/>
  <c r="DA52" i="3"/>
  <c r="DA28" i="3"/>
  <c r="DA47" i="3"/>
  <c r="DA35" i="3"/>
  <c r="DA39" i="3"/>
  <c r="DA45" i="3"/>
  <c r="DA25" i="3"/>
  <c r="DA36" i="3"/>
  <c r="DA30" i="3"/>
  <c r="DA33" i="3"/>
  <c r="DA26" i="3"/>
  <c r="DA31" i="3"/>
  <c r="DA14" i="3"/>
  <c r="DA27" i="3"/>
  <c r="DA38" i="3"/>
  <c r="DA42" i="3"/>
  <c r="DA8" i="3"/>
  <c r="DA9" i="3"/>
  <c r="DA21" i="3"/>
  <c r="DA37" i="3"/>
  <c r="DA49" i="3"/>
  <c r="DA44" i="3"/>
  <c r="DA53" i="3"/>
  <c r="DA51" i="3"/>
  <c r="DA43" i="3"/>
  <c r="DA23" i="3"/>
  <c r="DA7" i="3"/>
  <c r="DA17" i="3"/>
  <c r="DA46" i="3"/>
  <c r="DA32" i="3"/>
  <c r="DA6" i="3"/>
  <c r="DA22" i="3"/>
  <c r="DA40" i="3"/>
  <c r="DA15" i="3"/>
  <c r="DA11" i="3"/>
  <c r="DA34" i="3"/>
  <c r="DA50" i="3"/>
  <c r="DA13" i="3"/>
  <c r="DA20" i="3"/>
  <c r="DA48" i="3"/>
  <c r="DA10" i="3"/>
  <c r="DA16" i="3"/>
  <c r="DA24" i="3"/>
  <c r="DA18" i="3"/>
  <c r="DA12" i="3"/>
  <c r="DB12" i="3" l="1"/>
  <c r="DC12" i="3" s="1"/>
  <c r="DB35" i="3"/>
  <c r="DB49" i="3"/>
  <c r="DB51" i="3"/>
  <c r="DB37" i="3"/>
  <c r="DB45" i="3"/>
  <c r="DB14" i="3"/>
  <c r="DB33" i="3"/>
  <c r="DB52" i="3"/>
  <c r="DB36" i="3"/>
  <c r="DB31" i="3"/>
  <c r="DB19" i="3"/>
  <c r="DB27" i="3"/>
  <c r="DB41" i="3"/>
  <c r="DB47" i="3"/>
  <c r="DB28" i="3"/>
  <c r="DB25" i="3"/>
  <c r="DB42" i="3"/>
  <c r="DB26" i="3"/>
  <c r="DB21" i="3"/>
  <c r="DB30" i="3"/>
  <c r="DB29" i="3"/>
  <c r="DB9" i="3"/>
  <c r="DB38" i="3"/>
  <c r="DB8" i="3"/>
  <c r="DB39" i="3"/>
  <c r="DB53" i="3"/>
  <c r="DB44" i="3"/>
  <c r="DB6" i="3"/>
  <c r="DB43" i="3"/>
  <c r="DB24" i="3"/>
  <c r="DB40" i="3"/>
  <c r="DB10" i="3"/>
  <c r="DB48" i="3"/>
  <c r="DB34" i="3"/>
  <c r="DB32" i="3"/>
  <c r="DB18" i="3"/>
  <c r="DB22" i="3"/>
  <c r="DB16" i="3"/>
  <c r="DB23" i="3"/>
  <c r="DB13" i="3"/>
  <c r="DB15" i="3"/>
  <c r="DB20" i="3"/>
  <c r="DB7" i="3"/>
  <c r="DB17" i="3"/>
  <c r="DB46" i="3"/>
  <c r="DB11" i="3"/>
  <c r="DB50" i="3"/>
  <c r="DC35" i="3" l="1"/>
  <c r="DC49" i="3"/>
  <c r="DC51" i="3"/>
  <c r="DC37" i="3"/>
  <c r="DC45" i="3"/>
  <c r="DC14" i="3"/>
  <c r="DC33" i="3"/>
  <c r="DC52" i="3"/>
  <c r="DC36" i="3"/>
  <c r="DC31" i="3"/>
  <c r="DC19" i="3"/>
  <c r="DC27" i="3"/>
  <c r="DC41" i="3"/>
  <c r="DC47" i="3"/>
  <c r="DC28" i="3"/>
  <c r="DC25" i="3"/>
  <c r="DC42" i="3"/>
  <c r="DC26" i="3"/>
  <c r="DC21" i="3"/>
  <c r="DC30" i="3"/>
  <c r="DC29" i="3"/>
  <c r="DC9" i="3"/>
  <c r="DC38" i="3"/>
  <c r="DC8" i="3"/>
  <c r="DC39" i="3"/>
  <c r="DC53" i="3"/>
  <c r="DC44" i="3"/>
  <c r="DC6" i="3"/>
  <c r="DC43" i="3"/>
  <c r="DC24" i="3"/>
  <c r="DC40" i="3"/>
  <c r="DC10" i="3"/>
  <c r="DC48" i="3"/>
  <c r="DC34" i="3"/>
  <c r="DC32" i="3"/>
  <c r="DC18" i="3"/>
  <c r="DC22" i="3"/>
  <c r="DC16" i="3"/>
  <c r="DC23" i="3"/>
  <c r="DC13" i="3"/>
  <c r="DC15" i="3"/>
  <c r="DC20" i="3"/>
  <c r="DC7" i="3"/>
  <c r="DC17" i="3"/>
  <c r="DC46" i="3"/>
  <c r="DC11" i="3"/>
  <c r="DC50" i="3"/>
  <c r="DD15" i="3" l="1"/>
  <c r="BM15" i="3" s="1"/>
  <c r="DD13" i="3"/>
  <c r="BM13" i="3" s="1"/>
  <c r="DD20" i="3"/>
  <c r="BM20" i="3" s="1"/>
  <c r="DD16" i="3"/>
  <c r="BM16" i="3" s="1"/>
  <c r="DD23" i="3"/>
  <c r="BM23" i="3" s="1"/>
  <c r="DD32" i="3"/>
  <c r="BM32" i="3" s="1"/>
  <c r="DD22" i="3"/>
  <c r="BM22" i="3" s="1"/>
  <c r="DD48" i="3"/>
  <c r="BM48" i="3" s="1"/>
  <c r="DD29" i="3"/>
  <c r="BM29" i="3" s="1"/>
  <c r="DD51" i="3"/>
  <c r="BM51" i="3" s="1"/>
  <c r="DD25" i="3"/>
  <c r="BM25" i="3" s="1"/>
  <c r="DD35" i="3"/>
  <c r="BM35" i="3" s="1"/>
  <c r="DD36" i="3"/>
  <c r="BM36" i="3" s="1"/>
  <c r="DD28" i="3"/>
  <c r="BM28" i="3" s="1"/>
  <c r="DD44" i="3"/>
  <c r="BM44" i="3" s="1"/>
  <c r="DD45" i="3"/>
  <c r="BM45" i="3" s="1"/>
  <c r="DD47" i="3"/>
  <c r="BM47" i="3" s="1"/>
  <c r="DD24" i="3"/>
  <c r="BM24" i="3" s="1"/>
  <c r="DD18" i="3"/>
  <c r="BM18" i="3" s="1"/>
  <c r="DD52" i="3"/>
  <c r="BM52" i="3" s="1"/>
  <c r="DD34" i="3"/>
  <c r="BM34" i="3" s="1"/>
  <c r="DD9" i="3"/>
  <c r="BM9" i="3" s="1"/>
  <c r="DD39" i="3"/>
  <c r="BM39" i="3" s="1"/>
  <c r="DD53" i="3"/>
  <c r="BM53" i="3" s="1"/>
  <c r="DD50" i="3"/>
  <c r="BM50" i="3" s="1"/>
  <c r="DD14" i="3"/>
  <c r="BM14" i="3" s="1"/>
  <c r="DD31" i="3"/>
  <c r="BM31" i="3" s="1"/>
  <c r="DD30" i="3"/>
  <c r="BM30" i="3" s="1"/>
  <c r="DD19" i="3"/>
  <c r="BM19" i="3" s="1"/>
  <c r="DD42" i="3"/>
  <c r="BM42" i="3" s="1"/>
  <c r="DD10" i="3"/>
  <c r="BM10" i="3" s="1"/>
  <c r="DD49" i="3"/>
  <c r="BM49" i="3" s="1"/>
  <c r="DD41" i="3"/>
  <c r="BM41" i="3" s="1"/>
  <c r="DD43" i="3"/>
  <c r="BM43" i="3" s="1"/>
  <c r="DD33" i="3"/>
  <c r="BM33" i="3" s="1"/>
  <c r="DD26" i="3"/>
  <c r="BM26" i="3" s="1"/>
  <c r="DD11" i="3"/>
  <c r="BM11" i="3" s="1"/>
  <c r="DD37" i="3"/>
  <c r="BM37" i="3" s="1"/>
  <c r="DD40" i="3"/>
  <c r="BM40" i="3" s="1"/>
  <c r="DD12" i="3"/>
  <c r="BM12" i="3" s="1"/>
  <c r="DD8" i="3"/>
  <c r="BM8" i="3" s="1"/>
  <c r="DD7" i="3"/>
  <c r="BM7" i="3" s="1"/>
  <c r="DD17" i="3"/>
  <c r="BM17" i="3" s="1"/>
  <c r="DD6" i="3"/>
  <c r="BM6" i="3" s="1"/>
  <c r="DD27" i="3"/>
  <c r="BM27" i="3" s="1"/>
  <c r="DD38" i="3"/>
  <c r="BM38" i="3" s="1"/>
  <c r="DD46" i="3"/>
  <c r="BM46" i="3" s="1"/>
  <c r="DD21" i="3"/>
  <c r="BM21" i="3" s="1"/>
  <c r="DQ27" i="3" l="1"/>
  <c r="DJ27" i="3" s="1"/>
  <c r="DQ18" i="3"/>
  <c r="DJ18" i="3" s="1"/>
  <c r="AV24" i="3"/>
  <c r="DQ47" i="3"/>
  <c r="DJ47" i="3" s="1"/>
  <c r="DQ6" i="3"/>
  <c r="DJ6" i="3" s="1"/>
  <c r="AV54" i="3"/>
  <c r="AV55" i="3"/>
  <c r="AV30" i="3"/>
  <c r="DQ20" i="3"/>
  <c r="DJ20" i="3" s="1"/>
  <c r="AV16" i="3"/>
  <c r="AV15" i="3"/>
  <c r="DQ29" i="3"/>
  <c r="DJ29" i="3" s="1"/>
  <c r="DQ45" i="3"/>
  <c r="DJ45" i="3" s="1"/>
  <c r="DQ15" i="3"/>
  <c r="DJ15" i="3" s="1"/>
  <c r="DQ51" i="3"/>
  <c r="DJ51" i="3" s="1"/>
  <c r="AV22" i="3"/>
  <c r="AV88" i="3"/>
  <c r="AV40" i="3"/>
  <c r="DQ33" i="3"/>
  <c r="DJ33" i="3" s="1"/>
  <c r="DQ10" i="3"/>
  <c r="DJ10" i="3" s="1"/>
  <c r="AV94" i="3"/>
  <c r="AV48" i="3"/>
  <c r="AV56" i="3"/>
  <c r="DQ12" i="3"/>
  <c r="DJ12" i="3" s="1"/>
  <c r="DQ8" i="3"/>
  <c r="DJ8" i="3" s="1"/>
  <c r="AV65" i="3"/>
  <c r="AV17" i="3"/>
  <c r="DQ7" i="3"/>
  <c r="DJ7" i="3" s="1"/>
  <c r="DQ37" i="3"/>
  <c r="DJ37" i="3" s="1"/>
  <c r="AV6" i="3"/>
  <c r="DF6" i="3" s="1"/>
  <c r="AV64" i="3"/>
  <c r="DQ42" i="3"/>
  <c r="DJ42" i="3" s="1"/>
  <c r="AV31" i="3"/>
  <c r="DQ34" i="3"/>
  <c r="DJ34" i="3" s="1"/>
  <c r="DQ30" i="3"/>
  <c r="DJ30" i="3" s="1"/>
  <c r="AV25" i="3"/>
  <c r="DQ14" i="3"/>
  <c r="DJ14" i="3" s="1"/>
  <c r="DQ22" i="3"/>
  <c r="DJ22" i="3" s="1"/>
  <c r="AV72" i="3"/>
  <c r="AV87" i="3"/>
  <c r="DQ44" i="3"/>
  <c r="DJ44" i="3" s="1"/>
  <c r="DQ25" i="3"/>
  <c r="DJ25" i="3" s="1"/>
  <c r="AV73" i="3"/>
  <c r="DQ9" i="3"/>
  <c r="DJ9" i="3" s="1"/>
  <c r="DQ13" i="3"/>
  <c r="DJ13" i="3" s="1"/>
  <c r="DQ21" i="3"/>
  <c r="DJ21" i="3" s="1"/>
  <c r="AV97" i="3"/>
  <c r="DQ32" i="3"/>
  <c r="DJ32" i="3" s="1"/>
  <c r="AV79" i="3"/>
  <c r="AV46" i="3"/>
  <c r="AV89" i="3"/>
  <c r="AV57" i="3"/>
  <c r="DQ19" i="3"/>
  <c r="DJ19" i="3" s="1"/>
  <c r="DQ38" i="3"/>
  <c r="DJ38" i="3" s="1"/>
  <c r="AV32" i="3"/>
  <c r="DQ39" i="3"/>
  <c r="DJ39" i="3" s="1"/>
  <c r="AV7" i="3"/>
  <c r="AV62" i="3"/>
  <c r="AV39" i="3"/>
  <c r="DQ52" i="3"/>
  <c r="DJ52" i="3" s="1"/>
  <c r="AV95" i="3"/>
  <c r="DQ11" i="3"/>
  <c r="DJ11" i="3" s="1"/>
  <c r="AV9" i="3"/>
  <c r="DQ50" i="3"/>
  <c r="DJ50" i="3" s="1"/>
  <c r="DQ17" i="3"/>
  <c r="DJ17" i="3" s="1"/>
  <c r="AV96" i="3"/>
  <c r="DQ43" i="3"/>
  <c r="DJ43" i="3" s="1"/>
  <c r="DQ40" i="3"/>
  <c r="DJ40" i="3" s="1"/>
  <c r="AV71" i="3"/>
  <c r="AV78" i="3"/>
  <c r="AV86" i="3"/>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7" i="3" l="1"/>
  <c r="DM27" i="3" s="1"/>
  <c r="DL45" i="3"/>
  <c r="DL34" i="3"/>
  <c r="DL21" i="3"/>
  <c r="DL17" i="3"/>
  <c r="DL33" i="3"/>
  <c r="DL12" i="3"/>
  <c r="DL22" i="3"/>
  <c r="DL9" i="3"/>
  <c r="DL39" i="3"/>
  <c r="DL36" i="3"/>
  <c r="DL49" i="3"/>
  <c r="DL53" i="3"/>
  <c r="DL28" i="3"/>
  <c r="DL23" i="3"/>
  <c r="DL24" i="3"/>
  <c r="DL6" i="3"/>
  <c r="DL15" i="3"/>
  <c r="DL30" i="3"/>
  <c r="DL25" i="3"/>
  <c r="DL52" i="3"/>
  <c r="DL41" i="3"/>
  <c r="DL20" i="3"/>
  <c r="DL42" i="3"/>
  <c r="DL13" i="3"/>
  <c r="DN13" i="3" s="1" a="1"/>
  <c r="DL19" i="3"/>
  <c r="DL11" i="3"/>
  <c r="DL43" i="3"/>
  <c r="DL48" i="3"/>
  <c r="DL51" i="3"/>
  <c r="DL14" i="3"/>
  <c r="DL44" i="3"/>
  <c r="DL38" i="3"/>
  <c r="DL26" i="3"/>
  <c r="DL16" i="3"/>
  <c r="DL47" i="3"/>
  <c r="DL35" i="3"/>
  <c r="DL10" i="3"/>
  <c r="DL37" i="3"/>
  <c r="DL32" i="3"/>
  <c r="DL40" i="3"/>
  <c r="DL18" i="3"/>
  <c r="DL29" i="3"/>
  <c r="DL8" i="3"/>
  <c r="DL7" i="3"/>
  <c r="DL50" i="3"/>
  <c r="DL31" i="3"/>
  <c r="DF9" i="3"/>
  <c r="DF8" i="3"/>
  <c r="DF7" i="3"/>
  <c r="DL46" i="3"/>
  <c r="AU47" i="3" l="1"/>
  <c r="DN27" i="3" a="1"/>
  <c r="AU86" i="3"/>
  <c r="DN46" i="3" a="1"/>
  <c r="DM46" i="3"/>
  <c r="AU17" i="3"/>
  <c r="DM13" i="3"/>
  <c r="AU87" i="3"/>
  <c r="DM47" i="3"/>
  <c r="DN47" i="3" a="1"/>
  <c r="AU55" i="3"/>
  <c r="DN31" i="3" a="1"/>
  <c r="DM31" i="3"/>
  <c r="AU81" i="3"/>
  <c r="DN45" i="3" a="1"/>
  <c r="DM45" i="3"/>
  <c r="AU62" i="3"/>
  <c r="DN34" i="3" a="1"/>
  <c r="DM34" i="3"/>
  <c r="AU33" i="3"/>
  <c r="DN21" i="3" a="1"/>
  <c r="DM21" i="3"/>
  <c r="AU25" i="3"/>
  <c r="DM17" i="3"/>
  <c r="DN17" i="3" a="1"/>
  <c r="AU57" i="3"/>
  <c r="DN33" i="3" a="1"/>
  <c r="DM33" i="3"/>
  <c r="AU16" i="3"/>
  <c r="DN12" i="3" a="1"/>
  <c r="DM12" i="3"/>
  <c r="AU38" i="3"/>
  <c r="DN22" i="3" a="1"/>
  <c r="DM22" i="3"/>
  <c r="AU9" i="3"/>
  <c r="DM9" i="3"/>
  <c r="DN9" i="3" a="1"/>
  <c r="AU71" i="3"/>
  <c r="DM39" i="3"/>
  <c r="DN39" i="3" a="1"/>
  <c r="AU64" i="3"/>
  <c r="DN36" i="3" a="1"/>
  <c r="DM36" i="3"/>
  <c r="AU89" i="3"/>
  <c r="DN49" i="3" a="1"/>
  <c r="DM49" i="3"/>
  <c r="AU97" i="3"/>
  <c r="DM53" i="3"/>
  <c r="DN53" i="3" a="1"/>
  <c r="AU48" i="3"/>
  <c r="DM28" i="3"/>
  <c r="DN28" i="3" a="1"/>
  <c r="AU39" i="3"/>
  <c r="DN23" i="3" a="1"/>
  <c r="DM23" i="3"/>
  <c r="AU40" i="3"/>
  <c r="DN24" i="3" a="1"/>
  <c r="DM24" i="3"/>
  <c r="AU6" i="3"/>
  <c r="DN6" i="3" a="1"/>
  <c r="DM6" i="3"/>
  <c r="AU23" i="3"/>
  <c r="DN15" i="3" a="1"/>
  <c r="DM15" i="3"/>
  <c r="AU54" i="3"/>
  <c r="DN30" i="3" a="1"/>
  <c r="DM30" i="3"/>
  <c r="AU41" i="3"/>
  <c r="DN25" i="3" a="1"/>
  <c r="DM25" i="3"/>
  <c r="AU96" i="3"/>
  <c r="DN52" i="3" a="1"/>
  <c r="DM52" i="3"/>
  <c r="AU73" i="3"/>
  <c r="DN41" i="3" a="1"/>
  <c r="DM41" i="3"/>
  <c r="AU32" i="3"/>
  <c r="DN20" i="3" a="1"/>
  <c r="DM20" i="3"/>
  <c r="AU78" i="3"/>
  <c r="DN42" i="3" a="1"/>
  <c r="DM42" i="3"/>
  <c r="AU31" i="3"/>
  <c r="DN19" i="3" a="1"/>
  <c r="DM19" i="3"/>
  <c r="AU15" i="3"/>
  <c r="DM11" i="3"/>
  <c r="DN11" i="3" a="1"/>
  <c r="AU79" i="3"/>
  <c r="DM43" i="3"/>
  <c r="DN43" i="3" a="1"/>
  <c r="AU88" i="3"/>
  <c r="DN48" i="3" a="1"/>
  <c r="DM48" i="3"/>
  <c r="AU95" i="3"/>
  <c r="DN51" i="3" a="1"/>
  <c r="DM51" i="3"/>
  <c r="AU22" i="3"/>
  <c r="DN14" i="3" a="1"/>
  <c r="DM14" i="3"/>
  <c r="AU80" i="3"/>
  <c r="DN44" i="3" a="1"/>
  <c r="DM44" i="3"/>
  <c r="AU70" i="3"/>
  <c r="DM38" i="3"/>
  <c r="DN38" i="3" a="1"/>
  <c r="AU46" i="3"/>
  <c r="DM26" i="3"/>
  <c r="DN26" i="3" a="1"/>
  <c r="AU24" i="3"/>
  <c r="DN16" i="3" a="1"/>
  <c r="DM16" i="3"/>
  <c r="AU63" i="3"/>
  <c r="DN35" i="3" a="1"/>
  <c r="DM35" i="3"/>
  <c r="AU14" i="3"/>
  <c r="DN10" i="3" a="1"/>
  <c r="DM10" i="3"/>
  <c r="AU65" i="3"/>
  <c r="DN37" i="3" a="1"/>
  <c r="DM37" i="3"/>
  <c r="AU56" i="3"/>
  <c r="DM32" i="3"/>
  <c r="DN32" i="3" a="1"/>
  <c r="AU72" i="3"/>
  <c r="DN40" i="3" a="1"/>
  <c r="DM40" i="3"/>
  <c r="AU30" i="3"/>
  <c r="DN18" i="3" a="1"/>
  <c r="DM18" i="3"/>
  <c r="AU49" i="3"/>
  <c r="DM29" i="3"/>
  <c r="DN29" i="3" a="1"/>
  <c r="AU8" i="3"/>
  <c r="DM8" i="3"/>
  <c r="DN8" i="3" a="1"/>
  <c r="AU7" i="3"/>
  <c r="DN7" i="3" a="1"/>
  <c r="DM7" i="3"/>
  <c r="AU94" i="3"/>
  <c r="DM50" i="3"/>
  <c r="DN50" i="3" a="1"/>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AU29" i="3" l="1"/>
  <c r="AV28" i="3" s="1"/>
  <c r="AU45" i="3"/>
  <c r="AV44" i="3" s="1"/>
  <c r="AU85" i="3"/>
  <c r="AV84" i="3" s="1"/>
  <c r="AU5" i="3"/>
  <c r="AV4" i="3" s="1"/>
  <c r="AU13" i="3"/>
  <c r="AV12" i="3" s="1"/>
  <c r="AU61" i="3"/>
  <c r="AV60" i="3" s="1"/>
  <c r="AU37" i="3"/>
  <c r="AV36" i="3" s="1"/>
  <c r="AU77" i="3"/>
  <c r="AV76" i="3" s="1"/>
  <c r="AU69" i="3"/>
  <c r="AV68" i="3" s="1"/>
  <c r="AU21" i="3"/>
  <c r="AV20" i="3" s="1"/>
  <c r="AU53" i="3"/>
  <c r="AV52" i="3" s="1"/>
  <c r="AU93" i="3"/>
  <c r="AV92" i="3" s="1"/>
  <c r="DH25" i="3"/>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DF14" i="3" l="1"/>
  <c r="DF10" i="3"/>
  <c r="DF12" i="3"/>
  <c r="DF11" i="3"/>
  <c r="DF15" i="3"/>
  <c r="DF28" i="3"/>
  <c r="DF34" i="3"/>
  <c r="DF31" i="3"/>
  <c r="DF33" i="3"/>
  <c r="DF46" i="3"/>
  <c r="DF24" i="3"/>
  <c r="DF23" i="3"/>
  <c r="DF42" i="3"/>
  <c r="DF35" i="3"/>
  <c r="DF38" i="3"/>
  <c r="DF43" i="3"/>
  <c r="DF53" i="3"/>
  <c r="DF22" i="3"/>
  <c r="DF37" i="3"/>
  <c r="DF39" i="3"/>
  <c r="DF18" i="3"/>
  <c r="DF41" i="3"/>
  <c r="DF30" i="3"/>
  <c r="DF51" i="3"/>
  <c r="DF40" i="3"/>
  <c r="DF45" i="3"/>
  <c r="DF48" i="3"/>
  <c r="DF36" i="3"/>
  <c r="DF49" i="3"/>
  <c r="DF25" i="3"/>
  <c r="DF44" i="3"/>
  <c r="DF50" i="3"/>
  <c r="DF21" i="3"/>
  <c r="DF13" i="3"/>
  <c r="DF29" i="3"/>
  <c r="DF26" i="3"/>
  <c r="DF17" i="3"/>
  <c r="DF16" i="3"/>
  <c r="DF52" i="3"/>
  <c r="DF27" i="3"/>
  <c r="DF19" i="3"/>
  <c r="DF20" i="3"/>
  <c r="DF47" i="3"/>
  <c r="DF32" i="3"/>
  <c r="AL48" i="3"/>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W22" i="45" l="1"/>
  <c r="BF66" i="3"/>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8" i="3" s="1"/>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9" i="3" l="1"/>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24" i="45" l="1"/>
  <c r="BN47" i="45"/>
  <c r="BN20" i="45"/>
  <c r="BN18" i="45"/>
  <c r="BN26" i="45"/>
  <c r="BN33" i="45"/>
  <c r="BN14" i="45"/>
  <c r="BN11" i="45"/>
  <c r="BN23" i="45"/>
  <c r="BN37" i="45"/>
  <c r="BN49" i="45"/>
  <c r="BN28" i="45"/>
  <c r="BN8" i="45"/>
  <c r="BN17" i="45"/>
  <c r="BN35" i="45"/>
  <c r="BN48" i="45"/>
  <c r="BN27" i="45"/>
  <c r="BN34" i="45"/>
  <c r="BN10" i="45"/>
  <c r="BN25" i="45"/>
  <c r="BN29" i="45"/>
  <c r="BN46" i="45"/>
  <c r="BN43" i="45"/>
  <c r="BN16" i="45"/>
  <c r="BN38" i="45"/>
  <c r="BN31" i="45"/>
  <c r="BN6" i="45"/>
  <c r="BN22" i="45"/>
  <c r="BN39" i="45"/>
  <c r="BN30" i="45"/>
  <c r="BN9" i="45"/>
  <c r="BN45" i="45"/>
  <c r="BN40" i="45"/>
  <c r="BN32" i="45"/>
  <c r="BN19" i="45"/>
  <c r="BN50" i="45"/>
  <c r="BN12" i="45"/>
  <c r="BN5" i="45"/>
  <c r="BN13" i="45"/>
  <c r="BN7" i="45"/>
  <c r="BN44" i="45"/>
  <c r="BN42" i="45"/>
  <c r="BN4" i="45"/>
  <c r="BN21" i="45"/>
  <c r="BN41" i="45"/>
  <c r="BN36" i="45"/>
  <c r="BN51" i="45"/>
  <c r="BN15" i="45"/>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cellMetadata count="1">
    <bk>
      <rc t="1" v="0"/>
    </bk>
  </cellMetadata>
  <valueMetadata count="5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valueMetadata>
</metadata>
</file>

<file path=xl/sharedStrings.xml><?xml version="1.0" encoding="utf-8"?>
<sst xmlns="http://schemas.openxmlformats.org/spreadsheetml/2006/main" count="8736" uniqueCount="2095">
  <si>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</si>
  <si>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</si>
  <si>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</si>
  <si>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</si>
  <si>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</si>
  <si>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</si>
  <si>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</si>
  <si>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</si>
  <si>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</si>
  <si>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</si>
  <si>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</si>
  <si>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</si>
  <si>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</si>
  <si>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</si>
  <si>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</si>
  <si>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</si>
  <si>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</si>
  <si>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</si>
  <si>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</si>
  <si>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</si>
  <si>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</si>
  <si>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</si>
  <si>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</si>
  <si>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</si>
  <si>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</si>
  <si>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</si>
  <si>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</si>
  <si>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</si>
  <si>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</si>
  <si>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</si>
  <si>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</si>
  <si>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</si>
  <si>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</si>
  <si>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</si>
  <si>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</si>
  <si>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</si>
  <si>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</si>
  <si>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</si>
  <si>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</si>
  <si>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</si>
  <si>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</si>
  <si>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</si>
  <si>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</si>
  <si>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</si>
  <si>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</si>
  <si>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</si>
  <si>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</si>
  <si>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</si>
  <si>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</si>
  <si>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</si>
  <si>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</si>
  <si>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</si>
  <si>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</si>
  <si>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</si>
  <si>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</si>
  <si>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</si>
  <si>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</si>
  <si>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</si>
  <si>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</si>
  <si>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</si>
  <si>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</si>
  <si>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</si>
  <si>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</si>
  <si>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</si>
  <si>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</si>
  <si>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</si>
  <si>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</si>
  <si>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</si>
  <si>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</si>
  <si>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</si>
  <si>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</si>
  <si>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</si>
  <si>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</si>
  <si>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</si>
  <si>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</si>
  <si>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</si>
  <si>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</si>
  <si>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</si>
  <si>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</si>
  <si>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</si>
  <si>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</si>
  <si>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</si>
  <si>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</si>
  <si>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</si>
  <si>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</si>
  <si>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</si>
  <si>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</si>
  <si>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</si>
  <si>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</si>
  <si>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</si>
  <si>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</si>
  <si>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</si>
  <si>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</si>
  <si>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</si>
  <si>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</si>
  <si>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</si>
  <si>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</si>
  <si>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</si>
  <si>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</si>
  <si>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</si>
  <si>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</si>
  <si>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</si>
  <si>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</si>
  <si>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</si>
  <si>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</si>
  <si>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</si>
  <si>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</si>
  <si>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</si>
  <si>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</si>
  <si>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</si>
  <si>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</si>
  <si>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</si>
  <si>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</si>
  <si>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</si>
  <si>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</si>
  <si>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</si>
  <si>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</si>
  <si>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</si>
  <si>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</si>
  <si>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</si>
  <si>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</si>
  <si>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</si>
  <si>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</si>
  <si>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</si>
  <si>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</si>
  <si>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</si>
  <si>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</si>
  <si>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</si>
  <si>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</si>
  <si>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</si>
  <si>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</si>
  <si>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</si>
  <si>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</si>
  <si>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</si>
  <si>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</si>
  <si>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</si>
  <si>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</si>
  <si>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</si>
  <si>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</si>
  <si>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</si>
  <si>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</si>
  <si>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</si>
  <si>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</si>
  <si>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</si>
  <si>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</si>
  <si>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</si>
  <si>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</si>
  <si>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</si>
  <si>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</si>
  <si>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</si>
  <si>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</si>
  <si>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</si>
  <si>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</si>
  <si>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</si>
  <si>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</si>
  <si>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</si>
  <si>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</si>
  <si>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</si>
  <si>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</si>
  <si>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</si>
  <si>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</si>
  <si>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</si>
  <si>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</si>
  <si>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</si>
  <si>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</si>
  <si>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</si>
  <si>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</si>
  <si>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</si>
  <si>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</si>
  <si>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</si>
  <si>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</si>
  <si>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</si>
  <si>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</si>
  <si>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</si>
  <si>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</si>
  <si>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</si>
  <si>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</si>
  <si>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</si>
  <si>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</si>
  <si>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</si>
  <si>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</si>
  <si>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</si>
  <si>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</si>
  <si>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</si>
  <si>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</si>
  <si>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</si>
  <si>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</si>
  <si>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</si>
  <si>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</si>
  <si>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</si>
  <si>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</si>
  <si>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</si>
  <si>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</si>
  <si>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</si>
  <si>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</si>
  <si>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</si>
  <si>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</si>
  <si>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</si>
  <si>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</si>
  <si>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</si>
  <si>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</si>
  <si>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</si>
  <si>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</si>
  <si>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</si>
  <si>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</si>
  <si>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</si>
  <si>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</si>
  <si>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</si>
  <si>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</si>
  <si>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</si>
  <si>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</si>
  <si>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</si>
  <si>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</si>
  <si>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</si>
  <si>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</si>
  <si>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</si>
  <si>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</si>
  <si>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</si>
  <si>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</si>
  <si>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</si>
  <si>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</si>
  <si>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</si>
  <si>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</si>
  <si>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</si>
  <si>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</si>
  <si>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</si>
  <si>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</si>
  <si>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</si>
  <si>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</si>
  <si>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</si>
  <si>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</si>
  <si>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</si>
  <si>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</si>
  <si>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</si>
  <si>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</si>
  <si>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</si>
  <si>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</si>
  <si>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</si>
  <si>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</si>
  <si>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</si>
  <si>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</si>
  <si>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</si>
  <si>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</si>
  <si>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</si>
  <si>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</si>
  <si>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</si>
  <si>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</si>
  <si>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</si>
  <si>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</si>
  <si>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</si>
  <si>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</si>
  <si>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</si>
  <si>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</si>
  <si>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</si>
  <si>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</si>
  <si>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</si>
  <si>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</si>
  <si>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</si>
  <si>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</si>
  <si>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</si>
  <si>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</si>
  <si>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</si>
  <si>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</si>
  <si>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</si>
  <si>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</si>
  <si>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</si>
  <si>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</si>
  <si>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</si>
  <si>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</si>
  <si>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</si>
  <si>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</si>
  <si>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</si>
  <si>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</si>
  <si>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</si>
  <si>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</si>
  <si>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</si>
  <si>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</si>
  <si>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</si>
  <si>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</si>
  <si>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</si>
  <si>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</si>
  <si>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</si>
  <si>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</si>
  <si>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</si>
  <si>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</si>
  <si>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</si>
  <si>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</si>
  <si>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</si>
  <si>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</si>
  <si>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</si>
  <si>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</si>
  <si>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</si>
  <si>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</si>
  <si>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</si>
  <si>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</si>
  <si>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</si>
  <si>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</si>
  <si>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</si>
  <si>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</si>
  <si>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</si>
  <si>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</si>
  <si>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</si>
  <si>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</si>
  <si>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</si>
  <si>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</si>
  <si>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</si>
  <si>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</si>
  <si>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</si>
  <si>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</si>
  <si>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</si>
  <si>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</si>
  <si>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</si>
  <si>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</si>
  <si>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</si>
  <si>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</si>
  <si>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</si>
  <si>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</si>
  <si>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</si>
  <si>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</si>
  <si>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</si>
  <si>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</si>
  <si>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</si>
  <si>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</si>
  <si>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</si>
  <si>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</si>
  <si>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</si>
  <si>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</si>
  <si>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</si>
  <si>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</si>
  <si>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</si>
  <si>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</si>
  <si>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</si>
  <si>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</si>
  <si>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</si>
  <si>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</si>
  <si>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</si>
  <si>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</si>
  <si>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</si>
  <si>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</si>
  <si>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</si>
  <si>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</si>
  <si>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</si>
  <si>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</si>
  <si>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</si>
  <si>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</si>
  <si>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</si>
  <si>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</si>
  <si>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</si>
  <si>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</si>
  <si>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</si>
  <si>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</si>
  <si>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</si>
  <si>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</si>
  <si>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</si>
  <si>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</si>
  <si>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</si>
  <si>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</si>
  <si>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</si>
  <si>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</si>
  <si>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</si>
  <si>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</si>
  <si>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</si>
  <si>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</si>
  <si>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</si>
  <si>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</si>
  <si>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</si>
  <si>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</si>
  <si>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</si>
  <si>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</si>
  <si>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</si>
  <si>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</si>
  <si>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</si>
  <si>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</si>
  <si>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</si>
  <si>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</si>
  <si>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</si>
  <si>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</si>
  <si>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</si>
  <si>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</si>
  <si>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</si>
  <si>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</si>
  <si>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</si>
  <si>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</si>
  <si>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</si>
  <si>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</si>
  <si>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</si>
  <si>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</si>
  <si>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</si>
  <si>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</si>
  <si>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</si>
  <si>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</si>
  <si>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</si>
  <si>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</si>
  <si>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</si>
  <si>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</si>
  <si>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</si>
  <si>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</si>
  <si>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</si>
  <si>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</si>
  <si>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</si>
  <si>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</si>
  <si>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</si>
  <si>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</si>
  <si>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</si>
  <si>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</si>
  <si>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</si>
  <si>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</si>
  <si>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</si>
  <si>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</si>
  <si>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</si>
  <si>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</si>
  <si>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</si>
  <si>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</si>
  <si>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</si>
  <si>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</si>
  <si>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</si>
  <si>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</si>
  <si>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</si>
  <si>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</si>
  <si>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</si>
  <si>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</si>
  <si>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</si>
  <si>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</si>
  <si>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</si>
  <si>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</si>
  <si>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</si>
  <si>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</si>
  <si>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</si>
  <si>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</si>
  <si>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</si>
  <si>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</si>
  <si>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</si>
  <si>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</si>
  <si>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</si>
  <si>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</si>
  <si>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</si>
  <si>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</si>
  <si>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</si>
  <si>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</si>
  <si>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</si>
  <si>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</si>
  <si>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</si>
  <si>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</si>
  <si>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</si>
  <si>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</si>
  <si>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</si>
  <si>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</si>
  <si>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</si>
  <si>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</si>
  <si>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</si>
  <si>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</si>
  <si>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</si>
  <si>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</si>
  <si>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</si>
  <si>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</si>
  <si>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</si>
  <si>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</si>
  <si>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</si>
  <si>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</si>
  <si>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</si>
  <si>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</si>
  <si>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</si>
  <si>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</si>
  <si>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</si>
  <si>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</si>
  <si>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</si>
  <si>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</si>
  <si>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</si>
  <si>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</si>
  <si>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</si>
  <si>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</si>
  <si>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</si>
  <si>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</si>
  <si>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</si>
  <si>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</si>
  <si>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</si>
  <si>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</si>
  <si>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</si>
  <si>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</si>
  <si>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</si>
  <si>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</si>
  <si>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</si>
  <si>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</si>
  <si>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</si>
  <si>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</si>
  <si>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</si>
  <si>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</si>
  <si>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</si>
  <si>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</si>
  <si>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</si>
  <si>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</si>
  <si>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</si>
  <si>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</si>
  <si>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</si>
  <si>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</si>
  <si>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</si>
  <si>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</si>
  <si>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</si>
  <si>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</si>
  <si>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</si>
  <si>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</si>
  <si>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</si>
  <si>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</si>
  <si>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</si>
  <si>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</si>
  <si>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</si>
  <si>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</si>
  <si>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</si>
  <si>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</si>
  <si>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</si>
  <si>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</si>
  <si>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</si>
  <si>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</si>
  <si>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</si>
  <si>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</si>
  <si>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</si>
  <si>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</si>
  <si>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</si>
  <si>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</si>
  <si>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</si>
  <si>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</si>
  <si>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</si>
  <si>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</si>
  <si>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</si>
  <si>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</si>
  <si>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</si>
  <si>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</si>
  <si>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</si>
  <si>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</si>
  <si>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</si>
  <si>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</si>
  <si>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</si>
  <si>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</si>
  <si>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</si>
  <si>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</si>
  <si>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</si>
  <si>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</si>
  <si>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</si>
  <si>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</si>
  <si>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</si>
  <si>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</si>
  <si>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</si>
  <si>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</si>
  <si>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</si>
  <si>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</si>
  <si>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</si>
  <si>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</si>
  <si>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</si>
  <si>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</si>
  <si>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</si>
  <si>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</si>
  <si>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</si>
  <si>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</si>
  <si>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</si>
  <si>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</si>
  <si>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</si>
  <si>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</si>
  <si>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</si>
  <si>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</si>
  <si>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</si>
  <si>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</si>
  <si>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</si>
  <si>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</si>
  <si>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</si>
  <si>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</si>
  <si>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</si>
  <si>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</si>
  <si>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</si>
  <si>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</si>
  <si>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</si>
  <si>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</si>
  <si>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</si>
  <si>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</si>
  <si>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</si>
  <si>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</si>
  <si>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</si>
  <si>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</si>
  <si>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</si>
  <si>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</si>
  <si>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</si>
  <si>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</si>
  <si>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</si>
  <si>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</si>
  <si>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</si>
  <si>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</si>
  <si>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</si>
  <si>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</si>
  <si>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</si>
  <si>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</si>
  <si>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</si>
  <si>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</si>
  <si>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</si>
  <si>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</si>
  <si>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</si>
  <si>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</si>
  <si>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</si>
  <si>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</si>
  <si>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</si>
  <si>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</si>
  <si>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</si>
  <si>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</si>
  <si>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</si>
  <si>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</si>
  <si>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</si>
  <si>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</si>
  <si>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</si>
  <si>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</si>
  <si>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</si>
  <si>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</si>
  <si>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</si>
  <si>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</si>
  <si>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</si>
  <si>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</si>
  <si>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</si>
  <si>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</si>
  <si>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</si>
  <si>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</si>
  <si>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</si>
  <si>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</si>
  <si>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</si>
  <si>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</si>
  <si>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</si>
  <si>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</si>
  <si>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</si>
  <si>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</si>
  <si>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</si>
  <si>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</si>
  <si>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</si>
  <si>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</si>
  <si>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</si>
  <si>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</si>
  <si>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</si>
  <si>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</si>
  <si>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</si>
  <si>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</si>
  <si>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</si>
  <si>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</si>
  <si>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</si>
  <si>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</si>
  <si>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</si>
  <si>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</si>
  <si>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</si>
  <si>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</si>
  <si>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</si>
  <si>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</si>
  <si>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</si>
  <si>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</si>
  <si>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</si>
  <si>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</si>
  <si>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</si>
  <si>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</si>
  <si>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</si>
  <si>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</si>
  <si>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</si>
  <si>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</si>
  <si>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</si>
  <si>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</si>
  <si>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</si>
  <si>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</si>
  <si>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</si>
  <si>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</si>
  <si>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</si>
  <si>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</si>
  <si>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</si>
  <si>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</si>
  <si>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</si>
  <si>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</si>
  <si>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</si>
  <si>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</si>
  <si>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</si>
  <si>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</si>
  <si>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</si>
  <si>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</si>
  <si>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</si>
  <si>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</si>
  <si>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</si>
  <si>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</si>
  <si>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</si>
  <si>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</si>
  <si>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</si>
  <si>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</si>
  <si>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</si>
  <si>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</si>
  <si>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</si>
  <si>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</si>
  <si>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</si>
  <si>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</si>
  <si>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</si>
  <si>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</si>
  <si>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</si>
  <si>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</si>
  <si>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</si>
  <si>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</si>
  <si>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</si>
  <si>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</si>
  <si>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</si>
  <si>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</si>
  <si>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</si>
  <si>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</si>
  <si>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</si>
  <si>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</si>
  <si>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</si>
  <si>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</si>
  <si>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</si>
  <si>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</si>
  <si>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</si>
  <si>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</si>
  <si>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</si>
  <si>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</si>
  <si>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</si>
  <si>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</si>
  <si>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</si>
  <si>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</si>
  <si>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</si>
  <si>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</si>
  <si>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</si>
  <si>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</si>
  <si>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</si>
  <si>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</si>
  <si>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</si>
  <si>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</si>
  <si>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</si>
  <si>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</si>
  <si>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</si>
  <si>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</si>
  <si>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</si>
  <si>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</si>
  <si>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</si>
  <si>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</si>
  <si>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</si>
  <si>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</si>
  <si>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</si>
  <si>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</si>
  <si>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</si>
  <si>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</si>
  <si>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</si>
  <si>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</si>
  <si>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</si>
  <si>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</si>
  <si>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</si>
  <si>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</si>
  <si>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</si>
  <si>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</si>
  <si>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</si>
  <si>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</si>
  <si>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</si>
  <si>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</si>
  <si>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</si>
  <si>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</si>
  <si>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</si>
  <si>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</si>
  <si>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</si>
  <si>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</si>
  <si>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</si>
  <si>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</si>
  <si>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</si>
  <si>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</si>
  <si>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</si>
  <si>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</si>
  <si>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</si>
  <si>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</si>
  <si>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</si>
  <si>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</si>
  <si>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</si>
  <si>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</si>
  <si>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</si>
  <si>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</si>
  <si>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</si>
  <si>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</si>
  <si>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</si>
  <si>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</si>
  <si>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</si>
  <si>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</si>
  <si>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</si>
  <si>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</si>
  <si>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</si>
  <si>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</si>
  <si>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</si>
  <si>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</si>
  <si>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</si>
  <si>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</si>
  <si>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</si>
  <si>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</si>
  <si>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</si>
  <si>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</si>
  <si>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</si>
  <si>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</si>
  <si>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</si>
  <si>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</si>
  <si>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</si>
  <si>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</si>
  <si>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</si>
  <si>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</si>
  <si>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</si>
  <si>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</si>
  <si>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</si>
  <si>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</si>
  <si>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</si>
  <si>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</si>
  <si>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</si>
  <si>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</si>
  <si>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</si>
  <si>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</si>
  <si>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</si>
  <si>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</si>
  <si>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</si>
  <si>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</si>
  <si>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</si>
  <si>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</si>
  <si>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</si>
  <si>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</si>
  <si>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</si>
  <si>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</si>
  <si>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</si>
  <si>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</si>
  <si>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</si>
  <si>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</si>
  <si>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</si>
  <si>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</si>
  <si>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</si>
  <si>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</si>
  <si>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</si>
  <si>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</si>
  <si>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</si>
  <si>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</si>
  <si>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</si>
  <si>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</si>
  <si>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</si>
  <si>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</si>
  <si>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</si>
  <si>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</si>
  <si>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</si>
  <si>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</si>
  <si>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</si>
  <si>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</si>
  <si>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</si>
  <si>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</si>
  <si>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</si>
  <si>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</si>
  <si>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</si>
  <si>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</si>
  <si>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</si>
  <si>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</si>
  <si>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</si>
  <si>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</si>
  <si>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</si>
  <si>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</si>
  <si>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</si>
  <si>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</si>
  <si>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</si>
  <si>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</si>
  <si>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</si>
  <si>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</si>
  <si>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</si>
  <si>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</si>
  <si>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</si>
  <si>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</si>
  <si>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</si>
  <si>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</si>
  <si>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</si>
  <si>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</si>
  <si>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</si>
  <si>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</si>
  <si>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</si>
  <si>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</si>
  <si>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</si>
  <si>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</si>
  <si>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</si>
  <si>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</si>
  <si>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</si>
  <si>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</si>
  <si>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</si>
  <si>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</si>
  <si>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</si>
  <si>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</si>
  <si>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</si>
  <si>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</si>
  <si>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</si>
  <si>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</si>
  <si>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</si>
  <si>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</si>
  <si>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</si>
  <si>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</si>
  <si>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</si>
  <si>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</si>
  <si>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</si>
  <si>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</si>
  <si>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</si>
  <si>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</si>
  <si>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</si>
  <si>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</si>
  <si>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</si>
  <si>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</si>
  <si>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</si>
  <si>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</si>
  <si>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</si>
  <si>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</si>
  <si>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</si>
  <si>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</si>
  <si>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</si>
  <si>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</si>
  <si>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</si>
  <si>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</si>
  <si>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</si>
  <si>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</si>
  <si>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</si>
  <si>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</si>
  <si>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</si>
  <si>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</si>
  <si>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</si>
  <si>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</si>
  <si>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</si>
  <si>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</si>
  <si>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</si>
  <si>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</si>
  <si>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</si>
  <si>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</si>
  <si>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</si>
  <si>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</si>
  <si>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</si>
  <si>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</si>
  <si>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</si>
  <si>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</si>
  <si>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</si>
  <si>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</si>
  <si>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</si>
  <si>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</si>
  <si>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</si>
  <si>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</si>
  <si>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</si>
  <si>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</si>
  <si>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</si>
  <si>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</si>
  <si>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</si>
  <si>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</si>
  <si>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</si>
  <si>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</si>
  <si>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</si>
  <si>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</si>
  <si>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</si>
  <si>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</si>
  <si>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</si>
  <si>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</si>
  <si>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</si>
  <si>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</si>
  <si>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</si>
  <si>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</si>
  <si>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</si>
  <si>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</si>
  <si>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</si>
  <si>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</si>
  <si>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</si>
  <si>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</si>
  <si>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</si>
  <si>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</si>
  <si>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</si>
  <si>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</si>
  <si>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</si>
  <si>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</si>
  <si>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</si>
  <si>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</si>
  <si>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</si>
  <si>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</si>
  <si>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</si>
  <si>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</si>
  <si>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</si>
  <si>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</si>
  <si>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</si>
  <si>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</si>
  <si>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</si>
  <si>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</si>
  <si>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</si>
  <si>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</si>
  <si>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</si>
  <si>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</si>
  <si>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</si>
  <si>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</si>
  <si>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</si>
  <si>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</si>
  <si>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</si>
  <si>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</si>
  <si>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</si>
  <si>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</si>
  <si>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</si>
  <si>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</si>
  <si>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</si>
  <si>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</si>
  <si>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</si>
  <si>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</si>
  <si>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</si>
  <si>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</si>
  <si>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</si>
  <si>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</si>
  <si>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</si>
  <si>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</si>
  <si>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</si>
  <si>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</si>
  <si>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</si>
  <si>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</si>
  <si>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</si>
  <si>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</si>
  <si>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</si>
  <si>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</si>
  <si>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</si>
  <si>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</si>
  <si>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</si>
  <si>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</si>
  <si>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</si>
  <si>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</si>
  <si>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</si>
  <si>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</si>
  <si>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</si>
  <si>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</si>
  <si>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</si>
  <si>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</si>
  <si>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</si>
  <si>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</si>
  <si>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</si>
  <si>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</si>
  <si>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</si>
  <si>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</si>
  <si>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</si>
  <si>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</si>
  <si>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</si>
  <si>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</si>
  <si>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</si>
  <si>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</si>
  <si>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</si>
  <si>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</si>
  <si>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</si>
  <si>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</si>
  <si>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</si>
  <si>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</si>
  <si>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</si>
  <si>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</si>
  <si>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</si>
  <si>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</si>
  <si>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</si>
  <si>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</si>
  <si>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</si>
  <si>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</si>
  <si>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</si>
  <si>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</si>
  <si>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</si>
  <si>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</si>
  <si>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</si>
  <si>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</si>
  <si>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</si>
  <si>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</si>
  <si>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</si>
  <si>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</si>
  <si>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</si>
  <si>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</si>
  <si>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</si>
  <si>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</si>
  <si>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</si>
  <si>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</si>
  <si>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</si>
  <si>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</si>
  <si>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</si>
  <si>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</si>
  <si>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</si>
  <si>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</si>
  <si>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</si>
  <si>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</si>
  <si>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</si>
  <si>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</si>
  <si>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</si>
  <si>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</si>
  <si>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</si>
  <si>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</si>
  <si>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</si>
  <si>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</si>
  <si>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</si>
  <si>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</si>
  <si>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</si>
  <si>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</si>
  <si>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</si>
  <si>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</si>
  <si>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</si>
  <si>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</si>
  <si>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</si>
  <si>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</si>
  <si>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</si>
  <si>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</si>
  <si>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</si>
  <si>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</si>
  <si>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</si>
  <si>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</si>
  <si>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</si>
  <si>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</si>
  <si>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</si>
  <si>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</si>
  <si>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</si>
  <si>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</si>
  <si>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</si>
  <si>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</si>
  <si>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</si>
  <si>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</si>
  <si>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</si>
  <si>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</si>
  <si>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</si>
  <si>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</si>
  <si>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</si>
  <si>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</si>
  <si>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</si>
  <si>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</si>
  <si>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</si>
  <si>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</si>
  <si>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</si>
  <si>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</si>
  <si>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</si>
  <si>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</si>
  <si>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</si>
  <si>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</si>
  <si>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</si>
  <si>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</si>
  <si>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</si>
  <si>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</si>
  <si>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</si>
  <si>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</si>
  <si>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</si>
  <si>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</si>
  <si>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</si>
  <si>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</si>
  <si>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</si>
  <si>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</si>
  <si>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</si>
  <si>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</si>
  <si>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</si>
  <si>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</si>
  <si>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</si>
  <si>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</si>
  <si>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</si>
  <si>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</si>
  <si>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</si>
  <si>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</si>
  <si>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</si>
  <si>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</si>
  <si>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</si>
  <si>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</si>
  <si>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</si>
  <si>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</si>
  <si>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</si>
  <si>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</si>
  <si>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</si>
  <si>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</si>
  <si>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</si>
  <si>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</si>
  <si>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</si>
  <si>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</si>
  <si>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</si>
  <si>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</si>
  <si>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</si>
  <si>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</si>
  <si>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</si>
  <si>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</si>
  <si>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</si>
  <si>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</si>
  <si>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</si>
  <si>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</si>
  <si>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</si>
  <si>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</si>
  <si>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</si>
  <si>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</si>
  <si>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</si>
  <si>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</si>
  <si>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</si>
  <si>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</si>
  <si>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</si>
  <si>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</si>
  <si>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</si>
  <si>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</si>
  <si>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</si>
  <si>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</si>
  <si>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</si>
  <si>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</si>
  <si>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</si>
  <si>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</si>
  <si>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</si>
  <si>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</si>
  <si>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</si>
  <si>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</si>
  <si>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</si>
  <si>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</si>
  <si>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</si>
  <si>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</si>
  <si>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</si>
  <si>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</si>
  <si>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</si>
  <si>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</si>
  <si>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</si>
  <si>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</si>
  <si>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</si>
  <si>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</si>
  <si>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</si>
  <si>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</si>
  <si>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</si>
  <si>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</si>
  <si>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</si>
  <si>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</si>
  <si>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</si>
  <si>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</si>
  <si>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</si>
  <si>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</si>
  <si>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</si>
  <si>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</si>
  <si>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</si>
  <si>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</si>
  <si>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</si>
  <si>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</si>
  <si>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</si>
  <si>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</si>
  <si>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</si>
  <si>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</si>
  <si>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</si>
  <si>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</si>
  <si>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</si>
  <si>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</si>
  <si>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</si>
  <si>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</si>
  <si>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</si>
  <si>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</si>
  <si>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</si>
  <si>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</si>
  <si>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</si>
  <si>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</si>
  <si>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</si>
  <si>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</si>
  <si>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</si>
  <si>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</si>
  <si>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</si>
  <si>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</si>
  <si>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</si>
  <si>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</si>
  <si>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</si>
  <si>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</si>
  <si>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</si>
  <si>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</si>
  <si>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</si>
  <si>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</si>
  <si>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</si>
  <si>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</si>
  <si>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</si>
  <si>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</si>
  <si>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</si>
  <si>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</si>
  <si>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</si>
  <si>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</si>
  <si>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</si>
  <si>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</si>
  <si>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</si>
  <si>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</si>
  <si>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</si>
  <si>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</si>
  <si>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</si>
  <si>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</si>
  <si>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</si>
  <si>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</si>
  <si>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</si>
  <si>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</si>
  <si>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</si>
  <si>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</si>
  <si>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</si>
  <si>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</si>
  <si>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</si>
  <si>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</si>
  <si>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</si>
  <si>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</si>
  <si>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</si>
  <si>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</si>
  <si>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</si>
  <si>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</si>
  <si>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</si>
  <si>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</si>
  <si>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</si>
  <si>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</si>
  <si>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</si>
  <si>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</si>
  <si>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</si>
  <si>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</si>
  <si>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</si>
  <si>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</si>
  <si>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</si>
  <si>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</si>
  <si>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</si>
  <si>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</si>
  <si>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</si>
  <si>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</si>
  <si>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</si>
  <si>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</si>
  <si>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</si>
  <si>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</si>
  <si>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</si>
  <si>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</si>
  <si>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</si>
  <si>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</si>
  <si>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</si>
  <si>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</si>
  <si>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</si>
  <si>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</si>
  <si>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</si>
  <si>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</si>
  <si>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</si>
  <si>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</si>
  <si>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</si>
  <si>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</si>
  <si>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</si>
  <si>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</si>
  <si>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</si>
  <si>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</si>
  <si>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</si>
  <si>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</si>
  <si>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</si>
  <si>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</si>
  <si>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</si>
  <si>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</si>
  <si>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</si>
  <si>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</si>
  <si>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</si>
  <si>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</si>
  <si>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</si>
  <si>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</si>
  <si>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</si>
  <si>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</si>
  <si>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</si>
  <si>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</si>
  <si>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</si>
  <si>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</si>
  <si>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</si>
  <si>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</si>
  <si>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</si>
  <si>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</si>
  <si>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</si>
  <si>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</si>
  <si>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</si>
  <si>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</si>
  <si>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</si>
  <si>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</si>
  <si>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</si>
  <si>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</si>
  <si>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</si>
  <si>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</si>
  <si>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</si>
  <si>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</si>
  <si>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</si>
  <si>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</si>
  <si>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</si>
  <si>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</si>
  <si>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</si>
  <si>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</si>
  <si>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</si>
  <si>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</si>
  <si>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</si>
  <si>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</si>
  <si>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</si>
  <si>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</si>
  <si>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</si>
  <si>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</si>
  <si>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</si>
  <si>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</si>
  <si>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</si>
  <si>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</si>
  <si>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</si>
  <si>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</si>
  <si>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</si>
  <si>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</si>
  <si>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</si>
  <si>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</si>
  <si>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</si>
  <si>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</si>
  <si>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</si>
  <si>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</si>
  <si>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</si>
  <si>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</si>
  <si>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</si>
  <si>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</si>
  <si>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</si>
  <si>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</si>
  <si>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</si>
  <si>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</si>
  <si>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</si>
  <si>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</si>
  <si>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</si>
  <si>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</si>
  <si>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</si>
  <si>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</si>
  <si>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</si>
  <si>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</si>
  <si>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</si>
  <si>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</si>
  <si>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</si>
  <si>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</si>
  <si>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</si>
  <si>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</si>
  <si>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</si>
  <si>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</si>
  <si>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</si>
  <si>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</si>
  <si>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</si>
  <si>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</si>
  <si>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</si>
  <si>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</si>
  <si>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</si>
  <si>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</si>
  <si>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</si>
  <si>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</si>
  <si>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</si>
  <si>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</si>
  <si>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</si>
  <si>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</si>
  <si>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</si>
  <si>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</si>
  <si>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</si>
  <si>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</si>
  <si>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</si>
  <si>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</si>
  <si>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</si>
  <si>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</si>
  <si>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</si>
  <si>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</si>
  <si>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</si>
  <si>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</si>
  <si>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</si>
  <si>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</si>
  <si>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</si>
  <si>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</si>
  <si>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</si>
  <si>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</si>
  <si>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</si>
  <si>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</si>
  <si>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</si>
  <si>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</si>
  <si>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</si>
  <si>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</si>
  <si>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</si>
  <si>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</si>
  <si>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</si>
  <si>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</si>
  <si>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</si>
  <si>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</si>
  <si>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</si>
  <si>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</si>
  <si>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</si>
  <si>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</si>
  <si>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</si>
  <si>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</si>
  <si>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</si>
  <si>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</si>
  <si>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</si>
  <si>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</si>
  <si>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</si>
  <si>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</si>
  <si>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</si>
  <si>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</si>
  <si>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</si>
  <si>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</si>
  <si>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</si>
  <si>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</si>
  <si>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</si>
  <si>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</si>
  <si>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</si>
  <si>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</si>
  <si>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</si>
  <si>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</si>
  <si>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</si>
  <si>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</si>
  <si>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</si>
  <si>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</si>
  <si>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</si>
  <si>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</si>
  <si>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</si>
  <si>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</si>
  <si>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</si>
  <si>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</si>
  <si>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</si>
  <si>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</si>
  <si>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</si>
  <si>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</si>
  <si>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</si>
  <si>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</si>
  <si>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</si>
  <si>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</si>
  <si>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</si>
  <si>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</si>
  <si>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</si>
  <si>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</si>
  <si>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</si>
  <si>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</si>
  <si>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</si>
  <si>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</si>
  <si>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</si>
  <si>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</si>
  <si>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</si>
  <si>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</si>
  <si>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</si>
  <si>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</si>
  <si>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</si>
  <si>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</si>
  <si>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</si>
  <si>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</si>
  <si>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</si>
  <si>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</si>
  <si>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</si>
  <si>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</si>
  <si>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</si>
  <si>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</si>
  <si>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</si>
  <si>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</si>
  <si>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</si>
  <si>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</si>
  <si>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</si>
  <si>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</si>
  <si>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</si>
  <si>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</si>
  <si>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</si>
  <si>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</si>
  <si>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</si>
  <si>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</si>
  <si>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</si>
  <si>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</si>
  <si>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</si>
  <si>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</si>
  <si>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</si>
  <si>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</si>
  <si>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</si>
  <si>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</si>
  <si>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</si>
  <si>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</si>
  <si>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</si>
  <si>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</si>
  <si>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</si>
  <si>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</si>
  <si>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</si>
  <si>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</si>
  <si>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</si>
  <si>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</si>
  <si>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</si>
  <si>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</si>
  <si>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</si>
  <si>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</si>
  <si>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</si>
  <si>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</si>
  <si>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</si>
  <si>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</si>
  <si>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</si>
  <si>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</si>
  <si>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</si>
  <si>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</si>
  <si>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</si>
  <si>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</si>
  <si>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</si>
  <si>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</si>
  <si>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</si>
  <si>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</si>
  <si>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</si>
  <si>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</si>
  <si>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</si>
  <si>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</si>
  <si>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</si>
  <si>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</si>
  <si>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</si>
  <si>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</si>
  <si>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</si>
  <si>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</si>
  <si>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</si>
  <si>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</si>
  <si>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</si>
  <si>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</si>
  <si>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</si>
  <si>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</si>
  <si>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</si>
  <si>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</si>
  <si>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</si>
  <si>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</si>
  <si>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</si>
  <si>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</si>
  <si>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</si>
  <si>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</si>
  <si>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</si>
  <si>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</si>
  <si>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</si>
  <si>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</si>
  <si>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</si>
  <si>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</si>
  <si>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</si>
  <si>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</si>
  <si>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</si>
  <si>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</si>
  <si>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</si>
  <si>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</si>
  <si>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</si>
  <si>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</si>
  <si>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</si>
  <si>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</si>
  <si>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</si>
  <si>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</si>
  <si>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</si>
  <si>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</si>
  <si>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</si>
  <si>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</si>
  <si>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</si>
  <si>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</si>
  <si>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</si>
  <si>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</si>
  <si>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</si>
  <si>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</si>
  <si>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</si>
  <si>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</si>
  <si>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</si>
  <si>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</si>
  <si>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</si>
  <si>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</si>
  <si>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</si>
  <si>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</si>
  <si>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</si>
  <si>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</si>
  <si>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</si>
  <si>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</si>
  <si>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</si>
  <si>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</si>
  <si>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</si>
  <si>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</si>
  <si>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</si>
  <si>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</si>
  <si>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</si>
  <si>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</si>
  <si>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</si>
  <si>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</si>
  <si>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</si>
  <si>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</si>
  <si>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</si>
  <si>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</si>
  <si>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</si>
  <si>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</si>
  <si>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</si>
  <si>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</si>
  <si>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</si>
  <si>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</si>
  <si>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</si>
  <si>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</si>
  <si>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</si>
  <si>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</si>
  <si>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</si>
  <si>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</si>
  <si>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</si>
  <si>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</si>
  <si>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</si>
  <si>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</si>
  <si>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</si>
  <si>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</si>
  <si>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</si>
  <si>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</si>
  <si>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</si>
  <si>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</si>
  <si>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</si>
  <si>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</si>
  <si>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</si>
  <si>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</si>
  <si>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</si>
  <si>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</si>
  <si>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</si>
  <si>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</si>
  <si>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</si>
  <si>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</si>
  <si>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</si>
  <si>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</si>
  <si>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</si>
  <si>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</si>
  <si>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</si>
  <si>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</si>
  <si>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</si>
  <si>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</si>
  <si>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</si>
  <si>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</si>
  <si>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</si>
  <si>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</si>
  <si>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</si>
  <si>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</si>
  <si>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</si>
  <si>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</si>
  <si>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</si>
  <si>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</si>
  <si>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</si>
  <si>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</si>
  <si>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</si>
  <si>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</si>
  <si>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</si>
  <si>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</si>
  <si>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</si>
  <si>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</si>
  <si>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</si>
  <si>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</si>
  <si>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</si>
  <si>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</si>
  <si>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</si>
  <si>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</si>
  <si>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</si>
  <si>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</si>
  <si>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</si>
  <si>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</si>
  <si>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</si>
  <si>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</si>
  <si>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</si>
  <si>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</si>
  <si>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</si>
  <si>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</si>
  <si>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</si>
  <si>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</si>
  <si>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</si>
  <si>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</si>
  <si>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</si>
  <si>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</si>
  <si>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</si>
  <si>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</si>
  <si>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</si>
  <si>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</si>
  <si>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</si>
  <si>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</si>
  <si>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</si>
  <si>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</si>
  <si>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</si>
  <si>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</si>
  <si>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</si>
  <si>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</si>
  <si>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</si>
  <si>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</si>
  <si>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</si>
  <si>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</si>
  <si>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</si>
  <si>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</si>
  <si>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</si>
  <si>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</si>
  <si>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</si>
  <si>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</si>
  <si>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</si>
  <si>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</si>
  <si>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</si>
  <si>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</si>
  <si>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</si>
  <si>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</si>
  <si>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</si>
  <si>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</si>
  <si>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</si>
  <si>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</si>
  <si>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</si>
  <si>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</si>
  <si>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</si>
  <si>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</si>
  <si>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</si>
  <si>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</si>
  <si>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</si>
  <si>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</si>
  <si>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</si>
  <si>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</si>
  <si>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</si>
  <si>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</si>
  <si>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</si>
  <si>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</si>
  <si>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</si>
  <si>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</si>
  <si>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</si>
  <si>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</si>
  <si>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</si>
  <si>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</si>
  <si>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</si>
  <si>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</si>
  <si>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</si>
  <si>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</si>
  <si>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</si>
  <si>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</si>
  <si>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</si>
  <si>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</si>
  <si>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</si>
  <si>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</si>
  <si>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</si>
  <si>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</si>
  <si>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</si>
  <si>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</si>
  <si>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</si>
  <si>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</si>
  <si>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</si>
  <si>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</si>
  <si>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</si>
  <si>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</si>
  <si>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</si>
  <si>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</si>
  <si>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</si>
  <si>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</si>
  <si>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</si>
  <si>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</si>
  <si>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</si>
  <si>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</si>
  <si>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</si>
  <si>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</si>
  <si>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</si>
  <si>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</si>
  <si>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</si>
  <si>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</si>
  <si>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</si>
  <si>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</si>
  <si>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</si>
  <si>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</si>
  <si>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</si>
  <si>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</si>
  <si>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</si>
  <si>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</si>
  <si>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</si>
  <si>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</si>
  <si>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</si>
  <si>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</si>
  <si>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</si>
  <si>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</si>
  <si>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</si>
  <si>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</si>
  <si>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</si>
  <si>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</si>
  <si>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</si>
  <si>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</si>
  <si>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</si>
  <si>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</si>
  <si>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</si>
  <si>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</si>
  <si>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</si>
  <si>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</si>
  <si>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</si>
  <si>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</si>
  <si>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</si>
  <si>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</si>
  <si>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</si>
  <si>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</si>
  <si>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</si>
  <si>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</si>
  <si>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</si>
  <si>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</si>
  <si>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</si>
  <si>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</si>
  <si>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</si>
  <si>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</si>
  <si>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</si>
  <si>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</si>
  <si>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</si>
  <si>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</si>
  <si>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</si>
  <si>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</si>
  <si>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</si>
  <si>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</si>
  <si>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</si>
  <si>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</si>
  <si>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</si>
  <si>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</si>
  <si>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</si>
  <si>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</si>
  <si>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</si>
  <si>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</si>
  <si>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</si>
  <si>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</si>
  <si>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</si>
  <si>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</si>
  <si>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</si>
  <si>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</si>
  <si>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</si>
  <si>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</si>
  <si>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</si>
  <si>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</si>
  <si>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</si>
  <si>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</si>
  <si>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</si>
  <si>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</si>
  <si>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</si>
  <si>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</si>
  <si>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</si>
  <si>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</si>
  <si>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</si>
  <si>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</si>
  <si>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</si>
  <si>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</si>
  <si>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</si>
  <si>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</si>
  <si>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</si>
  <si>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</si>
  <si>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</si>
  <si>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</si>
  <si>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</si>
  <si>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</si>
  <si>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</si>
  <si>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</si>
  <si>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</si>
  <si>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</si>
  <si>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</si>
  <si>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</si>
  <si>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</si>
  <si>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</si>
  <si>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</si>
  <si>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</si>
  <si>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</si>
  <si>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</si>
  <si>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</si>
  <si>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</si>
  <si>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</si>
  <si>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</si>
  <si>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</si>
  <si>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</si>
  <si>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</si>
  <si>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</si>
  <si>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</si>
  <si>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</si>
  <si>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</si>
  <si>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</si>
  <si>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</si>
  <si>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</si>
  <si>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</si>
  <si>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</si>
  <si>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</si>
  <si>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</si>
  <si>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</si>
  <si>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</si>
  <si>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</si>
  <si>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</si>
  <si>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</si>
  <si>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</si>
  <si>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</si>
  <si>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</si>
  <si>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</si>
  <si>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</si>
  <si>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</si>
  <si>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</si>
  <si>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</si>
  <si>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</si>
  <si>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</si>
  <si>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</si>
  <si>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</si>
  <si>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</si>
  <si>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</si>
  <si>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</si>
  <si>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</si>
  <si>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</si>
  <si>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</si>
  <si>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</si>
  <si>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</si>
  <si>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 1</t>
  </si>
  <si>
    <t>1|2-1</t>
  </si>
  <si>
    <t>2|0-1</t>
  </si>
  <si>
    <t>X|1-1</t>
  </si>
  <si>
    <t>2|0-3</t>
  </si>
  <si>
    <t>X|2-2</t>
  </si>
  <si>
    <t>2|0-2</t>
  </si>
  <si>
    <t>1|3-0</t>
  </si>
  <si>
    <t>1|3-2</t>
  </si>
  <si>
    <t>1|2-0</t>
  </si>
  <si>
    <t>1|1-0</t>
  </si>
  <si>
    <t>2|1-2</t>
  </si>
  <si>
    <t>1|4-0</t>
  </si>
  <si>
    <t>1|3-1</t>
  </si>
  <si>
    <t>1|5-0</t>
  </si>
  <si>
    <t>2|1-3</t>
  </si>
  <si>
    <t>2|2-3</t>
  </si>
  <si>
    <t>2|1-4</t>
  </si>
  <si>
    <t>JUANCHO</t>
  </si>
  <si>
    <t>X|0-0</t>
  </si>
  <si>
    <t>1|6-0</t>
  </si>
  <si>
    <t>2|0-4</t>
  </si>
  <si>
    <t>1|5-1</t>
  </si>
  <si>
    <t>2|0-5</t>
  </si>
  <si>
    <t>LARRY</t>
  </si>
  <si>
    <t>X|4-4</t>
  </si>
  <si>
    <t>X|3-3</t>
  </si>
  <si>
    <t>LUIS/VIR</t>
  </si>
  <si>
    <t>MEDINA</t>
  </si>
  <si>
    <t>VICTOR</t>
  </si>
  <si>
    <t>Sudáfrica-Canadá·2|1-3</t>
  </si>
  <si>
    <t>Brasil-Japón·1|2-1</t>
  </si>
  <si>
    <t>Alemania-Paraguay·1|3-0</t>
  </si>
  <si>
    <t>Países Bajos-Marruecos·2|0-1</t>
  </si>
  <si>
    <t>Costa de Marfil-Noruega·2|0-1</t>
  </si>
  <si>
    <t>Francia-Suecia·1|3-1</t>
  </si>
  <si>
    <t>México-Ecuador·1|2-1</t>
  </si>
  <si>
    <t>Inglaterra-RD Congo·1|2-0</t>
  </si>
  <si>
    <t>Bélgica-Senegal·1|2-1</t>
  </si>
  <si>
    <t>Estados Unidos-Bosnia y Herzegovina·1|2-1</t>
  </si>
  <si>
    <t>España-Austria·1|2-0</t>
  </si>
  <si>
    <t>Portugal-Croacia·X|1-1</t>
  </si>
  <si>
    <t>Suiza-Argelia·1|1-0</t>
  </si>
  <si>
    <t>Australia-Egipto·X|2-2</t>
  </si>
  <si>
    <t>Argentina-Cabo Verde·1|2-0</t>
  </si>
  <si>
    <t>Colombia-Ghana·1|2-1</t>
  </si>
  <si>
    <t>Canadá-Marruecos·2|1-2</t>
  </si>
  <si>
    <t>Alemania-Francia·2|1-2</t>
  </si>
  <si>
    <t>Brasil-Noruega·1|2-1</t>
  </si>
  <si>
    <t>México-Inglaterra·2|1-2</t>
  </si>
  <si>
    <t>Portugal-España·2|1-2</t>
  </si>
  <si>
    <t>Estados Unidos-Bélgica·1|2-1</t>
  </si>
  <si>
    <t>Argentina-Egipto·1|2-0</t>
  </si>
  <si>
    <t>Suiza-Colombia·2|0-1</t>
  </si>
  <si>
    <t>Francia-Marruecos·1|3-1</t>
  </si>
  <si>
    <t>España-Estados Unidos·1|2-0</t>
  </si>
  <si>
    <t>Brasil-Inglaterra·2|1-2</t>
  </si>
  <si>
    <t>Argentina-Colombia·1|2-1</t>
  </si>
  <si>
    <t>Francia-España·1|2-1</t>
  </si>
  <si>
    <t>Inglaterra-Argentina·1|2-1</t>
  </si>
  <si>
    <t>España-Argentina·1|2-1</t>
  </si>
  <si>
    <t>Francia-Inglaterra·1|2-0</t>
  </si>
  <si>
    <t>Sudáfrica-Canadá·2|0-2</t>
  </si>
  <si>
    <t>Brasil-Japón·X|2-2</t>
  </si>
  <si>
    <t>Alemania-Paraguay·1|3-1</t>
  </si>
  <si>
    <t>Países Bajos-Marruecos·X|1-1</t>
  </si>
  <si>
    <t>Costa de Marfil-Noruega·2|1-2</t>
  </si>
  <si>
    <t>México-Ecuador·2|1-2</t>
  </si>
  <si>
    <t>Inglaterra-RD Congo·1|3-1</t>
  </si>
  <si>
    <t>Bélgica-Senegal·X|1-1</t>
  </si>
  <si>
    <t>España-Austria·1|3-0</t>
  </si>
  <si>
    <t>Portugal-Croacia·X|0-0</t>
  </si>
  <si>
    <t>Suiza-Argelia·1|2-0</t>
  </si>
  <si>
    <t>Australia-Egipto·2|0-1</t>
  </si>
  <si>
    <t>Colombia-Ghana·1|1-0</t>
  </si>
  <si>
    <t>Canadá-Países Bajos·2|1-2</t>
  </si>
  <si>
    <t>Alemania-Francia·1|2-1</t>
  </si>
  <si>
    <t>Japón-Noruega·X|2-2</t>
  </si>
  <si>
    <t>Ecuador-Inglaterra·2|1-3</t>
  </si>
  <si>
    <t>Croacia-España·2|0-1</t>
  </si>
  <si>
    <t>Estados Unidos-Senegal·X|1-1</t>
  </si>
  <si>
    <t>Argentina-Egipto·1|2-1</t>
  </si>
  <si>
    <t>Suiza-Colombia·1|1-0</t>
  </si>
  <si>
    <t>Alemania-Países Bajos·1|1-0</t>
  </si>
  <si>
    <t>Japón-Inglaterra·2|0-2</t>
  </si>
  <si>
    <t>Argentina-Suiza·1|1-0</t>
  </si>
  <si>
    <t>Alemania-España·2|1-2</t>
  </si>
  <si>
    <t>Inglaterra-Argentina·1|3-1</t>
  </si>
  <si>
    <t>Alemania-Argentina·1|2-1</t>
  </si>
  <si>
    <t>España-Inglaterra·1|3-2</t>
  </si>
  <si>
    <t>Sudáfrica-Canadá·X|1-1</t>
  </si>
  <si>
    <t>Países Bajos-Marruecos·1|2-1</t>
  </si>
  <si>
    <t>México-Ecuador·1|2-0</t>
  </si>
  <si>
    <t>Inglaterra-RD Congo·1|4-1</t>
  </si>
  <si>
    <t>Estados Unidos-Bosnia y Herzegovina·X|2-2</t>
  </si>
  <si>
    <t>Portugal-Croacia·1|3-2</t>
  </si>
  <si>
    <t>Argentina-Cabo Verde·1|4-0</t>
  </si>
  <si>
    <t>Canadá-Países Bajos·2|0-3</t>
  </si>
  <si>
    <t>Alemania-Francia·X|2-2</t>
  </si>
  <si>
    <t>México-Inglaterra·X|2-2</t>
  </si>
  <si>
    <t>Estados Unidos-Bélgica·2|0-2</t>
  </si>
  <si>
    <t>Suiza-Colombia·2|1-2</t>
  </si>
  <si>
    <t>Francia-Países Bajos·1|3-2</t>
  </si>
  <si>
    <t>España-Bélgica·X|1-1</t>
  </si>
  <si>
    <t>Brasil-Inglaterra·1|2-1</t>
  </si>
  <si>
    <t>Argentina-Colombia·X|1-1</t>
  </si>
  <si>
    <t>Francia-España·1|3-2</t>
  </si>
  <si>
    <t>Brasil-Argentina·X|1-1</t>
  </si>
  <si>
    <t>España-Brasil·1|2-1</t>
  </si>
  <si>
    <t>Francia-Argentina·1|3-1</t>
  </si>
  <si>
    <t>Brasil-Japón·1|2-0</t>
  </si>
  <si>
    <t>Francia-Suecia·1|3-0</t>
  </si>
  <si>
    <t>Inglaterra-RD Congo·1|3-0</t>
  </si>
  <si>
    <t>Estados Unidos-Bosnia y Herzegovina·1|2-0</t>
  </si>
  <si>
    <t>Portugal-Croacia·1|2-1</t>
  </si>
  <si>
    <t>Suiza-Argelia·1|2-1</t>
  </si>
  <si>
    <t>Australia-Egipto·X|1-1</t>
  </si>
  <si>
    <t>Argentina-Cabo Verde·1|3-0</t>
  </si>
  <si>
    <t>Colombia-Ghana·1|2-0</t>
  </si>
  <si>
    <t>Francia-Países Bajos·1|2-1</t>
  </si>
  <si>
    <t>Inglaterra-Argentina·2|1-2</t>
  </si>
  <si>
    <t>España-Inglaterra·1|2-1</t>
  </si>
  <si>
    <t>Francia-Argentina·1|2-1</t>
  </si>
  <si>
    <t>Sudáfrica-Canadá·2|1-2</t>
  </si>
  <si>
    <t>Alemania-Paraguay·1|2-0</t>
  </si>
  <si>
    <t>Costa de Marfil-Noruega·2|1-3</t>
  </si>
  <si>
    <t>Francia-Suecia·1|2-0</t>
  </si>
  <si>
    <t>México-Ecuador·2|0-1</t>
  </si>
  <si>
    <t>Portugal-Croacia·1|1-0</t>
  </si>
  <si>
    <t>Canadá-Países Bajos·2|0-1</t>
  </si>
  <si>
    <t>Alemania-Francia·2|0-1</t>
  </si>
  <si>
    <t>Ecuador-Inglaterra·2|0-1</t>
  </si>
  <si>
    <t>Portugal-España·X|1-1</t>
  </si>
  <si>
    <t>Estados Unidos-Bélgica·2|1-2</t>
  </si>
  <si>
    <t>Suiza-Colombia·1|2-1</t>
  </si>
  <si>
    <t>Francia-Países Bajos·1|1-0</t>
  </si>
  <si>
    <t>España-Bélgica·1|2-1</t>
  </si>
  <si>
    <t>Argentina-Suiza·1|2-1</t>
  </si>
  <si>
    <t>Francia-España·1|1-0</t>
  </si>
  <si>
    <t>Francia-Inglaterra·1|1-0</t>
  </si>
  <si>
    <t>Mbappe</t>
  </si>
  <si>
    <t>CR7</t>
  </si>
  <si>
    <t>Vini</t>
  </si>
  <si>
    <t>Pedri</t>
  </si>
  <si>
    <t>Vitinha</t>
  </si>
  <si>
    <t>Courtois</t>
  </si>
  <si>
    <t>M. Oyarzabal</t>
  </si>
  <si>
    <t>H. Kane</t>
  </si>
  <si>
    <t>Lamine Yamal</t>
  </si>
  <si>
    <t>Musiala</t>
  </si>
  <si>
    <t>Kane</t>
  </si>
  <si>
    <t>Haaland</t>
  </si>
  <si>
    <t>Bellingham</t>
  </si>
  <si>
    <t>Harry Kane</t>
  </si>
  <si>
    <t>Oyarzabal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</si>
</sst>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8</v>
    <v>1</v>
    <v>1</v>
  </rv>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27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12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46210</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85" zoomScaleNormal="100" workbookViewId="0">
      <selection activeCell="AE126" sqref="AE12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08" t="str">
        <f>Idiomas!D8</f>
        <v>XXIII Mundial USA/MEX/CAN 2026</v>
      </c>
      <c r="X1" s="808"/>
      <c r="Y1" s="808"/>
      <c r="Z1" s="808"/>
      <c r="AA1" s="808"/>
      <c r="AB1" s="808"/>
      <c r="AC1" s="808"/>
      <c r="AD1" s="808"/>
      <c r="AE1" s="808"/>
      <c r="AF1" s="80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v>
      </c>
      <c r="F4" s="756" t="str">
        <f t="shared" ref="F4:F9" ca="1" si="2">IF(D4="Pendiente","-",INDEX($BT$6:$BT$53,MATCH($AF4,$BD$6:$BD$53,0)))</f>
        <v>-</v>
      </c>
      <c r="G4" s="756"/>
      <c r="H4" s="756" t="str">
        <f t="shared" ref="H4:H9" ca="1" si="3">IF(D4="Pendiente","-",INDEX($BZ$6:$BZ$53,MATCH($AA4,$BD$6:$BD$53,0)))</f>
        <v>-</v>
      </c>
      <c r="I4" s="756" t="str">
        <f t="shared" ref="I4:I9" ca="1" si="4">IF(D4="Pendiente","-",INDEX($BZ$6:$BZ$53,MATCH($AF4,$BD$6:$BD$53,0)))</f>
        <v>-</v>
      </c>
      <c r="J4" s="756"/>
      <c r="K4" s="756" t="str">
        <f t="shared" ref="K4:K9" ca="1" si="5">IF(D4="Pendiente","-",INDEX($CE$6:$CE$53,MATCH($AA4,$BD$6:$BD$53,0)))</f>
        <v>-</v>
      </c>
      <c r="L4" s="756" t="str">
        <f t="shared" ref="L4:L9" ca="1" si="6">IF(D4="Pendiente","-",INDEX($CE$6:$CE$53,MATCH($AF4,$BD$6:$BD$53,0)))</f>
        <v>-</v>
      </c>
      <c r="M4" s="756"/>
      <c r="N4" s="756" t="str">
        <f t="shared" ref="N4:N9" ca="1" si="7">IF(D4="Pendiente","-",INDEX($CH$6:$CH$53,MATCH($AA4,$BD$6:$BD$53,0)))</f>
        <v>-</v>
      </c>
      <c r="O4" s="756" t="str">
        <f t="shared" ref="O4:O9" ca="1" si="8">IF(D4="Pendiente","-",INDEX($CH$6:$CH$53,MATCH($AF4,$BD$6:$BD$53,0)))</f>
        <v>-</v>
      </c>
      <c r="P4" s="756"/>
      <c r="Q4" s="756" t="str">
        <f t="shared" ref="Q4:Q9" ca="1" si="9">IF(D4="Pendiente","-",INDEX($CN$6:$CN$53,MATCH($AA4,$BD$6:$BD$53,0)))</f>
        <v>-</v>
      </c>
      <c r="R4" s="756" t="str">
        <f t="shared" ref="R4:R9" ca="1" si="10">IF(D4="Pendiente","-",INDEX($CN$6:$CN$53,MATCH($AF4,$BD$6:$BD$53,0)))</f>
        <v>-</v>
      </c>
      <c r="S4" s="756"/>
      <c r="T4" s="756" t="str">
        <f t="shared" ref="T4:T9" ca="1" si="11">IF(D4="Pendiente","-",INDEX($CS$6:$CS$53,MATCH($AA4,$BD$6:$BD$53,0)))</f>
        <v>-</v>
      </c>
      <c r="U4" s="756" t="str">
        <f t="shared" ref="U4:U9" ca="1" si="12">IF(D4="Pendiente","-",INDEX($CS$6:$CS$53,MATCH($AF4,$BD$6:$BD$53,0)))</f>
        <v>-</v>
      </c>
      <c r="V4" s="178"/>
      <c r="W4" s="80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v>
      </c>
      <c r="F5" s="756" t="str">
        <f t="shared" ca="1" si="2"/>
        <v>-</v>
      </c>
      <c r="G5" s="756"/>
      <c r="H5" s="756" t="str">
        <f t="shared" ca="1" si="3"/>
        <v>-</v>
      </c>
      <c r="I5" s="756" t="str">
        <f t="shared" ca="1" si="4"/>
        <v>-</v>
      </c>
      <c r="J5" s="756"/>
      <c r="K5" s="756" t="str">
        <f t="shared" ca="1" si="5"/>
        <v>-</v>
      </c>
      <c r="L5" s="756" t="str">
        <f t="shared" ca="1" si="6"/>
        <v>-</v>
      </c>
      <c r="M5" s="756"/>
      <c r="N5" s="756" t="str">
        <f t="shared" ca="1" si="7"/>
        <v>-</v>
      </c>
      <c r="O5" s="756" t="str">
        <f t="shared" ca="1" si="8"/>
        <v>-</v>
      </c>
      <c r="P5" s="756"/>
      <c r="Q5" s="756" t="str">
        <f t="shared" ca="1" si="9"/>
        <v>-</v>
      </c>
      <c r="R5" s="756" t="str">
        <f t="shared" ca="1" si="10"/>
        <v>-</v>
      </c>
      <c r="S5" s="756"/>
      <c r="T5" s="756" t="str">
        <f t="shared" ca="1" si="11"/>
        <v>-</v>
      </c>
      <c r="U5" s="756" t="str">
        <f t="shared" ca="1" si="12"/>
        <v>-</v>
      </c>
      <c r="V5" s="178"/>
      <c r="W5" s="80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v>
      </c>
      <c r="F6" s="756" t="str">
        <f t="shared" ca="1" si="2"/>
        <v>-</v>
      </c>
      <c r="G6" s="756"/>
      <c r="H6" s="756" t="str">
        <f t="shared" ca="1" si="3"/>
        <v>-</v>
      </c>
      <c r="I6" s="756" t="str">
        <f t="shared" ca="1" si="4"/>
        <v>-</v>
      </c>
      <c r="J6" s="756"/>
      <c r="K6" s="756" t="str">
        <f t="shared" ca="1" si="5"/>
        <v>-</v>
      </c>
      <c r="L6" s="756" t="str">
        <f t="shared" ca="1" si="6"/>
        <v>-</v>
      </c>
      <c r="M6" s="756"/>
      <c r="N6" s="756" t="str">
        <f t="shared" ca="1" si="7"/>
        <v>-</v>
      </c>
      <c r="O6" s="756" t="str">
        <f t="shared" ca="1" si="8"/>
        <v>-</v>
      </c>
      <c r="P6" s="756"/>
      <c r="Q6" s="756" t="str">
        <f t="shared" ca="1" si="9"/>
        <v>-</v>
      </c>
      <c r="R6" s="756" t="str">
        <f t="shared" ca="1" si="10"/>
        <v>-</v>
      </c>
      <c r="S6" s="756"/>
      <c r="T6" s="756" t="str">
        <f t="shared" ca="1" si="11"/>
        <v>-</v>
      </c>
      <c r="U6" s="756" t="str">
        <f t="shared" ca="1" si="12"/>
        <v>-</v>
      </c>
      <c r="V6" s="178"/>
      <c r="W6" s="80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9</v>
      </c>
      <c r="AN6" s="220">
        <f t="shared" ca="1" si="16"/>
        <v>3</v>
      </c>
      <c r="AO6" s="220">
        <f t="shared" ca="1" si="16"/>
        <v>3</v>
      </c>
      <c r="AP6" s="220">
        <f t="shared" ca="1" si="16"/>
        <v>0</v>
      </c>
      <c r="AQ6" s="220">
        <f t="shared" ca="1" si="16"/>
        <v>0</v>
      </c>
      <c r="AR6" s="220">
        <f t="shared" ca="1" si="16"/>
        <v>6</v>
      </c>
      <c r="AS6" s="220">
        <f t="shared" ca="1" si="16"/>
        <v>0</v>
      </c>
      <c r="AT6" s="221">
        <f t="shared" ca="1" si="16"/>
        <v>6</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9</v>
      </c>
      <c r="BF6" s="760">
        <f ca="1">+BG6+BH6+BI6</f>
        <v>3</v>
      </c>
      <c r="BG6" s="760">
        <f t="shared" ref="BG6:BG53" ca="1" si="17">+COUNTIFS(FGLocal,BD6,Ganador,"Local")+COUNTIFS(FGVisitante,BD6,Ganador,"Visitante")</f>
        <v>3</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6</v>
      </c>
      <c r="BK6" s="760">
        <f t="shared" ref="BK6:BK53" ca="1" si="21">+SUMIFS(FG_GolesLocal,FGVisitante,BD6,Ganador,"&lt;&gt;"&amp;"Pendiente",FG_GolesLocal,"&lt;&gt;"&amp;"",FG_GolesVisitante,"&lt;&gt;"&amp;"")+SUMIFS(FG_GolesVisitante,FGLocal,BD6,Ganador,"&lt;&gt;"&amp;"Pendiente",FG_GolesLocal,"&lt;&gt;"&amp;"",FG_GolesVisitante,"&lt;&gt;"&amp;"")</f>
        <v>0</v>
      </c>
      <c r="BL6" s="760">
        <f ca="1">+BJ6-BK6</f>
        <v>6</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9</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v>
      </c>
      <c r="BU6" s="770" t="str">
        <f ca="1">IF($BT6="-","-",COUNTIFS(FGLocal,$BD6,Ganador,"Local",Part1Empate1V,$BT6)+COUNTIFS(FGVisitante,$BD6,Ganador,"Visitante",Part1Empate1L,$BT6))</f>
        <v>-</v>
      </c>
      <c r="BV6" s="770" t="str">
        <f ca="1">IF($BT6="-","-",COUNTIFS(FGLocal,$BD6,Ganador,"Empate",Part1Empate1V,$BT6)+COUNTIFS(FGVisitante,$BD6,Ganador,"Empate",Part1Empate1L,$BT6))</f>
        <v>-</v>
      </c>
      <c r="BW6" s="770" t="str">
        <f ca="1">IF($BT6="-","-",COUNTIFS(FGLocal,$BD6,Ganador,"Visitante",Part1Empate1V,$BT6)+COUNTIFS(FGVisitante,$BD6,Ganador,"Local",Part1Empate1L,$BT6))</f>
        <v>-</v>
      </c>
      <c r="BX6" s="770" t="str">
        <f ca="1">IF($BT6="-","-",BU6*3+BV6)</f>
        <v>-</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v>
      </c>
      <c r="CA6" s="770" t="str">
        <f ca="1">IF($BZ6="-","-",SUMIFS(FG_GolesLocal,FGLocal,$BD6,Part1Empate2V,$BZ6)+SUMIFS(FG_GolesVisitante,FGVisitante,$BD6,Part1Empate2L,$BZ6))</f>
        <v>-</v>
      </c>
      <c r="CB6" s="770" t="str">
        <f ca="1">IF($BZ6="-","-",SUMIFS(FG_GolesVisitante,FGLocal,$BD6,Part1Empate2V,$BZ6)+SUMIFS(FG_GolesLocal,FGVisitante,$BD6,Part1Empate2L,$BZ6))</f>
        <v>-</v>
      </c>
      <c r="CC6" s="770" t="str">
        <f ca="1">IF($BZ6="-","-",CA6-CB6)</f>
        <v>-</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v>
      </c>
      <c r="CF6" s="770" t="str">
        <f ca="1">IF($CE6="-","-",SUMIFS(FG_GolesLocal,FGLocal,$BD6,Part1Empate3V,$CE6)+SUMIFS(FG_GolesVisitante,FGVisitante,$BD6,Part1Empate3L,$CE6))</f>
        <v>-</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v>
      </c>
      <c r="CI6" s="770" t="str">
        <f ca="1">IF($CH6="-","-",COUNTIFS(FGLocal,$BD6,Ganador,"Local",Part2Empate4V,$CH6)+COUNTIFS(FGVisitante,$BD6,Ganador,"Visitante",Part2Empate4L,$CH6))</f>
        <v>-</v>
      </c>
      <c r="CJ6" s="770" t="str">
        <f ca="1">IF($CH6="-","-",COUNTIFS(FGLocal,$BD6,Ganador,"Empate",Part2Empate4V,$CH6)+COUNTIFS(FGVisitante,$BD6,Ganador,"Empate",Part2Empate4L,$CH6))</f>
        <v>-</v>
      </c>
      <c r="CK6" s="770" t="str">
        <f ca="1">IF($CH6="-","-",COUNTIFS(FGLocal,$BD6,Ganador,"Visitante",Part2Empate4V,$CH6)+COUNTIFS(FGVisitante,$BD6,Ganador,"Local",Part2Empate4L,$CH6))</f>
        <v>-</v>
      </c>
      <c r="CL6" s="770" t="str">
        <f ca="1">IF($CH6="-","-",CI6*3+CJ6)</f>
        <v>-</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v>
      </c>
      <c r="CO6" s="770" t="str">
        <f ca="1">IF($CN6="-","-",SUMIFS(FG_GolesLocal,FGLocal,$BD6,Part2Empate5V,$CN6)+SUMIFS(FG_GolesVisitante,FGVisitante,$BD6,Part2Empate5L,$CN6))</f>
        <v>-</v>
      </c>
      <c r="CP6" s="770" t="str">
        <f ca="1">IF($CN6="-","-",SUMIFS(FG_GolesVisitante,FGLocal,$BD6,Part2Empate5V,$CN6)+SUMIFS(FG_GolesLocal,FGVisitante,$BD6,Part2Empate5L,$CN6))</f>
        <v>-</v>
      </c>
      <c r="CQ6" s="770" t="str">
        <f ca="1">IF($CN6="-","-",CO6-CP6)</f>
        <v>-</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v>
      </c>
      <c r="CT6" s="770" t="str">
        <f ca="1">IF($CS6="-","-",SUMIFS(FG_GolesLocal,FGLocal,$BD6,Part2Empate6V,$CS6)+SUMIFS(FG_GolesVisitante,FGVisitante,$BD6,Part2Empate6L,$CS6))</f>
        <v>-</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v>
      </c>
      <c r="CW6" s="769" t="str">
        <f ca="1">IF(CV6="-","-",BL6)</f>
        <v>-</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12</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Local</v>
      </c>
      <c r="E7" s="756" t="str">
        <f t="shared" ca="1" si="1"/>
        <v>-</v>
      </c>
      <c r="F7" s="756" t="str">
        <f t="shared" ca="1" si="2"/>
        <v>-</v>
      </c>
      <c r="G7" s="756"/>
      <c r="H7" s="756" t="str">
        <f t="shared" ca="1" si="3"/>
        <v>-</v>
      </c>
      <c r="I7" s="756" t="str">
        <f t="shared" ca="1" si="4"/>
        <v>-</v>
      </c>
      <c r="J7" s="756"/>
      <c r="K7" s="756" t="str">
        <f t="shared" ca="1" si="5"/>
        <v>-</v>
      </c>
      <c r="L7" s="756" t="str">
        <f t="shared" ca="1" si="6"/>
        <v>-</v>
      </c>
      <c r="M7" s="756"/>
      <c r="N7" s="756" t="str">
        <f t="shared" ca="1" si="7"/>
        <v>-</v>
      </c>
      <c r="O7" s="756" t="str">
        <f t="shared" ca="1" si="8"/>
        <v>-</v>
      </c>
      <c r="P7" s="756"/>
      <c r="Q7" s="756" t="str">
        <f t="shared" ca="1" si="9"/>
        <v>-</v>
      </c>
      <c r="R7" s="756" t="str">
        <f t="shared" ca="1" si="10"/>
        <v>-</v>
      </c>
      <c r="S7" s="756"/>
      <c r="T7" s="756" t="str">
        <f t="shared" ca="1" si="11"/>
        <v>-</v>
      </c>
      <c r="U7" s="756" t="str">
        <f t="shared" ca="1" si="12"/>
        <v>-</v>
      </c>
      <c r="V7" s="178"/>
      <c r="W7" s="80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1</v>
      </c>
      <c r="AH7" s="202">
        <v>28</v>
      </c>
      <c r="AI7" s="19" t="str">
        <f>AJ7&amp;$B$4</f>
        <v>2A</v>
      </c>
      <c r="AJ7" s="227">
        <v>2</v>
      </c>
      <c r="AK7" s="499" t="str" cm="1">
        <f t="array" aca="1" ref="AK7" ca="1">Ver_flag_visit</f>
        <v>🇿🇦</v>
      </c>
      <c r="AL7" s="228" t="str">
        <f ca="1">IFERROR(INDEX($BD$6:$BD$53,MATCH(AI7,$BN$6:$BN$53,0)),"")</f>
        <v>Sudáfrica</v>
      </c>
      <c r="AM7" s="229">
        <f t="shared" ca="1" si="16"/>
        <v>4</v>
      </c>
      <c r="AN7" s="230">
        <f t="shared" ca="1" si="16"/>
        <v>3</v>
      </c>
      <c r="AO7" s="230">
        <f t="shared" ca="1" si="16"/>
        <v>1</v>
      </c>
      <c r="AP7" s="230">
        <f t="shared" ca="1" si="16"/>
        <v>1</v>
      </c>
      <c r="AQ7" s="230">
        <f t="shared" ca="1" si="16"/>
        <v>1</v>
      </c>
      <c r="AR7" s="230">
        <f t="shared" ca="1" si="16"/>
        <v>2</v>
      </c>
      <c r="AS7" s="230">
        <f t="shared" ca="1" si="16"/>
        <v>3</v>
      </c>
      <c r="AT7" s="231">
        <f t="shared" ca="1" si="16"/>
        <v>-1</v>
      </c>
      <c r="AU7" s="428">
        <f ca="1">INDEX($DL$6:$DL$53,MATCH(AI7,$DP$6:$DP$53,0))</f>
        <v>1</v>
      </c>
      <c r="AV7" s="223" t="str">
        <f ca="1">INDEX($BD$6:$BD$53,MATCH(AI7,$BM$6:$BM$53,0))</f>
        <v>Sudáfrica</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4</v>
      </c>
      <c r="BF7" s="760">
        <f t="shared" ref="BF7:BF53" ca="1" si="26">+BG7+BH7+BI7</f>
        <v>3</v>
      </c>
      <c r="BG7" s="760">
        <f t="shared" ca="1" si="17"/>
        <v>1</v>
      </c>
      <c r="BH7" s="760">
        <f t="shared" ca="1" si="18"/>
        <v>1</v>
      </c>
      <c r="BI7" s="760">
        <f t="shared" ca="1" si="19"/>
        <v>1</v>
      </c>
      <c r="BJ7" s="760">
        <f t="shared" ca="1" si="20"/>
        <v>2</v>
      </c>
      <c r="BK7" s="760">
        <f t="shared" ca="1" si="21"/>
        <v>3</v>
      </c>
      <c r="BL7" s="760">
        <f t="shared" ref="BL7:BL53" ca="1" si="27">+BJ7-BK7</f>
        <v>-1</v>
      </c>
      <c r="BM7" s="760" t="str">
        <f t="shared" ca="1" si="22"/>
        <v>2A</v>
      </c>
      <c r="BN7" s="760" t="str">
        <f t="shared" ca="1" si="23"/>
        <v>2A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4</v>
      </c>
      <c r="BS7" s="769">
        <f ca="1">BP7+COUNTIFS($BQ$6:$BQ$53,BQ7,$BR$6:BR$53,"&gt;"&amp;BR7,$BC$6:$BC$53,INDEX(T_Equipos[Grupo],MATCH(BD7,T_Equipos[NombreEquipo],0)))</f>
        <v>2</v>
      </c>
      <c r="BT7" s="769" t="str">
        <f ca="1">IF(COUNTIFS($BS$6:$BS$53,BS7,$BC$6:$BC$53,INDEX(T_Equipos[Grupo],MATCH(BD7,T_Equipos[NombreEquipo],0)))=1,"-","P."&amp;BS7&amp;" ("&amp;COUNTIFS($BS$6:$BS$53,BS7,$BC$6:$BC$53,INDEX(T_Equipos[Grupo],MATCH(BD7,T_Equipos[NombreEquipo],0)))&amp;")")</f>
        <v>-</v>
      </c>
      <c r="BU7" s="770" t="str">
        <f ca="1">IF($BT7="-","-",COUNTIFS(FGLocal,$BD7,Ganador,"Local",Part1Empate1V,$BT7)+COUNTIFS(FGVisitante,$BD7,Ganador,"Visitante",Part1Empate1L,$BT7))</f>
        <v>-</v>
      </c>
      <c r="BV7" s="770" t="str">
        <f ca="1">IF($BT7="-","-",COUNTIFS(FGLocal,$BD7,Ganador,"Empate",Part1Empate1V,$BT7)+COUNTIFS(FGVisitante,$BD7,Ganador,"Empate",Part1Empate1L,$BT7))</f>
        <v>-</v>
      </c>
      <c r="BW7" s="770" t="str">
        <f ca="1">IF($BT7="-","-",COUNTIFS(FGLocal,$BD7,Ganador,"Visitante",Part1Empate1V,$BT7)+COUNTIFS(FGVisitante,$BD7,Ganador,"Local",Part1Empate1L,$BT7))</f>
        <v>-</v>
      </c>
      <c r="BX7" s="770" t="str">
        <f ca="1">IF($BT7="-","-",BU7*3+BV7)</f>
        <v>-</v>
      </c>
      <c r="BY7" s="770">
        <f ca="1">BS7+COUNTIFS($BT$6:$BT$53,BT7,$BX$6:BX$53,"&gt;"&amp;BX7,$BC$6:$BC$53,INDEX(T_Equipos[Grupo],MATCH(BD7,T_Equipos[NombreEquipo],0)))</f>
        <v>2</v>
      </c>
      <c r="BZ7" s="769" t="str">
        <f ca="1">IF(COUNTIFS($BY$6:$BY$53,BY7,$BC$6:$BC$53,INDEX(T_Equipos[Grupo],MATCH(BD7,T_Equipos[NombreEquipo],0)))=1,"-","P."&amp;BY7&amp;" ("&amp;COUNTIFS($BY$6:$BY$53,BY7,$BC$6:$BC$53,INDEX(T_Equipos[Grupo],MATCH(BD7,T_Equipos[NombreEquipo],0)))&amp;")")</f>
        <v>-</v>
      </c>
      <c r="CA7" s="770" t="str">
        <f ca="1">IF($BZ7="-","-",SUMIFS(FG_GolesLocal,FGLocal,$BD7,Part1Empate2V,$BZ7)+SUMIFS(FG_GolesVisitante,FGVisitante,$BD7,Part1Empate2L,$BZ7))</f>
        <v>-</v>
      </c>
      <c r="CB7" s="770" t="str">
        <f ca="1">IF($BZ7="-","-",SUMIFS(FG_GolesVisitante,FGLocal,$BD7,Part1Empate2V,$BZ7)+SUMIFS(FG_GolesLocal,FGVisitante,$BD7,Part1Empate2L,$BZ7))</f>
        <v>-</v>
      </c>
      <c r="CC7" s="770" t="str">
        <f ca="1">IF($BZ7="-","-",CA7-CB7)</f>
        <v>-</v>
      </c>
      <c r="CD7" s="770">
        <f ca="1">BY7+COUNTIFS($BZ$6:$BZ$53,BZ7,$CC$6:CC$53,"&gt;"&amp;CC7,$BC$6:$BC$53,INDEX(T_Equipos[Grupo],MATCH(BD7,T_Equipos[NombreEquipo],0)))</f>
        <v>2</v>
      </c>
      <c r="CE7" s="769" t="str">
        <f ca="1">IF(COUNTIFS($CD$6:$CD$53,CD7,$BC$6:$BC$53,INDEX(T_Equipos[Grupo],MATCH(BD7,T_Equipos[NombreEquipo],0)))=1,"-","P."&amp;CD7&amp;" ("&amp;COUNTIFS($CD$6:$CD$53,CD7,$BC$6:$BC$53,INDEX(T_Equipos[Grupo],MATCH(BD7,T_Equipos[NombreEquipo],0)))&amp;")")</f>
        <v>-</v>
      </c>
      <c r="CF7" s="770" t="str">
        <f ca="1">IF($CE7="-","-",SUMIFS(FG_GolesLocal,FGLocal,$BD7,Part1Empate3V,$CE7)+SUMIFS(FG_GolesVisitante,FGVisitante,$BD7,Part1Empate3L,$CE7))</f>
        <v>-</v>
      </c>
      <c r="CG7" s="770">
        <f ca="1">CD7+COUNTIFS($CE$6:$CE$53,CE7,$CF$6:CF$53,"&gt;"&amp;CF7,$BC$6:$BC$53,INDEX(T_Equipos[Grupo],MATCH(BD7,T_Equipos[NombreEquipo],0)))</f>
        <v>2</v>
      </c>
      <c r="CH7" s="769" t="str">
        <f ca="1">IF(COUNTIFS($CG$6:$CG$53,CG7,$BC$6:$BC$53,INDEX(T_Equipos[Grupo],MATCH(BD7,T_Equipos[NombreEquipo],0)))=1,"-","P."&amp;CG7&amp;" ("&amp;COUNTIFS($CG$6:$CG$53,CG7,$BC$6:$BC$53,INDEX(T_Equipos[Grupo],MATCH(BD7,T_Equipos[NombreEquipo],0)))&amp;")")</f>
        <v>-</v>
      </c>
      <c r="CI7" s="770" t="str">
        <f ca="1">IF($CH7="-","-",COUNTIFS(FGLocal,$BD7,Ganador,"Local",Part2Empate4V,$CH7)+COUNTIFS(FGVisitante,$BD7,Ganador,"Visitante",Part2Empate4L,$CH7))</f>
        <v>-</v>
      </c>
      <c r="CJ7" s="770" t="str">
        <f ca="1">IF($CH7="-","-",COUNTIFS(FGLocal,$BD7,Ganador,"Empate",Part2Empate4V,$CH7)+COUNTIFS(FGVisitante,$BD7,Ganador,"Empate",Part2Empate4L,$CH7))</f>
        <v>-</v>
      </c>
      <c r="CK7" s="770" t="str">
        <f ca="1">IF($CH7="-","-",COUNTIFS(FGLocal,$BD7,Ganador,"Visitante",Part2Empate4V,$CH7)+COUNTIFS(FGVisitante,$BD7,Ganador,"Local",Part2Empate4L,$CH7))</f>
        <v>-</v>
      </c>
      <c r="CL7" s="770" t="str">
        <f ca="1">IF($CH7="-","-",CI7*3+CJ7)</f>
        <v>-</v>
      </c>
      <c r="CM7" s="770">
        <f ca="1">CG7+COUNTIFS($CH$6:$CH$53,CH7,$CL$6:CL$53,"&gt;"&amp;CL7,$BC$6:$BC$53,INDEX(T_Equipos[Grupo],MATCH(BD7,T_Equipos[NombreEquipo],0)))</f>
        <v>2</v>
      </c>
      <c r="CN7" s="769" t="str">
        <f ca="1">IF(COUNTIFS($CM$6:$CM$53,CM7,$BC$6:$BC$53,INDEX(T_Equipos[Grupo],MATCH(BD7,T_Equipos[NombreEquipo],0)))=1,"-","P."&amp;CM7&amp;" ("&amp;COUNTIFS($CM$6:$CM$53,CM7,$BC$6:$BC$53,INDEX(T_Equipos[Grupo],MATCH(BD7,T_Equipos[NombreEquipo],0)))&amp;")")</f>
        <v>-</v>
      </c>
      <c r="CO7" s="770" t="str">
        <f ca="1">IF($CN7="-","-",SUMIFS(FG_GolesLocal,FGLocal,$BD7,Part2Empate5V,$CN7)+SUMIFS(FG_GolesVisitante,FGVisitante,$BD7,Part2Empate5L,$CN7))</f>
        <v>-</v>
      </c>
      <c r="CP7" s="770" t="str">
        <f ca="1">IF($CN7="-","-",SUMIFS(FG_GolesVisitante,FGLocal,$BD7,Part2Empate5V,$CN7)+SUMIFS(FG_GolesLocal,FGVisitante,$BD7,Part2Empate5L,$CN7))</f>
        <v>-</v>
      </c>
      <c r="CQ7" s="770" t="str">
        <f ca="1">IF($CN7="-","-",CO7-CP7)</f>
        <v>-</v>
      </c>
      <c r="CR7" s="770">
        <f ca="1">CM7+COUNTIFS($CN$6:$CN$53,CN7,$CQ$6:CQ$53,"&gt;"&amp;CQ7,$BC$6:$BC$53,INDEX(T_Equipos[Grupo],MATCH(BD7,T_Equipos[NombreEquipo],0)))</f>
        <v>2</v>
      </c>
      <c r="CS7" s="769" t="str">
        <f ca="1">IF(COUNTIFS($CR$6:$CR$53,CR7,$BC$6:$BC$53,INDEX(T_Equipos[Grupo],MATCH(BD7,T_Equipos[NombreEquipo],0)))=1,"-","P."&amp;CR7&amp;" ("&amp;COUNTIFS($CR$6:$CR$53,CR7,$BC$6:$BC$53,INDEX(T_Equipos[Grupo],MATCH(BD7,T_Equipos[NombreEquipo],0)))&amp;")")</f>
        <v>-</v>
      </c>
      <c r="CT7" s="770" t="str">
        <f ca="1">IF($CS7="-","-",SUMIFS(FG_GolesLocal,FGLocal,$BD7,Part2Empate6V,$CS7)+SUMIFS(FG_GolesVisitante,FGVisitante,$BD7,Part2Empate6L,$CS7))</f>
        <v>-</v>
      </c>
      <c r="CU7" s="770">
        <f ca="1">CR7+COUNTIFS($CS$6:$CS$53,CS7,$CT$6:CT$53,"&gt;"&amp;CT7,$BC$6:$BC$53,INDEX(T_Equipos[Grupo],MATCH(BD7,T_Equipos[NombreEquipo],0)))</f>
        <v>2</v>
      </c>
      <c r="CV7" s="769" t="str">
        <f ca="1">IF(COUNTIFS($CU$6:$CU$53,CU7,$BC$6:$BC$53,INDEX(T_Equipos[Grupo],MATCH(BD7,T_Equipos[NombreEquipo],0)))=1,"-","P."&amp;CU7&amp;" ("&amp;COUNTIFS($CU$6:$CU$53,CU7,$BC$6:$BC$53,INDEX(T_Equipos[Grupo],MATCH(BD7,T_Equipos[NombreEquipo],0)))&amp;")")</f>
        <v>-</v>
      </c>
      <c r="CW7" s="769" t="str">
        <f t="shared" ref="CW7:CW53" ca="1" si="30">IF(CV7="-","-",BL7)</f>
        <v>-</v>
      </c>
      <c r="CX7" s="769">
        <f ca="1">CU7+COUNTIFS($CV$6:$CV$53,CV7,$CW$6:CW$53,"&gt;"&amp;CW7,$BC$6:$BC$53,INDEX(T_Equipos[Grupo],MATCH(BD7,T_Equipos[NombreEquipo],0)))</f>
        <v>2</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2</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2</v>
      </c>
      <c r="DE7" s="768"/>
      <c r="DF7" s="768">
        <f t="shared" ref="DF7:DF9" ca="1" si="32">IF(OR(INDEX($AW$6:$AW$97,MATCH($BD7,$AV$6:$AV$97,0))="",DB7="-"),DD7,INDEX($AW$6:$AW$97,MATCH($BD7,$AV$6:$AV$97,0))+DD7/1000)</f>
        <v>2</v>
      </c>
      <c r="DG7" s="768" t="str">
        <f ca="1">IF(DB7="-","-",COUNTIFS(DF$6:DF$53,"&lt;"&amp;DF7,$BC$6:$BC$53,INDEX(T_Equipos[Grupo],MATCH(BD7,T_Equipos[NombreEquipo],0))))</f>
        <v>-</v>
      </c>
      <c r="DH7" s="768">
        <f ca="1">DA7+COUNTIFS(DB$6:DB$53,DB7,DG$6:DG$53,"&lt;"&amp;DG7,$BC$6:$BC$53,INDEX(T_Equipos[Grupo],MATCH(BD7,T_Equipos[NombreEquipo],0)))</f>
        <v>2</v>
      </c>
      <c r="DI7" s="756"/>
      <c r="DJ7" s="756">
        <f ca="1">INDEX($DA$6:$DA$53,MATCH($DQ7,$BD$6:$BD$53,0))</f>
        <v>2</v>
      </c>
      <c r="DK7" s="756">
        <f t="shared" ca="1" si="24"/>
        <v>12</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Sudáfrica</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Visitante</v>
      </c>
      <c r="E8" s="756" t="str">
        <f t="shared" ca="1" si="1"/>
        <v>-</v>
      </c>
      <c r="F8" s="756" t="str">
        <f t="shared" ca="1" si="2"/>
        <v>-</v>
      </c>
      <c r="G8" s="756"/>
      <c r="H8" s="756" t="str">
        <f t="shared" ca="1" si="3"/>
        <v>-</v>
      </c>
      <c r="I8" s="756" t="str">
        <f t="shared" ca="1" si="4"/>
        <v>-</v>
      </c>
      <c r="J8" s="756"/>
      <c r="K8" s="756" t="str">
        <f t="shared" ca="1" si="5"/>
        <v>-</v>
      </c>
      <c r="L8" s="756" t="str">
        <f t="shared" ca="1" si="6"/>
        <v>-</v>
      </c>
      <c r="M8" s="756"/>
      <c r="N8" s="756" t="str">
        <f t="shared" ca="1" si="7"/>
        <v>-</v>
      </c>
      <c r="O8" s="756" t="str">
        <f t="shared" ca="1" si="8"/>
        <v>-</v>
      </c>
      <c r="P8" s="756"/>
      <c r="Q8" s="756" t="str">
        <f t="shared" ca="1" si="9"/>
        <v>-</v>
      </c>
      <c r="R8" s="756" t="str">
        <f t="shared" ca="1" si="10"/>
        <v>-</v>
      </c>
      <c r="S8" s="756"/>
      <c r="T8" s="756" t="str">
        <f t="shared" ca="1" si="11"/>
        <v>-</v>
      </c>
      <c r="U8" s="756" t="str">
        <f t="shared" ca="1" si="12"/>
        <v>-</v>
      </c>
      <c r="V8" s="178"/>
      <c r="W8" s="80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1</v>
      </c>
      <c r="AH8" s="202">
        <v>53</v>
      </c>
      <c r="AI8" s="19" t="str">
        <f>AJ8&amp;$B$4</f>
        <v>3A</v>
      </c>
      <c r="AJ8" s="227">
        <v>3</v>
      </c>
      <c r="AK8" s="499" t="str" cm="1">
        <f t="array" aca="1" ref="AK8" ca="1">Ver_flag_visit</f>
        <v>🇰🇷</v>
      </c>
      <c r="AL8" s="228" t="str">
        <f ca="1">IFERROR(INDEX($BD$6:$BD$53,MATCH(AI8,$BN$6:$BN$53,0)),"")</f>
        <v>Corea del Sur</v>
      </c>
      <c r="AM8" s="229">
        <f t="shared" ca="1" si="16"/>
        <v>3</v>
      </c>
      <c r="AN8" s="230">
        <f t="shared" ca="1" si="16"/>
        <v>3</v>
      </c>
      <c r="AO8" s="230">
        <f t="shared" ca="1" si="16"/>
        <v>1</v>
      </c>
      <c r="AP8" s="230">
        <f t="shared" ca="1" si="16"/>
        <v>0</v>
      </c>
      <c r="AQ8" s="230">
        <f t="shared" ca="1" si="16"/>
        <v>2</v>
      </c>
      <c r="AR8" s="230">
        <f t="shared" ca="1" si="16"/>
        <v>2</v>
      </c>
      <c r="AS8" s="230">
        <f t="shared" ca="1" si="16"/>
        <v>3</v>
      </c>
      <c r="AT8" s="231">
        <f t="shared" ca="1" si="16"/>
        <v>-1</v>
      </c>
      <c r="AU8" s="428">
        <f ca="1">INDEX($DL$6:$DL$53,MATCH(AI8,$DP$6:$DP$53,0))</f>
        <v>1</v>
      </c>
      <c r="AV8" s="223" t="str">
        <f ca="1">INDEX($BD$6:$BD$53,MATCH(AI8,$BM$6:$BM$53,0))</f>
        <v>Corea del Sur</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3</v>
      </c>
      <c r="BG8" s="760">
        <f t="shared" ca="1" si="17"/>
        <v>1</v>
      </c>
      <c r="BH8" s="760">
        <f t="shared" ca="1" si="18"/>
        <v>0</v>
      </c>
      <c r="BI8" s="760">
        <f t="shared" ca="1" si="19"/>
        <v>2</v>
      </c>
      <c r="BJ8" s="760">
        <f t="shared" ca="1" si="20"/>
        <v>2</v>
      </c>
      <c r="BK8" s="760">
        <f t="shared" ca="1" si="21"/>
        <v>3</v>
      </c>
      <c r="BL8" s="760">
        <f t="shared" ca="1" si="27"/>
        <v>-1</v>
      </c>
      <c r="BM8" s="760" t="str">
        <f t="shared" ca="1" si="22"/>
        <v>3A</v>
      </c>
      <c r="BN8" s="760" t="str">
        <f t="shared" ca="1" si="23"/>
        <v>3A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3</v>
      </c>
      <c r="BT8" s="769" t="str">
        <f ca="1">IF(COUNTIFS($BS$6:$BS$53,BS8,$BC$6:$BC$53,INDEX(T_Equipos[Grupo],MATCH(BD8,T_Equipos[NombreEquipo],0)))=1,"-","P."&amp;BS8&amp;" ("&amp;COUNTIFS($BS$6:$BS$53,BS8,$BC$6:$BC$53,INDEX(T_Equipos[Grupo],MATCH(BD8,T_Equipos[NombreEquipo],0)))&amp;")")</f>
        <v>-</v>
      </c>
      <c r="BU8" s="770" t="str">
        <f ca="1">IF($BT8="-","-",COUNTIFS(FGLocal,$BD8,Ganador,"Local",Part1Empate1V,$BT8)+COUNTIFS(FGVisitante,$BD8,Ganador,"Visitante",Part1Empate1L,$BT8))</f>
        <v>-</v>
      </c>
      <c r="BV8" s="770" t="str">
        <f ca="1">IF($BT8="-","-",COUNTIFS(FGLocal,$BD8,Ganador,"Empate",Part1Empate1V,$BT8)+COUNTIFS(FGVisitante,$BD8,Ganador,"Empate",Part1Empate1L,$BT8))</f>
        <v>-</v>
      </c>
      <c r="BW8" s="770" t="str">
        <f ca="1">IF($BT8="-","-",COUNTIFS(FGLocal,$BD8,Ganador,"Visitante",Part1Empate1V,$BT8)+COUNTIFS(FGVisitante,$BD8,Ganador,"Local",Part1Empate1L,$BT8))</f>
        <v>-</v>
      </c>
      <c r="BX8" s="770" t="str">
        <f ca="1">IF($BT8="-","-",BU8*3+BV8)</f>
        <v>-</v>
      </c>
      <c r="BY8" s="770">
        <f ca="1">BS8+COUNTIFS($BT$6:$BT$53,BT8,$BX$6:BX$53,"&gt;"&amp;BX8,$BC$6:$BC$53,INDEX(T_Equipos[Grupo],MATCH(BD8,T_Equipos[NombreEquipo],0)))</f>
        <v>3</v>
      </c>
      <c r="BZ8" s="769" t="str">
        <f ca="1">IF(COUNTIFS($BY$6:$BY$53,BY8,$BC$6:$BC$53,INDEX(T_Equipos[Grupo],MATCH(BD8,T_Equipos[NombreEquipo],0)))=1,"-","P."&amp;BY8&amp;" ("&amp;COUNTIFS($BY$6:$BY$53,BY8,$BC$6:$BC$53,INDEX(T_Equipos[Grupo],MATCH(BD8,T_Equipos[NombreEquipo],0)))&amp;")")</f>
        <v>-</v>
      </c>
      <c r="CA8" s="770" t="str">
        <f ca="1">IF($BZ8="-","-",SUMIFS(FG_GolesLocal,FGLocal,$BD8,Part1Empate2V,$BZ8)+SUMIFS(FG_GolesVisitante,FGVisitante,$BD8,Part1Empate2L,$BZ8))</f>
        <v>-</v>
      </c>
      <c r="CB8" s="770" t="str">
        <f ca="1">IF($BZ8="-","-",SUMIFS(FG_GolesVisitante,FGLocal,$BD8,Part1Empate2V,$BZ8)+SUMIFS(FG_GolesLocal,FGVisitante,$BD8,Part1Empate2L,$BZ8))</f>
        <v>-</v>
      </c>
      <c r="CC8" s="770" t="str">
        <f ca="1">IF($BZ8="-","-",CA8-CB8)</f>
        <v>-</v>
      </c>
      <c r="CD8" s="770">
        <f ca="1">BY8+COUNTIFS($BZ$6:$BZ$53,BZ8,$CC$6:CC$53,"&gt;"&amp;CC8,$BC$6:$BC$53,INDEX(T_Equipos[Grupo],MATCH(BD8,T_Equipos[NombreEquipo],0)))</f>
        <v>3</v>
      </c>
      <c r="CE8" s="769" t="str">
        <f ca="1">IF(COUNTIFS($CD$6:$CD$53,CD8,$BC$6:$BC$53,INDEX(T_Equipos[Grupo],MATCH(BD8,T_Equipos[NombreEquipo],0)))=1,"-","P."&amp;CD8&amp;" ("&amp;COUNTIFS($CD$6:$CD$53,CD8,$BC$6:$BC$53,INDEX(T_Equipos[Grupo],MATCH(BD8,T_Equipos[NombreEquipo],0)))&amp;")")</f>
        <v>-</v>
      </c>
      <c r="CF8" s="770" t="str">
        <f ca="1">IF($CE8="-","-",SUMIFS(FG_GolesLocal,FGLocal,$BD8,Part1Empate3V,$CE8)+SUMIFS(FG_GolesVisitante,FGVisitante,$BD8,Part1Empate3L,$CE8))</f>
        <v>-</v>
      </c>
      <c r="CG8" s="770">
        <f ca="1">CD8+COUNTIFS($CE$6:$CE$53,CE8,$CF$6:CF$53,"&gt;"&amp;CF8,$BC$6:$BC$53,INDEX(T_Equipos[Grupo],MATCH(BD8,T_Equipos[NombreEquipo],0)))</f>
        <v>3</v>
      </c>
      <c r="CH8" s="769" t="str">
        <f ca="1">IF(COUNTIFS($CG$6:$CG$53,CG8,$BC$6:$BC$53,INDEX(T_Equipos[Grupo],MATCH(BD8,T_Equipos[NombreEquipo],0)))=1,"-","P."&amp;CG8&amp;" ("&amp;COUNTIFS($CG$6:$CG$53,CG8,$BC$6:$BC$53,INDEX(T_Equipos[Grupo],MATCH(BD8,T_Equipos[NombreEquipo],0)))&amp;")")</f>
        <v>-</v>
      </c>
      <c r="CI8" s="770" t="str">
        <f ca="1">IF($CH8="-","-",COUNTIFS(FGLocal,$BD8,Ganador,"Local",Part2Empate4V,$CH8)+COUNTIFS(FGVisitante,$BD8,Ganador,"Visitante",Part2Empate4L,$CH8))</f>
        <v>-</v>
      </c>
      <c r="CJ8" s="770" t="str">
        <f ca="1">IF($CH8="-","-",COUNTIFS(FGLocal,$BD8,Ganador,"Empate",Part2Empate4V,$CH8)+COUNTIFS(FGVisitante,$BD8,Ganador,"Empate",Part2Empate4L,$CH8))</f>
        <v>-</v>
      </c>
      <c r="CK8" s="770" t="str">
        <f ca="1">IF($CH8="-","-",COUNTIFS(FGLocal,$BD8,Ganador,"Visitante",Part2Empate4V,$CH8)+COUNTIFS(FGVisitante,$BD8,Ganador,"Local",Part2Empate4L,$CH8))</f>
        <v>-</v>
      </c>
      <c r="CL8" s="770" t="str">
        <f ca="1">IF($CH8="-","-",CI8*3+CJ8)</f>
        <v>-</v>
      </c>
      <c r="CM8" s="770">
        <f ca="1">CG8+COUNTIFS($CH$6:$CH$53,CH8,$CL$6:CL$53,"&gt;"&amp;CL8,$BC$6:$BC$53,INDEX(T_Equipos[Grupo],MATCH(BD8,T_Equipos[NombreEquipo],0)))</f>
        <v>3</v>
      </c>
      <c r="CN8" s="769" t="str">
        <f ca="1">IF(COUNTIFS($CM$6:$CM$53,CM8,$BC$6:$BC$53,INDEX(T_Equipos[Grupo],MATCH(BD8,T_Equipos[NombreEquipo],0)))=1,"-","P."&amp;CM8&amp;" ("&amp;COUNTIFS($CM$6:$CM$53,CM8,$BC$6:$BC$53,INDEX(T_Equipos[Grupo],MATCH(BD8,T_Equipos[NombreEquipo],0)))&amp;")")</f>
        <v>-</v>
      </c>
      <c r="CO8" s="770" t="str">
        <f ca="1">IF($CN8="-","-",SUMIFS(FG_GolesLocal,FGLocal,$BD8,Part2Empate5V,$CN8)+SUMIFS(FG_GolesVisitante,FGVisitante,$BD8,Part2Empate5L,$CN8))</f>
        <v>-</v>
      </c>
      <c r="CP8" s="770" t="str">
        <f ca="1">IF($CN8="-","-",SUMIFS(FG_GolesVisitante,FGLocal,$BD8,Part2Empate5V,$CN8)+SUMIFS(FG_GolesLocal,FGVisitante,$BD8,Part2Empate5L,$CN8))</f>
        <v>-</v>
      </c>
      <c r="CQ8" s="770" t="str">
        <f ca="1">IF($CN8="-","-",CO8-CP8)</f>
        <v>-</v>
      </c>
      <c r="CR8" s="770">
        <f ca="1">CM8+COUNTIFS($CN$6:$CN$53,CN8,$CQ$6:CQ$53,"&gt;"&amp;CQ8,$BC$6:$BC$53,INDEX(T_Equipos[Grupo],MATCH(BD8,T_Equipos[NombreEquipo],0)))</f>
        <v>3</v>
      </c>
      <c r="CS8" s="769" t="str">
        <f ca="1">IF(COUNTIFS($CR$6:$CR$53,CR8,$BC$6:$BC$53,INDEX(T_Equipos[Grupo],MATCH(BD8,T_Equipos[NombreEquipo],0)))=1,"-","P."&amp;CR8&amp;" ("&amp;COUNTIFS($CR$6:$CR$53,CR8,$BC$6:$BC$53,INDEX(T_Equipos[Grupo],MATCH(BD8,T_Equipos[NombreEquipo],0)))&amp;")")</f>
        <v>-</v>
      </c>
      <c r="CT8" s="770" t="str">
        <f ca="1">IF($CS8="-","-",SUMIFS(FG_GolesLocal,FGLocal,$BD8,Part2Empate6V,$CS8)+SUMIFS(FG_GolesVisitante,FGVisitante,$BD8,Part2Empate6L,$CS8))</f>
        <v>-</v>
      </c>
      <c r="CU8" s="770">
        <f ca="1">CR8+COUNTIFS($CS$6:$CS$53,CS8,$CT$6:CT$53,"&gt;"&amp;CT8,$BC$6:$BC$53,INDEX(T_Equipos[Grupo],MATCH(BD8,T_Equipos[NombreEquipo],0)))</f>
        <v>3</v>
      </c>
      <c r="CV8" s="769" t="str">
        <f ca="1">IF(COUNTIFS($CU$6:$CU$53,CU8,$BC$6:$BC$53,INDEX(T_Equipos[Grupo],MATCH(BD8,T_Equipos[NombreEquipo],0)))=1,"-","P."&amp;CU8&amp;" ("&amp;COUNTIFS($CU$6:$CU$53,CU8,$BC$6:$BC$53,INDEX(T_Equipos[Grupo],MATCH(BD8,T_Equipos[NombreEquipo],0)))&amp;")")</f>
        <v>-</v>
      </c>
      <c r="CW8" s="769" t="str">
        <f t="shared" ca="1" si="30"/>
        <v>-</v>
      </c>
      <c r="CX8" s="769">
        <f ca="1">CU8+COUNTIFS($CV$6:$CV$53,CV8,$CW$6:CW$53,"&gt;"&amp;CW8,$BC$6:$BC$53,INDEX(T_Equipos[Grupo],MATCH(BD8,T_Equipos[NombreEquipo],0)))</f>
        <v>3</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3</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3</v>
      </c>
      <c r="DE8" s="768"/>
      <c r="DF8" s="768">
        <f t="shared" ca="1" si="32"/>
        <v>3</v>
      </c>
      <c r="DG8" s="768" t="str">
        <f ca="1">IF(DB8="-","-",COUNTIFS(DF$6:DF$53,"&lt;"&amp;DF8,$BC$6:$BC$53,INDEX(T_Equipos[Grupo],MATCH(BD8,T_Equipos[NombreEquipo],0))))</f>
        <v>-</v>
      </c>
      <c r="DH8" s="768">
        <f ca="1">DA8+COUNTIFS(DB$6:DB$53,DB8,DG$6:DG$53,"&lt;"&amp;DG8,$BC$6:$BC$53,INDEX(T_Equipos[Grupo],MATCH(BD8,T_Equipos[NombreEquipo],0)))</f>
        <v>3</v>
      </c>
      <c r="DI8" s="756"/>
      <c r="DJ8" s="756">
        <f ca="1">INDEX($DA$6:$DA$53,MATCH($DQ8,$BD$6:$BD$53,0))</f>
        <v>3</v>
      </c>
      <c r="DK8" s="756">
        <f t="shared" ca="1" si="24"/>
        <v>12</v>
      </c>
      <c r="DL8" s="756">
        <f t="shared" ca="1" si="33"/>
        <v>1</v>
      </c>
      <c r="DM8" s="750" t="str">
        <f t="shared" ca="1" si="34"/>
        <v>3.1</v>
      </c>
      <c r="DN8" s="756" cm="1">
        <f t="array" aca="1" ref="DN8" ca="1">OFFSET(Horarios!$P$3,DJ8-1,0,DL8,1)</f>
        <v>3</v>
      </c>
      <c r="DO8" s="756"/>
      <c r="DP8" s="756" t="s">
        <v>89</v>
      </c>
      <c r="DQ8" s="756" t="str">
        <f t="shared" ca="1" si="35"/>
        <v>Corea del Sur</v>
      </c>
      <c r="DR8" s="756"/>
      <c r="DS8" s="756"/>
      <c r="DT8" s="756" t="str">
        <f t="shared" ca="1" si="15"/>
        <v>República Checa-México</v>
      </c>
      <c r="DU8" s="756"/>
      <c r="DV8" s="756"/>
      <c r="DW8" s="8"/>
    </row>
    <row r="9" spans="1:127" ht="18" customHeight="1" thickBot="1" x14ac:dyDescent="0.25">
      <c r="A9" s="751"/>
      <c r="B9" s="754"/>
      <c r="C9" s="751"/>
      <c r="D9" s="756" t="str">
        <f t="shared" si="0"/>
        <v>Local</v>
      </c>
      <c r="E9" s="756" t="str">
        <f t="shared" ca="1" si="1"/>
        <v>-</v>
      </c>
      <c r="F9" s="756" t="str">
        <f t="shared" ca="1" si="2"/>
        <v>-</v>
      </c>
      <c r="G9" s="756"/>
      <c r="H9" s="756" t="str">
        <f t="shared" ca="1" si="3"/>
        <v>-</v>
      </c>
      <c r="I9" s="756" t="str">
        <f t="shared" ca="1" si="4"/>
        <v>-</v>
      </c>
      <c r="J9" s="756"/>
      <c r="K9" s="756" t="str">
        <f t="shared" ca="1" si="5"/>
        <v>-</v>
      </c>
      <c r="L9" s="756" t="str">
        <f t="shared" ca="1" si="6"/>
        <v>-</v>
      </c>
      <c r="M9" s="756"/>
      <c r="N9" s="756" t="str">
        <f t="shared" ca="1" si="7"/>
        <v>-</v>
      </c>
      <c r="O9" s="756" t="str">
        <f t="shared" ca="1" si="8"/>
        <v>-</v>
      </c>
      <c r="P9" s="756"/>
      <c r="Q9" s="756" t="str">
        <f t="shared" ca="1" si="9"/>
        <v>-</v>
      </c>
      <c r="R9" s="756" t="str">
        <f t="shared" ca="1" si="10"/>
        <v>-</v>
      </c>
      <c r="S9" s="756"/>
      <c r="T9" s="756" t="str">
        <f t="shared" ca="1" si="11"/>
        <v>-</v>
      </c>
      <c r="U9" s="756" t="str">
        <f t="shared" ca="1" si="12"/>
        <v>-</v>
      </c>
      <c r="V9" s="178"/>
      <c r="W9" s="80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1</v>
      </c>
      <c r="AH9" s="202">
        <v>54</v>
      </c>
      <c r="AI9" s="19" t="str">
        <f>AJ9&amp;$B$4</f>
        <v>4A</v>
      </c>
      <c r="AJ9" s="241">
        <v>4</v>
      </c>
      <c r="AK9" s="500" t="str" cm="1">
        <f t="array" aca="1" ref="AK9" ca="1">Ver_flag_visit</f>
        <v>🇨🇿</v>
      </c>
      <c r="AL9" s="242" t="str">
        <f ca="1">IFERROR(INDEX($BD$6:$BD$53,MATCH(AI9,$BN$6:$BN$53,0)),"")</f>
        <v>República Checa</v>
      </c>
      <c r="AM9" s="243">
        <f t="shared" ca="1" si="16"/>
        <v>1</v>
      </c>
      <c r="AN9" s="244">
        <f t="shared" ca="1" si="16"/>
        <v>3</v>
      </c>
      <c r="AO9" s="244">
        <f t="shared" ca="1" si="16"/>
        <v>0</v>
      </c>
      <c r="AP9" s="244">
        <f t="shared" ca="1" si="16"/>
        <v>1</v>
      </c>
      <c r="AQ9" s="244">
        <f t="shared" ca="1" si="16"/>
        <v>2</v>
      </c>
      <c r="AR9" s="244">
        <f t="shared" ca="1" si="16"/>
        <v>2</v>
      </c>
      <c r="AS9" s="244">
        <f t="shared" ca="1" si="16"/>
        <v>6</v>
      </c>
      <c r="AT9" s="245">
        <f t="shared" ca="1" si="16"/>
        <v>-4</v>
      </c>
      <c r="AU9" s="428">
        <f ca="1">INDEX($DL$6:$DL$53,MATCH(AI9,$DP$6:$DP$53,0))</f>
        <v>1</v>
      </c>
      <c r="AV9" s="223" t="str">
        <f ca="1">INDEX($BD$6:$BD$53,MATCH(AI9,$BM$6:$BM$53,0))</f>
        <v>República Checa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3</v>
      </c>
      <c r="BG9" s="760">
        <f t="shared" ca="1" si="17"/>
        <v>0</v>
      </c>
      <c r="BH9" s="760">
        <f t="shared" ca="1" si="18"/>
        <v>1</v>
      </c>
      <c r="BI9" s="760">
        <f t="shared" ca="1" si="19"/>
        <v>2</v>
      </c>
      <c r="BJ9" s="760">
        <f t="shared" ca="1" si="20"/>
        <v>2</v>
      </c>
      <c r="BK9" s="760">
        <f t="shared" ca="1" si="21"/>
        <v>6</v>
      </c>
      <c r="BL9" s="760">
        <f t="shared" ca="1" si="27"/>
        <v>-4</v>
      </c>
      <c r="BM9" s="760" t="str">
        <f t="shared" ca="1" si="22"/>
        <v>4A</v>
      </c>
      <c r="BN9" s="760" t="str">
        <f t="shared" ca="1" si="23"/>
        <v>4A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4</v>
      </c>
      <c r="BT9" s="769" t="str">
        <f ca="1">IF(COUNTIFS($BS$6:$BS$53,BS9,$BC$6:$BC$53,INDEX(T_Equipos[Grupo],MATCH(BD9,T_Equipos[NombreEquipo],0)))=1,"-","P."&amp;BS9&amp;" ("&amp;COUNTIFS($BS$6:$BS$53,BS9,$BC$6:$BC$53,INDEX(T_Equipos[Grupo],MATCH(BD9,T_Equipos[NombreEquipo],0)))&amp;")")</f>
        <v>-</v>
      </c>
      <c r="BU9" s="770" t="str">
        <f ca="1">IF($BT9="-","-",COUNTIFS(FGLocal,$BD9,Ganador,"Local",Part1Empate1V,$BT9)+COUNTIFS(FGVisitante,$BD9,Ganador,"Visitante",Part1Empate1L,$BT9))</f>
        <v>-</v>
      </c>
      <c r="BV9" s="770" t="str">
        <f ca="1">IF($BT9="-","-",COUNTIFS(FGLocal,$BD9,Ganador,"Empate",Part1Empate1V,$BT9)+COUNTIFS(FGVisitante,$BD9,Ganador,"Empate",Part1Empate1L,$BT9))</f>
        <v>-</v>
      </c>
      <c r="BW9" s="770" t="str">
        <f ca="1">IF($BT9="-","-",COUNTIFS(FGLocal,$BD9,Ganador,"Visitante",Part1Empate1V,$BT9)+COUNTIFS(FGVisitante,$BD9,Ganador,"Local",Part1Empate1L,$BT9))</f>
        <v>-</v>
      </c>
      <c r="BX9" s="770" t="str">
        <f ca="1">IF($BT9="-","-",BU9*3+BV9)</f>
        <v>-</v>
      </c>
      <c r="BY9" s="770">
        <f ca="1">BS9+COUNTIFS($BT$6:$BT$53,BT9,$BX$6:BX$53,"&gt;"&amp;BX9,$BC$6:$BC$53,INDEX(T_Equipos[Grupo],MATCH(BD9,T_Equipos[NombreEquipo],0)))</f>
        <v>4</v>
      </c>
      <c r="BZ9" s="769" t="str">
        <f ca="1">IF(COUNTIFS($BY$6:$BY$53,BY9,$BC$6:$BC$53,INDEX(T_Equipos[Grupo],MATCH(BD9,T_Equipos[NombreEquipo],0)))=1,"-","P."&amp;BY9&amp;" ("&amp;COUNTIFS($BY$6:$BY$53,BY9,$BC$6:$BC$53,INDEX(T_Equipos[Grupo],MATCH(BD9,T_Equipos[NombreEquipo],0)))&amp;")")</f>
        <v>-</v>
      </c>
      <c r="CA9" s="770" t="str">
        <f ca="1">IF($BZ9="-","-",SUMIFS(FG_GolesLocal,FGLocal,$BD9,Part1Empate2V,$BZ9)+SUMIFS(FG_GolesVisitante,FGVisitante,$BD9,Part1Empate2L,$BZ9))</f>
        <v>-</v>
      </c>
      <c r="CB9" s="770" t="str">
        <f ca="1">IF($BZ9="-","-",SUMIFS(FG_GolesVisitante,FGLocal,$BD9,Part1Empate2V,$BZ9)+SUMIFS(FG_GolesLocal,FGVisitante,$BD9,Part1Empate2L,$BZ9))</f>
        <v>-</v>
      </c>
      <c r="CC9" s="770" t="str">
        <f ca="1">IF($BZ9="-","-",CA9-CB9)</f>
        <v>-</v>
      </c>
      <c r="CD9" s="770">
        <f ca="1">BY9+COUNTIFS($BZ$6:$BZ$53,BZ9,$CC$6:CC$53,"&gt;"&amp;CC9,$BC$6:$BC$53,INDEX(T_Equipos[Grupo],MATCH(BD9,T_Equipos[NombreEquipo],0)))</f>
        <v>4</v>
      </c>
      <c r="CE9" s="769" t="str">
        <f ca="1">IF(COUNTIFS($CD$6:$CD$53,CD9,$BC$6:$BC$53,INDEX(T_Equipos[Grupo],MATCH(BD9,T_Equipos[NombreEquipo],0)))=1,"-","P."&amp;CD9&amp;" ("&amp;COUNTIFS($CD$6:$CD$53,CD9,$BC$6:$BC$53,INDEX(T_Equipos[Grupo],MATCH(BD9,T_Equipos[NombreEquipo],0)))&amp;")")</f>
        <v>-</v>
      </c>
      <c r="CF9" s="770" t="str">
        <f ca="1">IF($CE9="-","-",SUMIFS(FG_GolesLocal,FGLocal,$BD9,Part1Empate3V,$CE9)+SUMIFS(FG_GolesVisitante,FGVisitante,$BD9,Part1Empate3L,$CE9))</f>
        <v>-</v>
      </c>
      <c r="CG9" s="770">
        <f ca="1">CD9+COUNTIFS($CE$6:$CE$53,CE9,$CF$6:CF$53,"&gt;"&amp;CF9,$BC$6:$BC$53,INDEX(T_Equipos[Grupo],MATCH(BD9,T_Equipos[NombreEquipo],0)))</f>
        <v>4</v>
      </c>
      <c r="CH9" s="769" t="str">
        <f ca="1">IF(COUNTIFS($CG$6:$CG$53,CG9,$BC$6:$BC$53,INDEX(T_Equipos[Grupo],MATCH(BD9,T_Equipos[NombreEquipo],0)))=1,"-","P."&amp;CG9&amp;" ("&amp;COUNTIFS($CG$6:$CG$53,CG9,$BC$6:$BC$53,INDEX(T_Equipos[Grupo],MATCH(BD9,T_Equipos[NombreEquipo],0)))&amp;")")</f>
        <v>-</v>
      </c>
      <c r="CI9" s="770" t="str">
        <f ca="1">IF($CH9="-","-",COUNTIFS(FGLocal,$BD9,Ganador,"Local",Part2Empate4V,$CH9)+COUNTIFS(FGVisitante,$BD9,Ganador,"Visitante",Part2Empate4L,$CH9))</f>
        <v>-</v>
      </c>
      <c r="CJ9" s="770" t="str">
        <f ca="1">IF($CH9="-","-",COUNTIFS(FGLocal,$BD9,Ganador,"Empate",Part2Empate4V,$CH9)+COUNTIFS(FGVisitante,$BD9,Ganador,"Empate",Part2Empate4L,$CH9))</f>
        <v>-</v>
      </c>
      <c r="CK9" s="770" t="str">
        <f ca="1">IF($CH9="-","-",COUNTIFS(FGLocal,$BD9,Ganador,"Visitante",Part2Empate4V,$CH9)+COUNTIFS(FGVisitante,$BD9,Ganador,"Local",Part2Empate4L,$CH9))</f>
        <v>-</v>
      </c>
      <c r="CL9" s="770" t="str">
        <f ca="1">IF($CH9="-","-",CI9*3+CJ9)</f>
        <v>-</v>
      </c>
      <c r="CM9" s="770">
        <f ca="1">CG9+COUNTIFS($CH$6:$CH$53,CH9,$CL$6:CL$53,"&gt;"&amp;CL9,$BC$6:$BC$53,INDEX(T_Equipos[Grupo],MATCH(BD9,T_Equipos[NombreEquipo],0)))</f>
        <v>4</v>
      </c>
      <c r="CN9" s="769" t="str">
        <f ca="1">IF(COUNTIFS($CM$6:$CM$53,CM9,$BC$6:$BC$53,INDEX(T_Equipos[Grupo],MATCH(BD9,T_Equipos[NombreEquipo],0)))=1,"-","P."&amp;CM9&amp;" ("&amp;COUNTIFS($CM$6:$CM$53,CM9,$BC$6:$BC$53,INDEX(T_Equipos[Grupo],MATCH(BD9,T_Equipos[NombreEquipo],0)))&amp;")")</f>
        <v>-</v>
      </c>
      <c r="CO9" s="770" t="str">
        <f ca="1">IF($CN9="-","-",SUMIFS(FG_GolesLocal,FGLocal,$BD9,Part2Empate5V,$CN9)+SUMIFS(FG_GolesVisitante,FGVisitante,$BD9,Part2Empate5L,$CN9))</f>
        <v>-</v>
      </c>
      <c r="CP9" s="770" t="str">
        <f ca="1">IF($CN9="-","-",SUMIFS(FG_GolesVisitante,FGLocal,$BD9,Part2Empate5V,$CN9)+SUMIFS(FG_GolesLocal,FGVisitante,$BD9,Part2Empate5L,$CN9))</f>
        <v>-</v>
      </c>
      <c r="CQ9" s="770" t="str">
        <f ca="1">IF($CN9="-","-",CO9-CP9)</f>
        <v>-</v>
      </c>
      <c r="CR9" s="770">
        <f ca="1">CM9+COUNTIFS($CN$6:$CN$53,CN9,$CQ$6:CQ$53,"&gt;"&amp;CQ9,$BC$6:$BC$53,INDEX(T_Equipos[Grupo],MATCH(BD9,T_Equipos[NombreEquipo],0)))</f>
        <v>4</v>
      </c>
      <c r="CS9" s="769" t="str">
        <f ca="1">IF(COUNTIFS($CR$6:$CR$53,CR9,$BC$6:$BC$53,INDEX(T_Equipos[Grupo],MATCH(BD9,T_Equipos[NombreEquipo],0)))=1,"-","P."&amp;CR9&amp;" ("&amp;COUNTIFS($CR$6:$CR$53,CR9,$BC$6:$BC$53,INDEX(T_Equipos[Grupo],MATCH(BD9,T_Equipos[NombreEquipo],0)))&amp;")")</f>
        <v>-</v>
      </c>
      <c r="CT9" s="770" t="str">
        <f ca="1">IF($CS9="-","-",SUMIFS(FG_GolesLocal,FGLocal,$BD9,Part2Empate6V,$CS9)+SUMIFS(FG_GolesVisitante,FGVisitante,$BD9,Part2Empate6L,$CS9))</f>
        <v>-</v>
      </c>
      <c r="CU9" s="770">
        <f ca="1">CR9+COUNTIFS($CS$6:$CS$53,CS9,$CT$6:CT$53,"&gt;"&amp;CT9,$BC$6:$BC$53,INDEX(T_Equipos[Grupo],MATCH(BD9,T_Equipos[NombreEquipo],0)))</f>
        <v>4</v>
      </c>
      <c r="CV9" s="769" t="str">
        <f ca="1">IF(COUNTIFS($CU$6:$CU$53,CU9,$BC$6:$BC$53,INDEX(T_Equipos[Grupo],MATCH(BD9,T_Equipos[NombreEquipo],0)))=1,"-","P."&amp;CU9&amp;" ("&amp;COUNTIFS($CU$6:$CU$53,CU9,$BC$6:$BC$53,INDEX(T_Equipos[Grupo],MATCH(BD9,T_Equipos[NombreEquipo],0)))&amp;")")</f>
        <v>-</v>
      </c>
      <c r="CW9" s="769" t="str">
        <f t="shared" ca="1" si="30"/>
        <v>-</v>
      </c>
      <c r="CX9" s="769">
        <f ca="1">CU9+COUNTIFS($CV$6:$CV$53,CV9,$CW$6:CW$53,"&gt;"&amp;CW9,$BC$6:$BC$53,INDEX(T_Equipos[Grupo],MATCH(BD9,T_Equipos[NombreEquipo],0)))</f>
        <v>4</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4</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4</v>
      </c>
      <c r="DE9" s="768"/>
      <c r="DF9" s="768">
        <f t="shared" ca="1" si="32"/>
        <v>4</v>
      </c>
      <c r="DG9" s="768" t="str">
        <f ca="1">IF(DB9="-","-",COUNTIFS(DF$6:DF$53,"&lt;"&amp;DF9,$BC$6:$BC$53,INDEX(T_Equipos[Grupo],MATCH(BD9,T_Equipos[NombreEquipo],0))))</f>
        <v>-</v>
      </c>
      <c r="DH9" s="768">
        <f ca="1">DA9+COUNTIFS(DB$6:DB$53,DB9,DG$6:DG$53,"&lt;"&amp;DG9,$BC$6:$BC$53,INDEX(T_Equipos[Grupo],MATCH(BD9,T_Equipos[NombreEquipo],0)))</f>
        <v>4</v>
      </c>
      <c r="DI9" s="756"/>
      <c r="DJ9" s="756">
        <f ca="1">INDEX($DA$6:$DA$53,MATCH($DQ9,$BD$6:$BD$53,0))</f>
        <v>4</v>
      </c>
      <c r="DK9" s="756">
        <f t="shared" ca="1" si="24"/>
        <v>12</v>
      </c>
      <c r="DL9" s="756">
        <f t="shared" ca="1" si="33"/>
        <v>1</v>
      </c>
      <c r="DM9" s="750" t="str">
        <f t="shared" ca="1" si="34"/>
        <v>4.1</v>
      </c>
      <c r="DN9" s="756" cm="1">
        <f t="array" aca="1" ref="DN9" ca="1">OFFSET(Horarios!$P$3,DJ9-1,0,DL9,1)</f>
        <v>4</v>
      </c>
      <c r="DO9" s="756"/>
      <c r="DP9" s="756" t="s">
        <v>647</v>
      </c>
      <c r="DQ9" s="756" t="str">
        <f t="shared" ca="1" si="35"/>
        <v>República Checa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4</v>
      </c>
      <c r="BF10" s="760">
        <f t="shared" ca="1" si="26"/>
        <v>3</v>
      </c>
      <c r="BG10" s="760">
        <f t="shared" ca="1" si="17"/>
        <v>1</v>
      </c>
      <c r="BH10" s="760">
        <f t="shared" ca="1" si="18"/>
        <v>1</v>
      </c>
      <c r="BI10" s="760">
        <f t="shared" ca="1" si="19"/>
        <v>1</v>
      </c>
      <c r="BJ10" s="760">
        <f t="shared" ca="1" si="20"/>
        <v>8</v>
      </c>
      <c r="BK10" s="760">
        <f t="shared" ca="1" si="21"/>
        <v>3</v>
      </c>
      <c r="BL10" s="760">
        <f t="shared" ca="1" si="27"/>
        <v>5</v>
      </c>
      <c r="BM10" s="760" t="str">
        <f t="shared" ca="1" si="22"/>
        <v>2B</v>
      </c>
      <c r="BN10" s="760" t="str">
        <f t="shared" ca="1" si="23"/>
        <v>2B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4</v>
      </c>
      <c r="BS10" s="769">
        <f ca="1">BP10+COUNTIFS($BQ$6:$BQ$53,BQ10,$BR$6:BR$53,"&gt;"&amp;BR10,$BC$6:$BC$53,INDEX(T_Equipos[Grupo],MATCH(BD10,T_Equipos[NombreEquipo],0)))</f>
        <v>2</v>
      </c>
      <c r="BT10" s="769" t="str">
        <f ca="1">IF(COUNTIFS($BS$6:$BS$53,BS10,$BC$6:$BC$53,INDEX(T_Equipos[Grupo],MATCH(BD10,T_Equipos[NombreEquipo],0)))=1,"-","P."&amp;BS10&amp;" ("&amp;COUNTIFS($BS$6:$BS$53,BS10,$BC$6:$BC$53,INDEX(T_Equipos[Grupo],MATCH(BD10,T_Equipos[NombreEquipo],0)))&amp;")")</f>
        <v>P.2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2</v>
      </c>
      <c r="BZ10" s="769" t="str">
        <f ca="1">IF(COUNTIFS($BY$6:$BY$53,BY10,$BC$6:$BC$53,INDEX(T_Equipos[Grupo],MATCH(BD10,T_Equipos[NombreEquipo],0)))=1,"-","P."&amp;BY10&amp;" ("&amp;COUNTIFS($BY$6:$BY$53,BY10,$BC$6:$BC$53,INDEX(T_Equipos[Grupo],MATCH(BD10,T_Equipos[NombreEquipo],0)))&amp;")")</f>
        <v>P.2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2</v>
      </c>
      <c r="CE10" s="769" t="str">
        <f ca="1">IF(COUNTIFS($CD$6:$CD$53,CD10,$BC$6:$BC$53,INDEX(T_Equipos[Grupo],MATCH(BD10,T_Equipos[NombreEquipo],0)))=1,"-","P."&amp;CD10&amp;" ("&amp;COUNTIFS($CD$6:$CD$53,CD10,$BC$6:$BC$53,INDEX(T_Equipos[Grupo],MATCH(BD10,T_Equipos[NombreEquipo],0)))&amp;")")</f>
        <v>P.2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2</v>
      </c>
      <c r="CH10" s="769" t="str">
        <f ca="1">IF(COUNTIFS($CG$6:$CG$53,CG10,$BC$6:$BC$53,INDEX(T_Equipos[Grupo],MATCH(BD10,T_Equipos[NombreEquipo],0)))=1,"-","P."&amp;CG10&amp;" ("&amp;COUNTIFS($CG$6:$CG$53,CG10,$BC$6:$BC$53,INDEX(T_Equipos[Grupo],MATCH(BD10,T_Equipos[NombreEquipo],0)))&amp;")")</f>
        <v>P.2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2</v>
      </c>
      <c r="CN10" s="769" t="str">
        <f ca="1">IF(COUNTIFS($CM$6:$CM$53,CM10,$BC$6:$BC$53,INDEX(T_Equipos[Grupo],MATCH(BD10,T_Equipos[NombreEquipo],0)))=1,"-","P."&amp;CM10&amp;" ("&amp;COUNTIFS($CM$6:$CM$53,CM10,$BC$6:$BC$53,INDEX(T_Equipos[Grupo],MATCH(BD10,T_Equipos[NombreEquipo],0)))&amp;")")</f>
        <v>P.2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2</v>
      </c>
      <c r="CS10" s="769" t="str">
        <f ca="1">IF(COUNTIFS($CR$6:$CR$53,CR10,$BC$6:$BC$53,INDEX(T_Equipos[Grupo],MATCH(BD10,T_Equipos[NombreEquipo],0)))=1,"-","P."&amp;CR10&amp;" ("&amp;COUNTIFS($CR$6:$CR$53,CR10,$BC$6:$BC$53,INDEX(T_Equipos[Grupo],MATCH(BD10,T_Equipos[NombreEquipo],0)))&amp;")")</f>
        <v>P.2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2</v>
      </c>
      <c r="CV10" s="769" t="str">
        <f ca="1">IF(COUNTIFS($CU$6:$CU$53,CU10,$BC$6:$BC$53,INDEX(T_Equipos[Grupo],MATCH(BD10,T_Equipos[NombreEquipo],0)))=1,"-","P."&amp;CU10&amp;" ("&amp;COUNTIFS($CU$6:$CU$53,CU10,$BC$6:$BC$53,INDEX(T_Equipos[Grupo],MATCH(BD10,T_Equipos[NombreEquipo],0)))&amp;")")</f>
        <v>P.2 (2)</v>
      </c>
      <c r="CW10" s="769">
        <f t="shared" ca="1" si="30"/>
        <v>5</v>
      </c>
      <c r="CX10" s="769">
        <f ca="1">CU10+COUNTIFS($CV$6:$CV$53,CV10,$CW$6:CW$53,"&gt;"&amp;CW10,$BC$6:$BC$53,INDEX(T_Equipos[Grupo],MATCH(BD10,T_Equipos[NombreEquipo],0)))</f>
        <v>2</v>
      </c>
      <c r="CY10" s="769" t="str">
        <f ca="1">IF(COUNTIFS($CX$6:$CX$53,CX10,$BC$6:$BC$53,INDEX(T_Equipos[Grupo],MATCH(BD10,T_Equipos[NombreEquipo],0)))=1,"-","P."&amp;CX10&amp;" ("&amp;COUNTIFS($CX$6:$CX$53,CX10,$BC$6:$BC$53,INDEX(T_Equipos[Grupo],MATCH(BD10,T_Equipos[NombreEquipo],0)))&amp;")")</f>
        <v>-</v>
      </c>
      <c r="CZ10" s="769" t="str">
        <f t="shared" ca="1" si="31"/>
        <v>-</v>
      </c>
      <c r="DA10" s="770">
        <f ca="1">CX10+COUNTIFS($CY$6:$CY$53,CY10,$CZ$6:CZ$53,"&gt;"&amp;CZ10,$BC$6:$BC$53,INDEX(T_Equipos[Grupo],MATCH(BD10,T_Equipos[NombreEquipo],0)))</f>
        <v>2</v>
      </c>
      <c r="DB10" s="769" t="str">
        <f ca="1">IF(COUNTIFS($DA$6:$DA$53,DA10,$BC$6:$BC$53,INDEX(T_Equipos[Grupo],MATCH(BD10,T_Equipos[NombreEquipo],0)))=1,"-","P."&amp;DA10&amp;" ("&amp;COUNTIFS($DA$6:$DA$53,DA10,$BC$6:$BC$53,INDEX(T_Equipos[Grupo],MATCH(BD10,T_Equipos[NombreEquipo],0)))&amp;")")</f>
        <v>-</v>
      </c>
      <c r="DC10" s="768" t="str">
        <f ca="1">IF(DB10="-","-",COUNTIFS(T_Equipos[Rank],"&lt;"&amp;INDEX(T_Equipos[Rank],MATCH(BD10,T_Equipos[NombreEquipo],0)),$BC$6:$BC$53,INDEX(T_Equipos[Grupo],MATCH(BD10,T_Equipos[NombreEquipo],0)))+1)</f>
        <v>-</v>
      </c>
      <c r="DD10" s="768">
        <f ca="1">DA10+COUNTIFS($DB$6:$DB$53,DB10,$DC$6:DC$53,"&lt;"&amp;DC10,$BC$6:$BC$53,INDEX(T_Equipos[Grupo],MATCH(BD10,T_Equipos[NombreEquipo],0)))</f>
        <v>2</v>
      </c>
      <c r="DE10" s="768"/>
      <c r="DF10" s="768">
        <f t="shared" ref="DF10:DF53" ca="1" si="52">IF(OR(INDEX($AW$6:$AW$97,MATCH($BD10,$AV$6:$AV$97,0))="",DB10="-"),DD10,INDEX($AW$6:$AW$97,MATCH($BD10,$AV$6:$AV$97,0))+DD10/1000)</f>
        <v>2</v>
      </c>
      <c r="DG10" s="768" t="str">
        <f ca="1">IF(DB10="-","-",COUNTIFS(DF$6:DF$53,"&lt;"&amp;DF10,$BC$6:$BC$53,INDEX(T_Equipos[Grupo],MATCH(BD10,T_Equipos[NombreEquipo],0))))</f>
        <v>-</v>
      </c>
      <c r="DH10" s="768">
        <f ca="1">DA10+COUNTIFS(DB$6:DB$53,DB10,DG$6:DG$53,"&lt;"&amp;DG10,$BC$6:$BC$53,INDEX(T_Equipos[Grupo],MATCH(BD10,T_Equipos[NombreEquipo],0)))</f>
        <v>2</v>
      </c>
      <c r="DI10" s="756"/>
      <c r="DJ10" s="756">
        <f t="shared" ref="DJ10:DJ53" ca="1" si="53">INDEX($DA$6:$DA$53,MATCH($DQ10,$BD$6:$BD$53,0))</f>
        <v>1</v>
      </c>
      <c r="DK10" s="756">
        <f t="shared" ca="1" si="24"/>
        <v>12</v>
      </c>
      <c r="DL10" s="756">
        <f t="shared" ca="1" si="33"/>
        <v>1</v>
      </c>
      <c r="DM10" s="750" t="str">
        <f t="shared" ca="1" si="34"/>
        <v>1.1</v>
      </c>
      <c r="DN10" s="756" cm="1">
        <f t="array" aca="1" ref="DN10" ca="1">OFFSET(Horarios!$P$3,DJ10-1,0,DL10,1)</f>
        <v>1</v>
      </c>
      <c r="DO10" s="756"/>
      <c r="DP10" s="756" t="s">
        <v>648</v>
      </c>
      <c r="DQ10" s="756" t="str">
        <f t="shared" ca="1" si="35"/>
        <v>Suiza</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4</v>
      </c>
      <c r="BF11" s="760">
        <f t="shared" ca="1" si="26"/>
        <v>3</v>
      </c>
      <c r="BG11" s="760">
        <f t="shared" ca="1" si="17"/>
        <v>1</v>
      </c>
      <c r="BH11" s="760">
        <f t="shared" ca="1" si="18"/>
        <v>1</v>
      </c>
      <c r="BI11" s="760">
        <f t="shared" ca="1" si="19"/>
        <v>1</v>
      </c>
      <c r="BJ11" s="760">
        <f t="shared" ca="1" si="20"/>
        <v>5</v>
      </c>
      <c r="BK11" s="760">
        <f t="shared" ca="1" si="21"/>
        <v>6</v>
      </c>
      <c r="BL11" s="760">
        <f t="shared" ca="1" si="27"/>
        <v>-1</v>
      </c>
      <c r="BM11" s="760" t="str">
        <f t="shared" ca="1" si="22"/>
        <v>3B</v>
      </c>
      <c r="BN11" s="760" t="str">
        <f t="shared" ca="1" si="23"/>
        <v>3B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4</v>
      </c>
      <c r="BS11" s="769">
        <f ca="1">BP11+COUNTIFS($BQ$6:$BQ$53,BQ11,$BR$6:BR$53,"&gt;"&amp;BR11,$BC$6:$BC$53,INDEX(T_Equipos[Grupo],MATCH(BD11,T_Equipos[NombreEquipo],0)))</f>
        <v>2</v>
      </c>
      <c r="BT11" s="769" t="str">
        <f ca="1">IF(COUNTIFS($BS$6:$BS$53,BS11,$BC$6:$BC$53,INDEX(T_Equipos[Grupo],MATCH(BD11,T_Equipos[NombreEquipo],0)))=1,"-","P."&amp;BS11&amp;" ("&amp;COUNTIFS($BS$6:$BS$53,BS11,$BC$6:$BC$53,INDEX(T_Equipos[Grupo],MATCH(BD11,T_Equipos[NombreEquipo],0)))&amp;")")</f>
        <v>P.2 (2)</v>
      </c>
      <c r="BU11" s="770">
        <f t="shared" ca="1" si="36"/>
        <v>0</v>
      </c>
      <c r="BV11" s="770">
        <f t="shared" ca="1" si="37"/>
        <v>1</v>
      </c>
      <c r="BW11" s="770">
        <f t="shared" ca="1" si="38"/>
        <v>0</v>
      </c>
      <c r="BX11" s="770">
        <f t="shared" ca="1" si="39"/>
        <v>1</v>
      </c>
      <c r="BY11" s="770">
        <f ca="1">BS11+COUNTIFS($BT$6:$BT$53,BT11,$BX$6:BX$53,"&gt;"&amp;BX11,$BC$6:$BC$53,INDEX(T_Equipos[Grupo],MATCH(BD11,T_Equipos[NombreEquipo],0)))</f>
        <v>2</v>
      </c>
      <c r="BZ11" s="769" t="str">
        <f ca="1">IF(COUNTIFS($BY$6:$BY$53,BY11,$BC$6:$BC$53,INDEX(T_Equipos[Grupo],MATCH(BD11,T_Equipos[NombreEquipo],0)))=1,"-","P."&amp;BY11&amp;" ("&amp;COUNTIFS($BY$6:$BY$53,BY11,$BC$6:$BC$53,INDEX(T_Equipos[Grupo],MATCH(BD11,T_Equipos[NombreEquipo],0)))&amp;")")</f>
        <v>P.2 (2)</v>
      </c>
      <c r="CA11" s="770">
        <f t="shared" ca="1" si="40"/>
        <v>1</v>
      </c>
      <c r="CB11" s="770">
        <f t="shared" ca="1" si="41"/>
        <v>1</v>
      </c>
      <c r="CC11" s="770">
        <f t="shared" ca="1" si="42"/>
        <v>0</v>
      </c>
      <c r="CD11" s="770">
        <f ca="1">BY11+COUNTIFS($BZ$6:$BZ$53,BZ11,$CC$6:CC$53,"&gt;"&amp;CC11,$BC$6:$BC$53,INDEX(T_Equipos[Grupo],MATCH(BD11,T_Equipos[NombreEquipo],0)))</f>
        <v>2</v>
      </c>
      <c r="CE11" s="769" t="str">
        <f ca="1">IF(COUNTIFS($CD$6:$CD$53,CD11,$BC$6:$BC$53,INDEX(T_Equipos[Grupo],MATCH(BD11,T_Equipos[NombreEquipo],0)))=1,"-","P."&amp;CD11&amp;" ("&amp;COUNTIFS($CD$6:$CD$53,CD11,$BC$6:$BC$53,INDEX(T_Equipos[Grupo],MATCH(BD11,T_Equipos[NombreEquipo],0)))&amp;")")</f>
        <v>P.2 (2)</v>
      </c>
      <c r="CF11" s="770">
        <f t="shared" ca="1" si="43"/>
        <v>1</v>
      </c>
      <c r="CG11" s="770">
        <f ca="1">CD11+COUNTIFS($CE$6:$CE$53,CE11,$CF$6:CF$53,"&gt;"&amp;CF11,$BC$6:$BC$53,INDEX(T_Equipos[Grupo],MATCH(BD11,T_Equipos[NombreEquipo],0)))</f>
        <v>2</v>
      </c>
      <c r="CH11" s="769" t="str">
        <f ca="1">IF(COUNTIFS($CG$6:$CG$53,CG11,$BC$6:$BC$53,INDEX(T_Equipos[Grupo],MATCH(BD11,T_Equipos[NombreEquipo],0)))=1,"-","P."&amp;CG11&amp;" ("&amp;COUNTIFS($CG$6:$CG$53,CG11,$BC$6:$BC$53,INDEX(T_Equipos[Grupo],MATCH(BD11,T_Equipos[NombreEquipo],0)))&amp;")")</f>
        <v>P.2 (2)</v>
      </c>
      <c r="CI11" s="770">
        <f t="shared" ca="1" si="44"/>
        <v>0</v>
      </c>
      <c r="CJ11" s="770">
        <f t="shared" ca="1" si="45"/>
        <v>1</v>
      </c>
      <c r="CK11" s="770">
        <f t="shared" ca="1" si="46"/>
        <v>0</v>
      </c>
      <c r="CL11" s="770">
        <f t="shared" ca="1" si="47"/>
        <v>1</v>
      </c>
      <c r="CM11" s="770">
        <f ca="1">CG11+COUNTIFS($CH$6:$CH$53,CH11,$CL$6:CL$53,"&gt;"&amp;CL11,$BC$6:$BC$53,INDEX(T_Equipos[Grupo],MATCH(BD11,T_Equipos[NombreEquipo],0)))</f>
        <v>2</v>
      </c>
      <c r="CN11" s="769" t="str">
        <f ca="1">IF(COUNTIFS($CM$6:$CM$53,CM11,$BC$6:$BC$53,INDEX(T_Equipos[Grupo],MATCH(BD11,T_Equipos[NombreEquipo],0)))=1,"-","P."&amp;CM11&amp;" ("&amp;COUNTIFS($CM$6:$CM$53,CM11,$BC$6:$BC$53,INDEX(T_Equipos[Grupo],MATCH(BD11,T_Equipos[NombreEquipo],0)))&amp;")")</f>
        <v>P.2 (2)</v>
      </c>
      <c r="CO11" s="770">
        <f t="shared" ca="1" si="48"/>
        <v>1</v>
      </c>
      <c r="CP11" s="770">
        <f t="shared" ca="1" si="49"/>
        <v>1</v>
      </c>
      <c r="CQ11" s="770">
        <f t="shared" ca="1" si="50"/>
        <v>0</v>
      </c>
      <c r="CR11" s="770">
        <f ca="1">CM11+COUNTIFS($CN$6:$CN$53,CN11,$CQ$6:CQ$53,"&gt;"&amp;CQ11,$BC$6:$BC$53,INDEX(T_Equipos[Grupo],MATCH(BD11,T_Equipos[NombreEquipo],0)))</f>
        <v>2</v>
      </c>
      <c r="CS11" s="769" t="str">
        <f ca="1">IF(COUNTIFS($CR$6:$CR$53,CR11,$BC$6:$BC$53,INDEX(T_Equipos[Grupo],MATCH(BD11,T_Equipos[NombreEquipo],0)))=1,"-","P."&amp;CR11&amp;" ("&amp;COUNTIFS($CR$6:$CR$53,CR11,$BC$6:$BC$53,INDEX(T_Equipos[Grupo],MATCH(BD11,T_Equipos[NombreEquipo],0)))&amp;")")</f>
        <v>P.2 (2)</v>
      </c>
      <c r="CT11" s="770">
        <f t="shared" ca="1" si="51"/>
        <v>1</v>
      </c>
      <c r="CU11" s="770">
        <f ca="1">CR11+COUNTIFS($CS$6:$CS$53,CS11,$CT$6:CT$53,"&gt;"&amp;CT11,$BC$6:$BC$53,INDEX(T_Equipos[Grupo],MATCH(BD11,T_Equipos[NombreEquipo],0)))</f>
        <v>2</v>
      </c>
      <c r="CV11" s="769" t="str">
        <f ca="1">IF(COUNTIFS($CU$6:$CU$53,CU11,$BC$6:$BC$53,INDEX(T_Equipos[Grupo],MATCH(BD11,T_Equipos[NombreEquipo],0)))=1,"-","P."&amp;CU11&amp;" ("&amp;COUNTIFS($CU$6:$CU$53,CU11,$BC$6:$BC$53,INDEX(T_Equipos[Grupo],MATCH(BD11,T_Equipos[NombreEquipo],0)))&amp;")")</f>
        <v>P.2 (2)</v>
      </c>
      <c r="CW11" s="769">
        <f t="shared" ca="1" si="30"/>
        <v>-1</v>
      </c>
      <c r="CX11" s="769">
        <f ca="1">CU11+COUNTIFS($CV$6:$CV$53,CV11,$CW$6:CW$53,"&gt;"&amp;CW11,$BC$6:$BC$53,INDEX(T_Equipos[Grupo],MATCH(BD11,T_Equipos[NombreEquipo],0)))</f>
        <v>3</v>
      </c>
      <c r="CY11" s="769" t="str">
        <f ca="1">IF(COUNTIFS($CX$6:$CX$53,CX11,$BC$6:$BC$53,INDEX(T_Equipos[Grupo],MATCH(BD11,T_Equipos[NombreEquipo],0)))=1,"-","P."&amp;CX11&amp;" ("&amp;COUNTIFS($CX$6:$CX$53,CX11,$BC$6:$BC$53,INDEX(T_Equipos[Grupo],MATCH(BD11,T_Equipos[NombreEquipo],0)))&amp;")")</f>
        <v>-</v>
      </c>
      <c r="CZ11" s="769" t="str">
        <f t="shared" ca="1" si="31"/>
        <v>-</v>
      </c>
      <c r="DA11" s="770">
        <f ca="1">CX11+COUNTIFS($CY$6:$CY$53,CY11,$CZ$6:CZ$53,"&gt;"&amp;CZ11,$BC$6:$BC$53,INDEX(T_Equipos[Grupo],MATCH(BD11,T_Equipos[NombreEquipo],0)))</f>
        <v>3</v>
      </c>
      <c r="DB11" s="769" t="str">
        <f ca="1">IF(COUNTIFS($DA$6:$DA$53,DA11,$BC$6:$BC$53,INDEX(T_Equipos[Grupo],MATCH(BD11,T_Equipos[NombreEquipo],0)))=1,"-","P."&amp;DA11&amp;" ("&amp;COUNTIFS($DA$6:$DA$53,DA11,$BC$6:$BC$53,INDEX(T_Equipos[Grupo],MATCH(BD11,T_Equipos[NombreEquipo],0)))&amp;")")</f>
        <v>-</v>
      </c>
      <c r="DC11" s="768" t="str">
        <f ca="1">IF(DB11="-","-",COUNTIFS(T_Equipos[Rank],"&lt;"&amp;INDEX(T_Equipos[Rank],MATCH(BD11,T_Equipos[NombreEquipo],0)),$BC$6:$BC$53,INDEX(T_Equipos[Grupo],MATCH(BD11,T_Equipos[NombreEquipo],0)))+1)</f>
        <v>-</v>
      </c>
      <c r="DD11" s="768">
        <f ca="1">DA11+COUNTIFS($DB$6:$DB$53,DB11,$DC$6:DC$53,"&lt;"&amp;DC11,$BC$6:$BC$53,INDEX(T_Equipos[Grupo],MATCH(BD11,T_Equipos[NombreEquipo],0)))</f>
        <v>3</v>
      </c>
      <c r="DE11" s="768"/>
      <c r="DF11" s="768">
        <f t="shared" ca="1" si="52"/>
        <v>3</v>
      </c>
      <c r="DG11" s="768" t="str">
        <f ca="1">IF(DB11="-","-",COUNTIFS(DF$6:DF$53,"&lt;"&amp;DF11,$BC$6:$BC$53,INDEX(T_Equipos[Grupo],MATCH(BD11,T_Equipos[NombreEquipo],0))))</f>
        <v>-</v>
      </c>
      <c r="DH11" s="768">
        <f ca="1">DA11+COUNTIFS(DB$6:DB$53,DB11,DG$6:DG$53,"&lt;"&amp;DG11,$BC$6:$BC$53,INDEX(T_Equipos[Grupo],MATCH(BD11,T_Equipos[NombreEquipo],0)))</f>
        <v>3</v>
      </c>
      <c r="DI11" s="756"/>
      <c r="DJ11" s="756">
        <f t="shared" ca="1" si="53"/>
        <v>2</v>
      </c>
      <c r="DK11" s="756">
        <f t="shared" ca="1" si="24"/>
        <v>12</v>
      </c>
      <c r="DL11" s="756">
        <f t="shared" ca="1" si="33"/>
        <v>1</v>
      </c>
      <c r="DM11" s="750" t="str">
        <f t="shared" ca="1" si="34"/>
        <v>2.1</v>
      </c>
      <c r="DN11" s="756" cm="1">
        <f t="array" aca="1" ref="DN11" ca="1">OFFSET(Horarios!$P$3,DJ11-1,0,DL11,1)</f>
        <v>2</v>
      </c>
      <c r="DO11" s="756"/>
      <c r="DP11" s="756" t="s">
        <v>649</v>
      </c>
      <c r="DQ11" s="756" t="str">
        <f t="shared" ca="1" si="35"/>
        <v>Canadá</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P.2 (2)</v>
      </c>
      <c r="F12" s="756" t="str">
        <f t="shared" ref="F12:F17" ca="1" si="56">IF(D12="Pendiente","-",INDEX($BT$6:$BT$53,MATCH($AF12,$BD$6:$BD$53,0)))</f>
        <v>P.2 (2)</v>
      </c>
      <c r="G12" s="756"/>
      <c r="H12" s="756" t="str">
        <f t="shared" ref="H12:H17" ca="1" si="57">IF(D12="Pendiente","-",INDEX($BZ$6:$BZ$53,MATCH($AA12,$BD$6:$BD$53,0)))</f>
        <v>P.2 (2)</v>
      </c>
      <c r="I12" s="756" t="str">
        <f t="shared" ref="I12:I17" ca="1" si="58">IF(D12="Pendiente","-",INDEX($BZ$6:$BZ$53,MATCH($AF12,$BD$6:$BD$53,0)))</f>
        <v>P.2 (2)</v>
      </c>
      <c r="J12" s="756"/>
      <c r="K12" s="756" t="str">
        <f t="shared" ref="K12:K17" ca="1" si="59">IF(D12="Pendiente","-",INDEX($CE$6:$CE$53,MATCH($AA12,$BD$6:$BD$53,0)))</f>
        <v>P.2 (2)</v>
      </c>
      <c r="L12" s="756" t="str">
        <f t="shared" ref="L12:L17" ca="1" si="60">IF(D12="Pendiente","-",INDEX($CE$6:$CE$53,MATCH($AF12,$BD$6:$BD$53,0)))</f>
        <v>P.2 (2)</v>
      </c>
      <c r="M12" s="756"/>
      <c r="N12" s="756" t="str">
        <f t="shared" ref="N12:N17" ca="1" si="61">IF(D12="Pendiente","-",INDEX($CH$6:$CH$53,MATCH($AA12,$BD$6:$BD$53,0)))</f>
        <v>P.2 (2)</v>
      </c>
      <c r="O12" s="756" t="str">
        <f t="shared" ref="O12:O17" ca="1" si="62">IF(D12="Pendiente","-",INDEX($CH$6:$CH$53,MATCH($AF12,$BD$6:$BD$53,0)))</f>
        <v>P.2 (2)</v>
      </c>
      <c r="P12" s="756"/>
      <c r="Q12" s="756" t="str">
        <f t="shared" ref="Q12:Q17" ca="1" si="63">IF(D12="Pendiente","-",INDEX($CN$6:$CN$53,MATCH($AA12,$BD$6:$BD$53,0)))</f>
        <v>P.2 (2)</v>
      </c>
      <c r="R12" s="756" t="str">
        <f t="shared" ref="R12:R17" ca="1" si="64">IF(D12="Pendiente","-",INDEX($CN$6:$CN$53,MATCH($AF12,$BD$6:$BD$53,0)))</f>
        <v>P.2 (2)</v>
      </c>
      <c r="S12" s="756"/>
      <c r="T12" s="756" t="str">
        <f t="shared" ref="T12:T17" ca="1" si="65">IF(D12="Pendiente","-",INDEX($CS$6:$CS$53,MATCH($AA12,$BD$6:$BD$53,0)))</f>
        <v>P.2 (2)</v>
      </c>
      <c r="U12" s="756" t="str">
        <f t="shared" ref="U12:U17" ca="1" si="66">IF(D12="Pendiente","-",INDEX($CS$6:$CS$53,MATCH($AF12,$BD$6:$BD$53,0)))</f>
        <v>P.2 (2)</v>
      </c>
      <c r="V12" s="178"/>
      <c r="W12" s="80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1</v>
      </c>
      <c r="BF12" s="760">
        <f t="shared" ca="1" si="26"/>
        <v>3</v>
      </c>
      <c r="BG12" s="760">
        <f t="shared" ca="1" si="17"/>
        <v>0</v>
      </c>
      <c r="BH12" s="760">
        <f t="shared" ca="1" si="18"/>
        <v>1</v>
      </c>
      <c r="BI12" s="760">
        <f t="shared" ca="1" si="19"/>
        <v>2</v>
      </c>
      <c r="BJ12" s="760">
        <f t="shared" ca="1" si="20"/>
        <v>2</v>
      </c>
      <c r="BK12" s="760">
        <f t="shared" ca="1" si="21"/>
        <v>10</v>
      </c>
      <c r="BL12" s="760">
        <f t="shared" ca="1" si="27"/>
        <v>-8</v>
      </c>
      <c r="BM12" s="760" t="str">
        <f t="shared" ca="1" si="22"/>
        <v>4B</v>
      </c>
      <c r="BN12" s="760" t="str">
        <f t="shared" ca="1" si="23"/>
        <v>4B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1</v>
      </c>
      <c r="BS12" s="769">
        <f ca="1">BP12+COUNTIFS($BQ$6:$BQ$53,BQ12,$BR$6:BR$53,"&gt;"&amp;BR12,$BC$6:$BC$53,INDEX(T_Equipos[Grupo],MATCH(BD12,T_Equipos[NombreEquipo],0)))</f>
        <v>4</v>
      </c>
      <c r="BT12" s="769" t="str">
        <f ca="1">IF(COUNTIFS($BS$6:$BS$53,BS12,$BC$6:$BC$53,INDEX(T_Equipos[Grupo],MATCH(BD12,T_Equipos[NombreEquipo],0)))=1,"-","P."&amp;BS12&amp;" ("&amp;COUNTIFS($BS$6:$BS$53,BS12,$BC$6:$BC$53,INDEX(T_Equipos[Grupo],MATCH(BD12,T_Equipos[NombreEquipo],0)))&amp;")")</f>
        <v>-</v>
      </c>
      <c r="BU12" s="770" t="str">
        <f t="shared" ca="1" si="36"/>
        <v>-</v>
      </c>
      <c r="BV12" s="770" t="str">
        <f t="shared" ca="1" si="37"/>
        <v>-</v>
      </c>
      <c r="BW12" s="770" t="str">
        <f t="shared" ca="1" si="38"/>
        <v>-</v>
      </c>
      <c r="BX12" s="770" t="str">
        <f t="shared" ca="1" si="39"/>
        <v>-</v>
      </c>
      <c r="BY12" s="770">
        <f ca="1">BS12+COUNTIFS($BT$6:$BT$53,BT12,$BX$6:BX$53,"&gt;"&amp;BX12,$BC$6:$BC$53,INDEX(T_Equipos[Grupo],MATCH(BD12,T_Equipos[NombreEquipo],0)))</f>
        <v>4</v>
      </c>
      <c r="BZ12" s="769" t="str">
        <f ca="1">IF(COUNTIFS($BY$6:$BY$53,BY12,$BC$6:$BC$53,INDEX(T_Equipos[Grupo],MATCH(BD12,T_Equipos[NombreEquipo],0)))=1,"-","P."&amp;BY12&amp;" ("&amp;COUNTIFS($BY$6:$BY$53,BY12,$BC$6:$BC$53,INDEX(T_Equipos[Grupo],MATCH(BD12,T_Equipos[NombreEquipo],0)))&amp;")")</f>
        <v>-</v>
      </c>
      <c r="CA12" s="770" t="str">
        <f t="shared" ca="1" si="40"/>
        <v>-</v>
      </c>
      <c r="CB12" s="770" t="str">
        <f t="shared" ca="1" si="41"/>
        <v>-</v>
      </c>
      <c r="CC12" s="770" t="str">
        <f t="shared" ca="1" si="42"/>
        <v>-</v>
      </c>
      <c r="CD12" s="770">
        <f ca="1">BY12+COUNTIFS($BZ$6:$BZ$53,BZ12,$CC$6:CC$53,"&gt;"&amp;CC12,$BC$6:$BC$53,INDEX(T_Equipos[Grupo],MATCH(BD12,T_Equipos[NombreEquipo],0)))</f>
        <v>4</v>
      </c>
      <c r="CE12" s="769" t="str">
        <f ca="1">IF(COUNTIFS($CD$6:$CD$53,CD12,$BC$6:$BC$53,INDEX(T_Equipos[Grupo],MATCH(BD12,T_Equipos[NombreEquipo],0)))=1,"-","P."&amp;CD12&amp;" ("&amp;COUNTIFS($CD$6:$CD$53,CD12,$BC$6:$BC$53,INDEX(T_Equipos[Grupo],MATCH(BD12,T_Equipos[NombreEquipo],0)))&amp;")")</f>
        <v>-</v>
      </c>
      <c r="CF12" s="770" t="str">
        <f t="shared" ca="1" si="43"/>
        <v>-</v>
      </c>
      <c r="CG12" s="770">
        <f ca="1">CD12+COUNTIFS($CE$6:$CE$53,CE12,$CF$6:CF$53,"&gt;"&amp;CF12,$BC$6:$BC$53,INDEX(T_Equipos[Grupo],MATCH(BD12,T_Equipos[NombreEquipo],0)))</f>
        <v>4</v>
      </c>
      <c r="CH12" s="769" t="str">
        <f ca="1">IF(COUNTIFS($CG$6:$CG$53,CG12,$BC$6:$BC$53,INDEX(T_Equipos[Grupo],MATCH(BD12,T_Equipos[NombreEquipo],0)))=1,"-","P."&amp;CG12&amp;" ("&amp;COUNTIFS($CG$6:$CG$53,CG12,$BC$6:$BC$53,INDEX(T_Equipos[Grupo],MATCH(BD12,T_Equipos[NombreEquipo],0)))&amp;")")</f>
        <v>-</v>
      </c>
      <c r="CI12" s="770" t="str">
        <f t="shared" ca="1" si="44"/>
        <v>-</v>
      </c>
      <c r="CJ12" s="770" t="str">
        <f t="shared" ca="1" si="45"/>
        <v>-</v>
      </c>
      <c r="CK12" s="770" t="str">
        <f t="shared" ca="1" si="46"/>
        <v>-</v>
      </c>
      <c r="CL12" s="770" t="str">
        <f t="shared" ca="1" si="47"/>
        <v>-</v>
      </c>
      <c r="CM12" s="770">
        <f ca="1">CG12+COUNTIFS($CH$6:$CH$53,CH12,$CL$6:CL$53,"&gt;"&amp;CL12,$BC$6:$BC$53,INDEX(T_Equipos[Grupo],MATCH(BD12,T_Equipos[NombreEquipo],0)))</f>
        <v>4</v>
      </c>
      <c r="CN12" s="769" t="str">
        <f ca="1">IF(COUNTIFS($CM$6:$CM$53,CM12,$BC$6:$BC$53,INDEX(T_Equipos[Grupo],MATCH(BD12,T_Equipos[NombreEquipo],0)))=1,"-","P."&amp;CM12&amp;" ("&amp;COUNTIFS($CM$6:$CM$53,CM12,$BC$6:$BC$53,INDEX(T_Equipos[Grupo],MATCH(BD12,T_Equipos[NombreEquipo],0)))&amp;")")</f>
        <v>-</v>
      </c>
      <c r="CO12" s="770" t="str">
        <f t="shared" ca="1" si="48"/>
        <v>-</v>
      </c>
      <c r="CP12" s="770" t="str">
        <f t="shared" ca="1" si="49"/>
        <v>-</v>
      </c>
      <c r="CQ12" s="770" t="str">
        <f t="shared" ca="1" si="50"/>
        <v>-</v>
      </c>
      <c r="CR12" s="770">
        <f ca="1">CM12+COUNTIFS($CN$6:$CN$53,CN12,$CQ$6:CQ$53,"&gt;"&amp;CQ12,$BC$6:$BC$53,INDEX(T_Equipos[Grupo],MATCH(BD12,T_Equipos[NombreEquipo],0)))</f>
        <v>4</v>
      </c>
      <c r="CS12" s="769" t="str">
        <f ca="1">IF(COUNTIFS($CR$6:$CR$53,CR12,$BC$6:$BC$53,INDEX(T_Equipos[Grupo],MATCH(BD12,T_Equipos[NombreEquipo],0)))=1,"-","P."&amp;CR12&amp;" ("&amp;COUNTIFS($CR$6:$CR$53,CR12,$BC$6:$BC$53,INDEX(T_Equipos[Grupo],MATCH(BD12,T_Equipos[NombreEquipo],0)))&amp;")")</f>
        <v>-</v>
      </c>
      <c r="CT12" s="770" t="str">
        <f t="shared" ca="1" si="51"/>
        <v>-</v>
      </c>
      <c r="CU12" s="770">
        <f ca="1">CR12+COUNTIFS($CS$6:$CS$53,CS12,$CT$6:CT$53,"&gt;"&amp;CT12,$BC$6:$BC$53,INDEX(T_Equipos[Grupo],MATCH(BD12,T_Equipos[NombreEquipo],0)))</f>
        <v>4</v>
      </c>
      <c r="CV12" s="769" t="str">
        <f ca="1">IF(COUNTIFS($CU$6:$CU$53,CU12,$BC$6:$BC$53,INDEX(T_Equipos[Grupo],MATCH(BD12,T_Equipos[NombreEquipo],0)))=1,"-","P."&amp;CU12&amp;" ("&amp;COUNTIFS($CU$6:$CU$53,CU12,$BC$6:$BC$53,INDEX(T_Equipos[Grupo],MATCH(BD12,T_Equipos[NombreEquipo],0)))&amp;")")</f>
        <v>-</v>
      </c>
      <c r="CW12" s="769" t="str">
        <f t="shared" ca="1" si="30"/>
        <v>-</v>
      </c>
      <c r="CX12" s="769">
        <f ca="1">CU12+COUNTIFS($CV$6:$CV$53,CV12,$CW$6:CW$53,"&gt;"&amp;CW12,$BC$6:$BC$53,INDEX(T_Equipos[Grupo],MATCH(BD12,T_Equipos[NombreEquipo],0)))</f>
        <v>4</v>
      </c>
      <c r="CY12" s="769" t="str">
        <f ca="1">IF(COUNTIFS($CX$6:$CX$53,CX12,$BC$6:$BC$53,INDEX(T_Equipos[Grupo],MATCH(BD12,T_Equipos[NombreEquipo],0)))=1,"-","P."&amp;CX12&amp;" ("&amp;COUNTIFS($CX$6:$CX$53,CX12,$BC$6:$BC$53,INDEX(T_Equipos[Grupo],MATCH(BD12,T_Equipos[NombreEquipo],0)))&amp;")")</f>
        <v>-</v>
      </c>
      <c r="CZ12" s="769" t="str">
        <f t="shared" ca="1" si="31"/>
        <v>-</v>
      </c>
      <c r="DA12" s="770">
        <f ca="1">CX12+COUNTIFS($CY$6:$CY$53,CY12,$CZ$6:CZ$53,"&gt;"&amp;CZ12,$BC$6:$BC$53,INDEX(T_Equipos[Grupo],MATCH(BD12,T_Equipos[NombreEquipo],0)))</f>
        <v>4</v>
      </c>
      <c r="DB12" s="769" t="str">
        <f ca="1">IF(COUNTIFS($DA$6:$DA$53,DA12,$BC$6:$BC$53,INDEX(T_Equipos[Grupo],MATCH(BD12,T_Equipos[NombreEquipo],0)))=1,"-","P."&amp;DA12&amp;" ("&amp;COUNTIFS($DA$6:$DA$53,DA12,$BC$6:$BC$53,INDEX(T_Equipos[Grupo],MATCH(BD12,T_Equipos[NombreEquipo],0)))&amp;")")</f>
        <v>-</v>
      </c>
      <c r="DC12" s="768" t="str">
        <f ca="1">IF(DB12="-","-",COUNTIFS(T_Equipos[Rank],"&lt;"&amp;INDEX(T_Equipos[Rank],MATCH(BD12,T_Equipos[NombreEquipo],0)),$BC$6:$BC$53,INDEX(T_Equipos[Grupo],MATCH(BD12,T_Equipos[NombreEquipo],0)))+1)</f>
        <v>-</v>
      </c>
      <c r="DD12" s="768">
        <f ca="1">DA12+COUNTIFS($DB$6:$DB$53,DB12,$DC$6:DC$53,"&lt;"&amp;DC12,$BC$6:$BC$53,INDEX(T_Equipos[Grupo],MATCH(BD12,T_Equipos[NombreEquipo],0)))</f>
        <v>4</v>
      </c>
      <c r="DE12" s="768"/>
      <c r="DF12" s="768">
        <f t="shared" ca="1" si="52"/>
        <v>4</v>
      </c>
      <c r="DG12" s="768" t="str">
        <f ca="1">IF(DB12="-","-",COUNTIFS(DF$6:DF$53,"&lt;"&amp;DF12,$BC$6:$BC$53,INDEX(T_Equipos[Grupo],MATCH(BD12,T_Equipos[NombreEquipo],0))))</f>
        <v>-</v>
      </c>
      <c r="DH12" s="768">
        <f ca="1">DA12+COUNTIFS(DB$6:DB$53,DB12,DG$6:DG$53,"&lt;"&amp;DG12,$BC$6:$BC$53,INDEX(T_Equipos[Grupo],MATCH(BD12,T_Equipos[NombreEquipo],0)))</f>
        <v>4</v>
      </c>
      <c r="DI12" s="756"/>
      <c r="DJ12" s="756">
        <f t="shared" ca="1" si="53"/>
        <v>3</v>
      </c>
      <c r="DK12" s="756">
        <f t="shared" ca="1" si="24"/>
        <v>12</v>
      </c>
      <c r="DL12" s="756">
        <f t="shared" ca="1" si="33"/>
        <v>1</v>
      </c>
      <c r="DM12" s="750" t="str">
        <f t="shared" ca="1" si="34"/>
        <v>3.1</v>
      </c>
      <c r="DN12" s="756" cm="1">
        <f t="array" aca="1" ref="DN12" ca="1">OFFSET(Horarios!$P$3,DJ12-1,0,DL12,1)</f>
        <v>3</v>
      </c>
      <c r="DO12" s="756"/>
      <c r="DP12" s="756" t="s">
        <v>90</v>
      </c>
      <c r="DQ12" s="756" t="str">
        <f t="shared" ca="1" si="35"/>
        <v>Bosnia y Herzegovina</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Empate</v>
      </c>
      <c r="E13" s="756" t="str">
        <f t="shared" ca="1" si="55"/>
        <v>-</v>
      </c>
      <c r="F13" s="756" t="str">
        <f t="shared" ca="1" si="56"/>
        <v>-</v>
      </c>
      <c r="G13" s="756"/>
      <c r="H13" s="756" t="str">
        <f t="shared" ca="1" si="57"/>
        <v>-</v>
      </c>
      <c r="I13" s="756" t="str">
        <f t="shared" ca="1" si="58"/>
        <v>-</v>
      </c>
      <c r="J13" s="756"/>
      <c r="K13" s="756" t="str">
        <f t="shared" ca="1" si="59"/>
        <v>-</v>
      </c>
      <c r="L13" s="756" t="str">
        <f t="shared" ca="1" si="60"/>
        <v>-</v>
      </c>
      <c r="M13" s="756"/>
      <c r="N13" s="756" t="str">
        <f t="shared" ca="1" si="61"/>
        <v>-</v>
      </c>
      <c r="O13" s="756" t="str">
        <f t="shared" ca="1" si="62"/>
        <v>-</v>
      </c>
      <c r="P13" s="756"/>
      <c r="Q13" s="756" t="str">
        <f t="shared" ca="1" si="63"/>
        <v>-</v>
      </c>
      <c r="R13" s="756" t="str">
        <f t="shared" ca="1" si="64"/>
        <v>-</v>
      </c>
      <c r="S13" s="756"/>
      <c r="T13" s="756" t="str">
        <f t="shared" ca="1" si="65"/>
        <v>-</v>
      </c>
      <c r="U13" s="756" t="str">
        <f t="shared" ca="1" si="66"/>
        <v>-</v>
      </c>
      <c r="V13" s="178"/>
      <c r="W13" s="80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1</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7</v>
      </c>
      <c r="BF13" s="760">
        <f t="shared" ca="1" si="26"/>
        <v>3</v>
      </c>
      <c r="BG13" s="760">
        <f t="shared" ca="1" si="17"/>
        <v>2</v>
      </c>
      <c r="BH13" s="760">
        <f t="shared" ca="1" si="18"/>
        <v>1</v>
      </c>
      <c r="BI13" s="760">
        <f t="shared" ca="1" si="19"/>
        <v>0</v>
      </c>
      <c r="BJ13" s="760">
        <f t="shared" ca="1" si="20"/>
        <v>7</v>
      </c>
      <c r="BK13" s="760">
        <f t="shared" ca="1" si="21"/>
        <v>3</v>
      </c>
      <c r="BL13" s="760">
        <f t="shared" ca="1" si="27"/>
        <v>4</v>
      </c>
      <c r="BM13" s="760" t="str">
        <f t="shared" ca="1" si="22"/>
        <v>1B</v>
      </c>
      <c r="BN13" s="760" t="str">
        <f t="shared" ca="1" si="23"/>
        <v>1B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7</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v>
      </c>
      <c r="BU13" s="770" t="str">
        <f t="shared" ca="1" si="36"/>
        <v>-</v>
      </c>
      <c r="BV13" s="770" t="str">
        <f t="shared" ca="1" si="37"/>
        <v>-</v>
      </c>
      <c r="BW13" s="770" t="str">
        <f t="shared" ca="1" si="38"/>
        <v>-</v>
      </c>
      <c r="BX13" s="770" t="str">
        <f t="shared" ca="1" si="39"/>
        <v>-</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v>
      </c>
      <c r="CA13" s="770" t="str">
        <f t="shared" ca="1" si="40"/>
        <v>-</v>
      </c>
      <c r="CB13" s="770" t="str">
        <f t="shared" ca="1" si="41"/>
        <v>-</v>
      </c>
      <c r="CC13" s="770" t="str">
        <f t="shared" ca="1" si="42"/>
        <v>-</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v>
      </c>
      <c r="CF13" s="770" t="str">
        <f t="shared" ca="1" si="43"/>
        <v>-</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v>
      </c>
      <c r="CI13" s="770" t="str">
        <f t="shared" ca="1" si="44"/>
        <v>-</v>
      </c>
      <c r="CJ13" s="770" t="str">
        <f t="shared" ca="1" si="45"/>
        <v>-</v>
      </c>
      <c r="CK13" s="770" t="str">
        <f t="shared" ca="1" si="46"/>
        <v>-</v>
      </c>
      <c r="CL13" s="770" t="str">
        <f t="shared" ca="1" si="47"/>
        <v>-</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v>
      </c>
      <c r="CO13" s="770" t="str">
        <f t="shared" ca="1" si="48"/>
        <v>-</v>
      </c>
      <c r="CP13" s="770" t="str">
        <f t="shared" ca="1" si="49"/>
        <v>-</v>
      </c>
      <c r="CQ13" s="770" t="str">
        <f t="shared" ca="1" si="50"/>
        <v>-</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v>
      </c>
      <c r="CT13" s="770" t="str">
        <f t="shared" ca="1" si="51"/>
        <v>-</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v>
      </c>
      <c r="CW13" s="769" t="str">
        <f t="shared" ca="1" si="30"/>
        <v>-</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v>
      </c>
      <c r="CZ13" s="769" t="str">
        <f t="shared" ca="1" si="31"/>
        <v>-</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v>
      </c>
      <c r="DC13" s="768" t="str">
        <f ca="1">IF(DB13="-","-",COUNTIFS(T_Equipos[Rank],"&lt;"&amp;INDEX(T_Equipos[Rank],MATCH(BD13,T_Equipos[NombreEquipo],0)),$BC$6:$BC$53,INDEX(T_Equipos[Grupo],MATCH(BD13,T_Equipos[NombreEquipo],0)))+1)</f>
        <v>-</v>
      </c>
      <c r="DD13" s="768">
        <f ca="1">DA13+COUNTIFS($DB$6:$DB$53,DB13,$DC$6:DC$53,"&lt;"&amp;DC13,$BC$6:$BC$53,INDEX(T_Equipos[Grupo],MATCH(BD13,T_Equipos[NombreEquipo],0)))</f>
        <v>1</v>
      </c>
      <c r="DE13" s="768"/>
      <c r="DF13" s="768">
        <f t="shared" ca="1" si="52"/>
        <v>1</v>
      </c>
      <c r="DG13" s="768" t="str">
        <f ca="1">IF(DB13="-","-",COUNTIFS(DF$6:DF$53,"&lt;"&amp;DF13,$BC$6:$BC$53,INDEX(T_Equipos[Grupo],MATCH(BD13,T_Equipos[NombreEquipo],0))))</f>
        <v>-</v>
      </c>
      <c r="DH13" s="768">
        <f ca="1">DA13+COUNTIFS(DB$6:DB$53,DB13,DG$6:DG$53,"&lt;"&amp;DG13,$BC$6:$BC$53,INDEX(T_Equipos[Grupo],MATCH(BD13,T_Equipos[NombreEquipo],0)))</f>
        <v>1</v>
      </c>
      <c r="DI13" s="756"/>
      <c r="DJ13" s="756">
        <f t="shared" ca="1" si="53"/>
        <v>4</v>
      </c>
      <c r="DK13" s="756">
        <f t="shared" ca="1" si="24"/>
        <v>12</v>
      </c>
      <c r="DL13" s="756">
        <f t="shared" ca="1" si="33"/>
        <v>1</v>
      </c>
      <c r="DM13" s="750" t="str">
        <f t="shared" ca="1" si="34"/>
        <v>4.1</v>
      </c>
      <c r="DN13" s="756" cm="1">
        <f t="array" aca="1" ref="DN13" ca="1">OFFSET(Horarios!$P$3,DJ13-1,0,DL13,1)</f>
        <v>4</v>
      </c>
      <c r="DO13" s="756"/>
      <c r="DP13" s="756" t="s">
        <v>650</v>
      </c>
      <c r="DQ13" s="756" t="str">
        <f t="shared" ca="1" si="35"/>
        <v>Catar</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Local</v>
      </c>
      <c r="E14" s="756" t="str">
        <f t="shared" ca="1" si="55"/>
        <v>-</v>
      </c>
      <c r="F14" s="756" t="str">
        <f t="shared" ca="1" si="56"/>
        <v>P.2 (2)</v>
      </c>
      <c r="G14" s="756"/>
      <c r="H14" s="756" t="str">
        <f t="shared" ca="1" si="57"/>
        <v>-</v>
      </c>
      <c r="I14" s="756" t="str">
        <f t="shared" ca="1" si="58"/>
        <v>P.2 (2)</v>
      </c>
      <c r="J14" s="756"/>
      <c r="K14" s="756" t="str">
        <f t="shared" ca="1" si="59"/>
        <v>-</v>
      </c>
      <c r="L14" s="756" t="str">
        <f t="shared" ca="1" si="60"/>
        <v>P.2 (2)</v>
      </c>
      <c r="M14" s="756"/>
      <c r="N14" s="756" t="str">
        <f t="shared" ca="1" si="61"/>
        <v>-</v>
      </c>
      <c r="O14" s="756" t="str">
        <f t="shared" ca="1" si="62"/>
        <v>P.2 (2)</v>
      </c>
      <c r="P14" s="756"/>
      <c r="Q14" s="756" t="str">
        <f t="shared" ca="1" si="63"/>
        <v>-</v>
      </c>
      <c r="R14" s="756" t="str">
        <f t="shared" ca="1" si="64"/>
        <v>P.2 (2)</v>
      </c>
      <c r="S14" s="756"/>
      <c r="T14" s="756" t="str">
        <f t="shared" ca="1" si="65"/>
        <v>-</v>
      </c>
      <c r="U14" s="756" t="str">
        <f t="shared" ca="1" si="66"/>
        <v>P.2 (2)</v>
      </c>
      <c r="V14" s="178"/>
      <c r="W14" s="80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1</v>
      </c>
      <c r="AH14" s="202">
        <v>26</v>
      </c>
      <c r="AI14" s="19" t="str">
        <f>AJ14&amp;$B$12</f>
        <v>1B</v>
      </c>
      <c r="AJ14" s="262">
        <v>1</v>
      </c>
      <c r="AK14" s="496" t="str" cm="1">
        <f t="array" aca="1" ref="AK14" ca="1">Ver_flag_visit</f>
        <v>🇨🇭</v>
      </c>
      <c r="AL14" s="218" t="str">
        <f ca="1">IFERROR(INDEX($BD$6:$BD$53,MATCH(AI14,$BN$6:$BN$53,0)),"")</f>
        <v>Suiza</v>
      </c>
      <c r="AM14" s="219">
        <f t="shared" ref="AM14:AT17" ca="1" si="71">INDEX($BE$6:$BN$53,MATCH($AL14,$BD$6:$BD$53,0),MATCH(AM$5,$BE$5:$BN$5,0))</f>
        <v>7</v>
      </c>
      <c r="AN14" s="220">
        <f t="shared" ca="1" si="71"/>
        <v>3</v>
      </c>
      <c r="AO14" s="220">
        <f t="shared" ca="1" si="71"/>
        <v>2</v>
      </c>
      <c r="AP14" s="220">
        <f t="shared" ca="1" si="71"/>
        <v>1</v>
      </c>
      <c r="AQ14" s="220">
        <f t="shared" ca="1" si="71"/>
        <v>0</v>
      </c>
      <c r="AR14" s="220">
        <f t="shared" ca="1" si="71"/>
        <v>7</v>
      </c>
      <c r="AS14" s="220">
        <f t="shared" ca="1" si="71"/>
        <v>3</v>
      </c>
      <c r="AT14" s="263">
        <f t="shared" ca="1" si="71"/>
        <v>4</v>
      </c>
      <c r="AU14" s="428">
        <f ca="1">INDEX($DL$6:$DL$53,MATCH(AI14,$DP$6:$DP$53,0))</f>
        <v>1</v>
      </c>
      <c r="AV14" s="223" t="str">
        <f ca="1">INDEX($BD$6:$BD$53,MATCH(AI14,$BM$6:$BM$53,0))</f>
        <v>Suiza</v>
      </c>
      <c r="AW14" s="435"/>
      <c r="AX14" s="224"/>
      <c r="AY14" s="225" t="str">
        <f ca="1">+A13</f>
        <v>Canadá</v>
      </c>
      <c r="AZ14" s="226"/>
      <c r="BA14" s="181"/>
      <c r="BB14" s="756"/>
      <c r="BC14" s="768" t="str">
        <f ca="1">+INDEX(T_Equipos[Grupo],MATCH(WORLDCUP!BD14,T_Equipos[NombreEquipo],0))</f>
        <v>C</v>
      </c>
      <c r="BD14" s="756" t="str">
        <f ca="1">+Equipos!B10</f>
        <v>Brasil</v>
      </c>
      <c r="BE14" s="760">
        <f t="shared" ca="1" si="25"/>
        <v>7</v>
      </c>
      <c r="BF14" s="760">
        <f t="shared" ca="1" si="26"/>
        <v>3</v>
      </c>
      <c r="BG14" s="760">
        <f t="shared" ca="1" si="17"/>
        <v>2</v>
      </c>
      <c r="BH14" s="760">
        <f t="shared" ca="1" si="18"/>
        <v>1</v>
      </c>
      <c r="BI14" s="760">
        <f t="shared" ca="1" si="19"/>
        <v>0</v>
      </c>
      <c r="BJ14" s="760">
        <f t="shared" ca="1" si="20"/>
        <v>7</v>
      </c>
      <c r="BK14" s="760">
        <f t="shared" ca="1" si="21"/>
        <v>1</v>
      </c>
      <c r="BL14" s="760">
        <f t="shared" ca="1" si="27"/>
        <v>6</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7</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(2)</v>
      </c>
      <c r="BU14" s="770">
        <f t="shared" ca="1" si="36"/>
        <v>0</v>
      </c>
      <c r="BV14" s="770">
        <f t="shared" ca="1" si="37"/>
        <v>1</v>
      </c>
      <c r="BW14" s="770">
        <f t="shared" ca="1" si="38"/>
        <v>0</v>
      </c>
      <c r="BX14" s="770">
        <f t="shared" ca="1" si="39"/>
        <v>1</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(2)</v>
      </c>
      <c r="CA14" s="770">
        <f t="shared" ca="1" si="40"/>
        <v>1</v>
      </c>
      <c r="CB14" s="770">
        <f t="shared" ca="1" si="41"/>
        <v>1</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(2)</v>
      </c>
      <c r="CF14" s="770">
        <f t="shared" ca="1" si="43"/>
        <v>1</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(2)</v>
      </c>
      <c r="CI14" s="770">
        <f t="shared" ca="1" si="44"/>
        <v>0</v>
      </c>
      <c r="CJ14" s="770">
        <f t="shared" ca="1" si="45"/>
        <v>1</v>
      </c>
      <c r="CK14" s="770">
        <f t="shared" ca="1" si="46"/>
        <v>0</v>
      </c>
      <c r="CL14" s="770">
        <f t="shared" ca="1" si="47"/>
        <v>1</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(2)</v>
      </c>
      <c r="CO14" s="770">
        <f t="shared" ca="1" si="48"/>
        <v>1</v>
      </c>
      <c r="CP14" s="770">
        <f t="shared" ca="1" si="49"/>
        <v>1</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(2)</v>
      </c>
      <c r="CT14" s="770">
        <f t="shared" ca="1" si="51"/>
        <v>1</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(2)</v>
      </c>
      <c r="CW14" s="769">
        <f t="shared" ca="1" si="30"/>
        <v>6</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v>
      </c>
      <c r="CZ14" s="769" t="str">
        <f t="shared" ca="1" si="31"/>
        <v>-</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v>
      </c>
      <c r="DC14" s="768" t="str">
        <f ca="1">IF(DB14="-","-",COUNTIFS(T_Equipos[Rank],"&lt;"&amp;INDEX(T_Equipos[Rank],MATCH(BD14,T_Equipos[NombreEquipo],0)),$BC$6:$BC$53,INDEX(T_Equipos[Grupo],MATCH(BD14,T_Equipos[NombreEquipo],0)))+1)</f>
        <v>-</v>
      </c>
      <c r="DD14" s="768">
        <f ca="1">DA14+COUNTIFS($DB$6:$DB$53,DB14,$DC$6:DC$53,"&lt;"&amp;DC14,$BC$6:$BC$53,INDEX(T_Equipos[Grupo],MATCH(BD14,T_Equipos[NombreEquipo],0)))</f>
        <v>1</v>
      </c>
      <c r="DE14" s="768"/>
      <c r="DF14" s="768">
        <f t="shared" ca="1" si="52"/>
        <v>1</v>
      </c>
      <c r="DG14" s="768" t="str">
        <f ca="1">IF(DB14="-","-",COUNTIFS(DF$6:DF$53,"&lt;"&amp;DF14,$BC$6:$BC$53,INDEX(T_Equipos[Grupo],MATCH(BD14,T_Equipos[NombreEquipo],0))))</f>
        <v>-</v>
      </c>
      <c r="DH14" s="768">
        <f ca="1">DA14+COUNTIFS(DB$6:DB$53,DB14,DG$6:DG$53,"&lt;"&amp;DG14,$BC$6:$BC$53,INDEX(T_Equipos[Grupo],MATCH(BD14,T_Equipos[NombreEquipo],0)))</f>
        <v>1</v>
      </c>
      <c r="DI14" s="756"/>
      <c r="DJ14" s="756">
        <f t="shared" ca="1" si="53"/>
        <v>1</v>
      </c>
      <c r="DK14" s="756">
        <f t="shared" ca="1" si="24"/>
        <v>12</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Local</v>
      </c>
      <c r="E15" s="756" t="str">
        <f t="shared" ca="1" si="55"/>
        <v>P.2 (2)</v>
      </c>
      <c r="F15" s="756" t="str">
        <f t="shared" ca="1" si="56"/>
        <v>-</v>
      </c>
      <c r="G15" s="756"/>
      <c r="H15" s="756" t="str">
        <f t="shared" ca="1" si="57"/>
        <v>P.2 (2)</v>
      </c>
      <c r="I15" s="756" t="str">
        <f t="shared" ca="1" si="58"/>
        <v>-</v>
      </c>
      <c r="J15" s="756"/>
      <c r="K15" s="756" t="str">
        <f t="shared" ca="1" si="59"/>
        <v>P.2 (2)</v>
      </c>
      <c r="L15" s="756" t="str">
        <f t="shared" ca="1" si="60"/>
        <v>-</v>
      </c>
      <c r="M15" s="756"/>
      <c r="N15" s="756" t="str">
        <f t="shared" ca="1" si="61"/>
        <v>P.2 (2)</v>
      </c>
      <c r="O15" s="756" t="str">
        <f t="shared" ca="1" si="62"/>
        <v>-</v>
      </c>
      <c r="P15" s="756"/>
      <c r="Q15" s="756" t="str">
        <f t="shared" ca="1" si="63"/>
        <v>P.2 (2)</v>
      </c>
      <c r="R15" s="756" t="str">
        <f t="shared" ca="1" si="64"/>
        <v>-</v>
      </c>
      <c r="S15" s="756"/>
      <c r="T15" s="756" t="str">
        <f t="shared" ca="1" si="65"/>
        <v>P.2 (2)</v>
      </c>
      <c r="U15" s="756" t="str">
        <f t="shared" ca="1" si="66"/>
        <v>-</v>
      </c>
      <c r="V15" s="178"/>
      <c r="W15" s="80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1</v>
      </c>
      <c r="AH15" s="202">
        <v>27</v>
      </c>
      <c r="AI15" s="19" t="str">
        <f t="shared" ref="AI15:AI17" si="72">AJ15&amp;$B$12</f>
        <v>2B</v>
      </c>
      <c r="AJ15" s="264">
        <v>2</v>
      </c>
      <c r="AK15" s="494" t="str" cm="1">
        <f t="array" aca="1" ref="AK15" ca="1">Ver_flag_visit</f>
        <v>🇨🇦</v>
      </c>
      <c r="AL15" s="228" t="str">
        <f ca="1">IFERROR(INDEX($BD$6:$BD$53,MATCH(AI15,$BN$6:$BN$53,0)),"")</f>
        <v>Canadá</v>
      </c>
      <c r="AM15" s="229">
        <f t="shared" ca="1" si="71"/>
        <v>4</v>
      </c>
      <c r="AN15" s="230">
        <f t="shared" ca="1" si="71"/>
        <v>3</v>
      </c>
      <c r="AO15" s="230">
        <f t="shared" ca="1" si="71"/>
        <v>1</v>
      </c>
      <c r="AP15" s="230">
        <f t="shared" ca="1" si="71"/>
        <v>1</v>
      </c>
      <c r="AQ15" s="230">
        <f t="shared" ca="1" si="71"/>
        <v>1</v>
      </c>
      <c r="AR15" s="230">
        <f t="shared" ca="1" si="71"/>
        <v>8</v>
      </c>
      <c r="AS15" s="230">
        <f t="shared" ca="1" si="71"/>
        <v>3</v>
      </c>
      <c r="AT15" s="265">
        <f t="shared" ca="1" si="71"/>
        <v>5</v>
      </c>
      <c r="AU15" s="428">
        <f ca="1">INDEX($DL$6:$DL$53,MATCH(AI15,$DP$6:$DP$53,0))</f>
        <v>1</v>
      </c>
      <c r="AV15" s="223" t="str">
        <f ca="1">INDEX($BD$6:$BD$53,MATCH(AI15,$BM$6:$BM$53,0))</f>
        <v>Canadá</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7</v>
      </c>
      <c r="BF15" s="760">
        <f t="shared" ca="1" si="26"/>
        <v>3</v>
      </c>
      <c r="BG15" s="760">
        <f t="shared" ca="1" si="17"/>
        <v>2</v>
      </c>
      <c r="BH15" s="760">
        <f t="shared" ca="1" si="18"/>
        <v>1</v>
      </c>
      <c r="BI15" s="760">
        <f t="shared" ca="1" si="19"/>
        <v>0</v>
      </c>
      <c r="BJ15" s="760">
        <f t="shared" ca="1" si="20"/>
        <v>6</v>
      </c>
      <c r="BK15" s="760">
        <f t="shared" ca="1" si="21"/>
        <v>3</v>
      </c>
      <c r="BL15" s="760">
        <f t="shared" ca="1" si="27"/>
        <v>3</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7</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(2)</v>
      </c>
      <c r="BU15" s="770">
        <f t="shared" ca="1" si="36"/>
        <v>0</v>
      </c>
      <c r="BV15" s="770">
        <f t="shared" ca="1" si="37"/>
        <v>1</v>
      </c>
      <c r="BW15" s="770">
        <f t="shared" ca="1" si="38"/>
        <v>0</v>
      </c>
      <c r="BX15" s="770">
        <f t="shared" ca="1" si="39"/>
        <v>1</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(2)</v>
      </c>
      <c r="CA15" s="770">
        <f t="shared" ca="1" si="40"/>
        <v>1</v>
      </c>
      <c r="CB15" s="770">
        <f t="shared" ca="1" si="41"/>
        <v>1</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(2)</v>
      </c>
      <c r="CF15" s="770">
        <f t="shared" ca="1" si="43"/>
        <v>1</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(2)</v>
      </c>
      <c r="CI15" s="770">
        <f t="shared" ca="1" si="44"/>
        <v>0</v>
      </c>
      <c r="CJ15" s="770">
        <f t="shared" ca="1" si="45"/>
        <v>1</v>
      </c>
      <c r="CK15" s="770">
        <f t="shared" ca="1" si="46"/>
        <v>0</v>
      </c>
      <c r="CL15" s="770">
        <f t="shared" ca="1" si="47"/>
        <v>1</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(2)</v>
      </c>
      <c r="CO15" s="770">
        <f t="shared" ca="1" si="48"/>
        <v>1</v>
      </c>
      <c r="CP15" s="770">
        <f t="shared" ca="1" si="49"/>
        <v>1</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(2)</v>
      </c>
      <c r="CT15" s="770">
        <f t="shared" ca="1" si="51"/>
        <v>1</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(2)</v>
      </c>
      <c r="CW15" s="769">
        <f t="shared" ca="1" si="30"/>
        <v>3</v>
      </c>
      <c r="CX15" s="769">
        <f ca="1">CU15+COUNTIFS($CV$6:$CV$53,CV15,$CW$6:CW$53,"&gt;"&amp;CW15,$BC$6:$BC$53,INDEX(T_Equipos[Grupo],MATCH(BD15,T_Equipos[NombreEquipo],0)))</f>
        <v>2</v>
      </c>
      <c r="CY15" s="769" t="str">
        <f ca="1">IF(COUNTIFS($CX$6:$CX$53,CX15,$BC$6:$BC$53,INDEX(T_Equipos[Grupo],MATCH(BD15,T_Equipos[NombreEquipo],0)))=1,"-","P."&amp;CX15&amp;" ("&amp;COUNTIFS($CX$6:$CX$53,CX15,$BC$6:$BC$53,INDEX(T_Equipos[Grupo],MATCH(BD15,T_Equipos[NombreEquipo],0)))&amp;")")</f>
        <v>-</v>
      </c>
      <c r="CZ15" s="769" t="str">
        <f t="shared" ca="1" si="31"/>
        <v>-</v>
      </c>
      <c r="DA15" s="770">
        <f ca="1">CX15+COUNTIFS($CY$6:$CY$53,CY15,$CZ$6:CZ$53,"&gt;"&amp;CZ15,$BC$6:$BC$53,INDEX(T_Equipos[Grupo],MATCH(BD15,T_Equipos[NombreEquipo],0)))</f>
        <v>2</v>
      </c>
      <c r="DB15" s="769" t="str">
        <f ca="1">IF(COUNTIFS($DA$6:$DA$53,DA15,$BC$6:$BC$53,INDEX(T_Equipos[Grupo],MATCH(BD15,T_Equipos[NombreEquipo],0)))=1,"-","P."&amp;DA15&amp;" ("&amp;COUNTIFS($DA$6:$DA$53,DA15,$BC$6:$BC$53,INDEX(T_Equipos[Grupo],MATCH(BD15,T_Equipos[NombreEquipo],0)))&amp;")")</f>
        <v>-</v>
      </c>
      <c r="DC15" s="768" t="str">
        <f ca="1">IF(DB15="-","-",COUNTIFS(T_Equipos[Rank],"&lt;"&amp;INDEX(T_Equipos[Rank],MATCH(BD15,T_Equipos[NombreEquipo],0)),$BC$6:$BC$53,INDEX(T_Equipos[Grupo],MATCH(BD15,T_Equipos[NombreEquipo],0)))+1)</f>
        <v>-</v>
      </c>
      <c r="DD15" s="768">
        <f ca="1">DA15+COUNTIFS($DB$6:$DB$53,DB15,$DC$6:DC$53,"&lt;"&amp;DC15,$BC$6:$BC$53,INDEX(T_Equipos[Grupo],MATCH(BD15,T_Equipos[NombreEquipo],0)))</f>
        <v>2</v>
      </c>
      <c r="DE15" s="768"/>
      <c r="DF15" s="768">
        <f t="shared" ca="1" si="52"/>
        <v>2</v>
      </c>
      <c r="DG15" s="768" t="str">
        <f ca="1">IF(DB15="-","-",COUNTIFS(DF$6:DF$53,"&lt;"&amp;DF15,$BC$6:$BC$53,INDEX(T_Equipos[Grupo],MATCH(BD15,T_Equipos[NombreEquipo],0))))</f>
        <v>-</v>
      </c>
      <c r="DH15" s="768">
        <f ca="1">DA15+COUNTIFS(DB$6:DB$53,DB15,DG$6:DG$53,"&lt;"&amp;DG15,$BC$6:$BC$53,INDEX(T_Equipos[Grupo],MATCH(BD15,T_Equipos[NombreEquipo],0)))</f>
        <v>2</v>
      </c>
      <c r="DI15" s="756"/>
      <c r="DJ15" s="756">
        <f t="shared" ca="1" si="53"/>
        <v>2</v>
      </c>
      <c r="DK15" s="756">
        <f t="shared" ca="1" si="24"/>
        <v>12</v>
      </c>
      <c r="DL15" s="756">
        <f t="shared" ca="1" si="33"/>
        <v>1</v>
      </c>
      <c r="DM15" s="750" t="str">
        <f t="shared" ca="1" si="34"/>
        <v>2.1</v>
      </c>
      <c r="DN15" s="756" cm="1">
        <f t="array" aca="1" ref="DN15" ca="1">OFFSET(Horarios!$P$3,DJ15-1,0,DL15,1)</f>
        <v>2</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Local</v>
      </c>
      <c r="E16" s="756" t="str">
        <f t="shared" ca="1" si="55"/>
        <v>-</v>
      </c>
      <c r="F16" s="756" t="str">
        <f t="shared" ca="1" si="56"/>
        <v>P.2 (2)</v>
      </c>
      <c r="G16" s="756"/>
      <c r="H16" s="756" t="str">
        <f t="shared" ca="1" si="57"/>
        <v>-</v>
      </c>
      <c r="I16" s="756" t="str">
        <f t="shared" ca="1" si="58"/>
        <v>P.2 (2)</v>
      </c>
      <c r="J16" s="756"/>
      <c r="K16" s="756" t="str">
        <f t="shared" ca="1" si="59"/>
        <v>-</v>
      </c>
      <c r="L16" s="756" t="str">
        <f t="shared" ca="1" si="60"/>
        <v>P.2 (2)</v>
      </c>
      <c r="M16" s="756"/>
      <c r="N16" s="756" t="str">
        <f t="shared" ca="1" si="61"/>
        <v>-</v>
      </c>
      <c r="O16" s="756" t="str">
        <f t="shared" ca="1" si="62"/>
        <v>P.2 (2)</v>
      </c>
      <c r="P16" s="756"/>
      <c r="Q16" s="756" t="str">
        <f t="shared" ca="1" si="63"/>
        <v>-</v>
      </c>
      <c r="R16" s="756" t="str">
        <f t="shared" ca="1" si="64"/>
        <v>P.2 (2)</v>
      </c>
      <c r="S16" s="756"/>
      <c r="T16" s="756" t="str">
        <f t="shared" ca="1" si="65"/>
        <v>-</v>
      </c>
      <c r="U16" s="756" t="str">
        <f t="shared" ca="1" si="66"/>
        <v>P.2 (2)</v>
      </c>
      <c r="V16" s="178"/>
      <c r="W16" s="80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1</v>
      </c>
      <c r="AH16" s="202">
        <v>51</v>
      </c>
      <c r="AI16" s="19" t="str">
        <f t="shared" si="72"/>
        <v>3B</v>
      </c>
      <c r="AJ16" s="264">
        <v>3</v>
      </c>
      <c r="AK16" s="494" t="str" cm="1">
        <f t="array" aca="1" ref="AK16" ca="1">Ver_flag_visit</f>
        <v>🇧🇦</v>
      </c>
      <c r="AL16" s="228" t="str">
        <f ca="1">IFERROR(INDEX($BD$6:$BD$53,MATCH(AI16,$BN$6:$BN$53,0)),"")</f>
        <v>Bosnia y Herzegovina</v>
      </c>
      <c r="AM16" s="229">
        <f t="shared" ca="1" si="71"/>
        <v>4</v>
      </c>
      <c r="AN16" s="230">
        <f t="shared" ca="1" si="71"/>
        <v>3</v>
      </c>
      <c r="AO16" s="230">
        <f t="shared" ca="1" si="71"/>
        <v>1</v>
      </c>
      <c r="AP16" s="230">
        <f t="shared" ca="1" si="71"/>
        <v>1</v>
      </c>
      <c r="AQ16" s="230">
        <f t="shared" ca="1" si="71"/>
        <v>1</v>
      </c>
      <c r="AR16" s="230">
        <f t="shared" ca="1" si="71"/>
        <v>5</v>
      </c>
      <c r="AS16" s="230">
        <f t="shared" ca="1" si="71"/>
        <v>6</v>
      </c>
      <c r="AT16" s="265">
        <f t="shared" ca="1" si="71"/>
        <v>-1</v>
      </c>
      <c r="AU16" s="428">
        <f ca="1">INDEX($DL$6:$DL$53,MATCH(AI16,$DP$6:$DP$53,0))</f>
        <v>1</v>
      </c>
      <c r="AV16" s="223" t="str">
        <f ca="1">INDEX($BD$6:$BD$53,MATCH(AI16,$BM$6:$BM$53,0))</f>
        <v>Bosnia y Herzegovina</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3</v>
      </c>
      <c r="BG16" s="760">
        <f t="shared" ca="1" si="17"/>
        <v>0</v>
      </c>
      <c r="BH16" s="760">
        <f t="shared" ca="1" si="18"/>
        <v>0</v>
      </c>
      <c r="BI16" s="760">
        <f t="shared" ca="1" si="19"/>
        <v>3</v>
      </c>
      <c r="BJ16" s="760">
        <f t="shared" ca="1" si="20"/>
        <v>2</v>
      </c>
      <c r="BK16" s="760">
        <f t="shared" ca="1" si="21"/>
        <v>8</v>
      </c>
      <c r="BL16" s="760">
        <f t="shared" ca="1" si="27"/>
        <v>-6</v>
      </c>
      <c r="BM16" s="760" t="str">
        <f t="shared" ca="1" si="22"/>
        <v>4C</v>
      </c>
      <c r="BN16" s="760" t="str">
        <f t="shared" ca="1" si="23"/>
        <v>4C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4</v>
      </c>
      <c r="BT16" s="769" t="str">
        <f ca="1">IF(COUNTIFS($BS$6:$BS$53,BS16,$BC$6:$BC$53,INDEX(T_Equipos[Grupo],MATCH(BD16,T_Equipos[NombreEquipo],0)))=1,"-","P."&amp;BS16&amp;" ("&amp;COUNTIFS($BS$6:$BS$53,BS16,$BC$6:$BC$53,INDEX(T_Equipos[Grupo],MATCH(BD16,T_Equipos[NombreEquipo],0)))&amp;")")</f>
        <v>-</v>
      </c>
      <c r="BU16" s="770" t="str">
        <f t="shared" ca="1" si="36"/>
        <v>-</v>
      </c>
      <c r="BV16" s="770" t="str">
        <f t="shared" ca="1" si="37"/>
        <v>-</v>
      </c>
      <c r="BW16" s="770" t="str">
        <f t="shared" ca="1" si="38"/>
        <v>-</v>
      </c>
      <c r="BX16" s="770" t="str">
        <f t="shared" ca="1" si="39"/>
        <v>-</v>
      </c>
      <c r="BY16" s="770">
        <f ca="1">BS16+COUNTIFS($BT$6:$BT$53,BT16,$BX$6:BX$53,"&gt;"&amp;BX16,$BC$6:$BC$53,INDEX(T_Equipos[Grupo],MATCH(BD16,T_Equipos[NombreEquipo],0)))</f>
        <v>4</v>
      </c>
      <c r="BZ16" s="769" t="str">
        <f ca="1">IF(COUNTIFS($BY$6:$BY$53,BY16,$BC$6:$BC$53,INDEX(T_Equipos[Grupo],MATCH(BD16,T_Equipos[NombreEquipo],0)))=1,"-","P."&amp;BY16&amp;" ("&amp;COUNTIFS($BY$6:$BY$53,BY16,$BC$6:$BC$53,INDEX(T_Equipos[Grupo],MATCH(BD16,T_Equipos[NombreEquipo],0)))&amp;")")</f>
        <v>-</v>
      </c>
      <c r="CA16" s="770" t="str">
        <f t="shared" ca="1" si="40"/>
        <v>-</v>
      </c>
      <c r="CB16" s="770" t="str">
        <f t="shared" ca="1" si="41"/>
        <v>-</v>
      </c>
      <c r="CC16" s="770" t="str">
        <f t="shared" ca="1" si="42"/>
        <v>-</v>
      </c>
      <c r="CD16" s="770">
        <f ca="1">BY16+COUNTIFS($BZ$6:$BZ$53,BZ16,$CC$6:CC$53,"&gt;"&amp;CC16,$BC$6:$BC$53,INDEX(T_Equipos[Grupo],MATCH(BD16,T_Equipos[NombreEquipo],0)))</f>
        <v>4</v>
      </c>
      <c r="CE16" s="769" t="str">
        <f ca="1">IF(COUNTIFS($CD$6:$CD$53,CD16,$BC$6:$BC$53,INDEX(T_Equipos[Grupo],MATCH(BD16,T_Equipos[NombreEquipo],0)))=1,"-","P."&amp;CD16&amp;" ("&amp;COUNTIFS($CD$6:$CD$53,CD16,$BC$6:$BC$53,INDEX(T_Equipos[Grupo],MATCH(BD16,T_Equipos[NombreEquipo],0)))&amp;")")</f>
        <v>-</v>
      </c>
      <c r="CF16" s="770" t="str">
        <f t="shared" ca="1" si="43"/>
        <v>-</v>
      </c>
      <c r="CG16" s="770">
        <f ca="1">CD16+COUNTIFS($CE$6:$CE$53,CE16,$CF$6:CF$53,"&gt;"&amp;CF16,$BC$6:$BC$53,INDEX(T_Equipos[Grupo],MATCH(BD16,T_Equipos[NombreEquipo],0)))</f>
        <v>4</v>
      </c>
      <c r="CH16" s="769" t="str">
        <f ca="1">IF(COUNTIFS($CG$6:$CG$53,CG16,$BC$6:$BC$53,INDEX(T_Equipos[Grupo],MATCH(BD16,T_Equipos[NombreEquipo],0)))=1,"-","P."&amp;CG16&amp;" ("&amp;COUNTIFS($CG$6:$CG$53,CG16,$BC$6:$BC$53,INDEX(T_Equipos[Grupo],MATCH(BD16,T_Equipos[NombreEquipo],0)))&amp;")")</f>
        <v>-</v>
      </c>
      <c r="CI16" s="770" t="str">
        <f t="shared" ca="1" si="44"/>
        <v>-</v>
      </c>
      <c r="CJ16" s="770" t="str">
        <f t="shared" ca="1" si="45"/>
        <v>-</v>
      </c>
      <c r="CK16" s="770" t="str">
        <f t="shared" ca="1" si="46"/>
        <v>-</v>
      </c>
      <c r="CL16" s="770" t="str">
        <f t="shared" ca="1" si="47"/>
        <v>-</v>
      </c>
      <c r="CM16" s="770">
        <f ca="1">CG16+COUNTIFS($CH$6:$CH$53,CH16,$CL$6:CL$53,"&gt;"&amp;CL16,$BC$6:$BC$53,INDEX(T_Equipos[Grupo],MATCH(BD16,T_Equipos[NombreEquipo],0)))</f>
        <v>4</v>
      </c>
      <c r="CN16" s="769" t="str">
        <f ca="1">IF(COUNTIFS($CM$6:$CM$53,CM16,$BC$6:$BC$53,INDEX(T_Equipos[Grupo],MATCH(BD16,T_Equipos[NombreEquipo],0)))=1,"-","P."&amp;CM16&amp;" ("&amp;COUNTIFS($CM$6:$CM$53,CM16,$BC$6:$BC$53,INDEX(T_Equipos[Grupo],MATCH(BD16,T_Equipos[NombreEquipo],0)))&amp;")")</f>
        <v>-</v>
      </c>
      <c r="CO16" s="770" t="str">
        <f t="shared" ca="1" si="48"/>
        <v>-</v>
      </c>
      <c r="CP16" s="770" t="str">
        <f t="shared" ca="1" si="49"/>
        <v>-</v>
      </c>
      <c r="CQ16" s="770" t="str">
        <f t="shared" ca="1" si="50"/>
        <v>-</v>
      </c>
      <c r="CR16" s="770">
        <f ca="1">CM16+COUNTIFS($CN$6:$CN$53,CN16,$CQ$6:CQ$53,"&gt;"&amp;CQ16,$BC$6:$BC$53,INDEX(T_Equipos[Grupo],MATCH(BD16,T_Equipos[NombreEquipo],0)))</f>
        <v>4</v>
      </c>
      <c r="CS16" s="769" t="str">
        <f ca="1">IF(COUNTIFS($CR$6:$CR$53,CR16,$BC$6:$BC$53,INDEX(T_Equipos[Grupo],MATCH(BD16,T_Equipos[NombreEquipo],0)))=1,"-","P."&amp;CR16&amp;" ("&amp;COUNTIFS($CR$6:$CR$53,CR16,$BC$6:$BC$53,INDEX(T_Equipos[Grupo],MATCH(BD16,T_Equipos[NombreEquipo],0)))&amp;")")</f>
        <v>-</v>
      </c>
      <c r="CT16" s="770" t="str">
        <f t="shared" ca="1" si="51"/>
        <v>-</v>
      </c>
      <c r="CU16" s="770">
        <f ca="1">CR16+COUNTIFS($CS$6:$CS$53,CS16,$CT$6:CT$53,"&gt;"&amp;CT16,$BC$6:$BC$53,INDEX(T_Equipos[Grupo],MATCH(BD16,T_Equipos[NombreEquipo],0)))</f>
        <v>4</v>
      </c>
      <c r="CV16" s="769" t="str">
        <f ca="1">IF(COUNTIFS($CU$6:$CU$53,CU16,$BC$6:$BC$53,INDEX(T_Equipos[Grupo],MATCH(BD16,T_Equipos[NombreEquipo],0)))=1,"-","P."&amp;CU16&amp;" ("&amp;COUNTIFS($CU$6:$CU$53,CU16,$BC$6:$BC$53,INDEX(T_Equipos[Grupo],MATCH(BD16,T_Equipos[NombreEquipo],0)))&amp;")")</f>
        <v>-</v>
      </c>
      <c r="CW16" s="769" t="str">
        <f t="shared" ca="1" si="30"/>
        <v>-</v>
      </c>
      <c r="CX16" s="769">
        <f ca="1">CU16+COUNTIFS($CV$6:$CV$53,CV16,$CW$6:CW$53,"&gt;"&amp;CW16,$BC$6:$BC$53,INDEX(T_Equipos[Grupo],MATCH(BD16,T_Equipos[NombreEquipo],0)))</f>
        <v>4</v>
      </c>
      <c r="CY16" s="769" t="str">
        <f ca="1">IF(COUNTIFS($CX$6:$CX$53,CX16,$BC$6:$BC$53,INDEX(T_Equipos[Grupo],MATCH(BD16,T_Equipos[NombreEquipo],0)))=1,"-","P."&amp;CX16&amp;" ("&amp;COUNTIFS($CX$6:$CX$53,CX16,$BC$6:$BC$53,INDEX(T_Equipos[Grupo],MATCH(BD16,T_Equipos[NombreEquipo],0)))&amp;")")</f>
        <v>-</v>
      </c>
      <c r="CZ16" s="769" t="str">
        <f t="shared" ca="1" si="31"/>
        <v>-</v>
      </c>
      <c r="DA16" s="770">
        <f ca="1">CX16+COUNTIFS($CY$6:$CY$53,CY16,$CZ$6:CZ$53,"&gt;"&amp;CZ16,$BC$6:$BC$53,INDEX(T_Equipos[Grupo],MATCH(BD16,T_Equipos[NombreEquipo],0)))</f>
        <v>4</v>
      </c>
      <c r="DB16" s="769" t="str">
        <f ca="1">IF(COUNTIFS($DA$6:$DA$53,DA16,$BC$6:$BC$53,INDEX(T_Equipos[Grupo],MATCH(BD16,T_Equipos[NombreEquipo],0)))=1,"-","P."&amp;DA16&amp;" ("&amp;COUNTIFS($DA$6:$DA$53,DA16,$BC$6:$BC$53,INDEX(T_Equipos[Grupo],MATCH(BD16,T_Equipos[NombreEquipo],0)))&amp;")")</f>
        <v>-</v>
      </c>
      <c r="DC16" s="768" t="str">
        <f ca="1">IF(DB16="-","-",COUNTIFS(T_Equipos[Rank],"&lt;"&amp;INDEX(T_Equipos[Rank],MATCH(BD16,T_Equipos[NombreEquipo],0)),$BC$6:$BC$53,INDEX(T_Equipos[Grupo],MATCH(BD16,T_Equipos[NombreEquipo],0)))+1)</f>
        <v>-</v>
      </c>
      <c r="DD16" s="768">
        <f ca="1">DA16+COUNTIFS($DB$6:$DB$53,DB16,$DC$6:DC$53,"&lt;"&amp;DC16,$BC$6:$BC$53,INDEX(T_Equipos[Grupo],MATCH(BD16,T_Equipos[NombreEquipo],0)))</f>
        <v>4</v>
      </c>
      <c r="DE16" s="768"/>
      <c r="DF16" s="768">
        <f t="shared" ca="1" si="52"/>
        <v>4</v>
      </c>
      <c r="DG16" s="768" t="str">
        <f ca="1">IF(DB16="-","-",COUNTIFS(DF$6:DF$53,"&lt;"&amp;DF16,$BC$6:$BC$53,INDEX(T_Equipos[Grupo],MATCH(BD16,T_Equipos[NombreEquipo],0))))</f>
        <v>-</v>
      </c>
      <c r="DH16" s="768">
        <f ca="1">DA16+COUNTIFS(DB$6:DB$53,DB16,DG$6:DG$53,"&lt;"&amp;DG16,$BC$6:$BC$53,INDEX(T_Equipos[Grupo],MATCH(BD16,T_Equipos[NombreEquipo],0)))</f>
        <v>4</v>
      </c>
      <c r="DI16" s="756"/>
      <c r="DJ16" s="756">
        <f t="shared" ca="1" si="53"/>
        <v>3</v>
      </c>
      <c r="DK16" s="756">
        <f t="shared" ca="1" si="24"/>
        <v>12</v>
      </c>
      <c r="DL16" s="756">
        <f t="shared" ca="1" si="33"/>
        <v>1</v>
      </c>
      <c r="DM16" s="750" t="str">
        <f t="shared" ca="1" si="34"/>
        <v>3.1</v>
      </c>
      <c r="DN16" s="756" cm="1">
        <f t="array" aca="1" ref="DN16" ca="1">OFFSET(Horarios!$P$3,DJ16-1,0,DL16,1)</f>
        <v>3</v>
      </c>
      <c r="DO16" s="756"/>
      <c r="DP16" s="756" t="s">
        <v>91</v>
      </c>
      <c r="DQ16" s="756" t="str">
        <f t="shared" ca="1" si="35"/>
        <v>Escocia</v>
      </c>
      <c r="DR16" s="756"/>
      <c r="DS16" s="756"/>
      <c r="DT16" s="756" t="str">
        <f t="shared" ca="1" si="15"/>
        <v>Suiza-Canadá</v>
      </c>
      <c r="DU16" s="756"/>
      <c r="DV16" s="756"/>
      <c r="DW16" s="8"/>
    </row>
    <row r="17" spans="1:127" ht="17" thickBot="1" x14ac:dyDescent="0.25">
      <c r="A17" s="751"/>
      <c r="B17" s="754"/>
      <c r="C17" s="751"/>
      <c r="D17" s="756" t="str">
        <f t="shared" si="54"/>
        <v>Local</v>
      </c>
      <c r="E17" s="756" t="str">
        <f t="shared" ca="1" si="55"/>
        <v>P.2 (2)</v>
      </c>
      <c r="F17" s="756" t="str">
        <f t="shared" ca="1" si="56"/>
        <v>-</v>
      </c>
      <c r="G17" s="756"/>
      <c r="H17" s="756" t="str">
        <f t="shared" ca="1" si="57"/>
        <v>P.2 (2)</v>
      </c>
      <c r="I17" s="756" t="str">
        <f t="shared" ca="1" si="58"/>
        <v>-</v>
      </c>
      <c r="J17" s="756"/>
      <c r="K17" s="756" t="str">
        <f t="shared" ca="1" si="59"/>
        <v>P.2 (2)</v>
      </c>
      <c r="L17" s="756" t="str">
        <f t="shared" ca="1" si="60"/>
        <v>-</v>
      </c>
      <c r="M17" s="756"/>
      <c r="N17" s="756" t="str">
        <f t="shared" ca="1" si="61"/>
        <v>P.2 (2)</v>
      </c>
      <c r="O17" s="756" t="str">
        <f t="shared" ca="1" si="62"/>
        <v>-</v>
      </c>
      <c r="P17" s="756"/>
      <c r="Q17" s="756" t="str">
        <f t="shared" ca="1" si="63"/>
        <v>P.2 (2)</v>
      </c>
      <c r="R17" s="756" t="str">
        <f t="shared" ca="1" si="64"/>
        <v>-</v>
      </c>
      <c r="S17" s="756"/>
      <c r="T17" s="756" t="str">
        <f t="shared" ca="1" si="65"/>
        <v>P.2 (2)</v>
      </c>
      <c r="U17" s="756" t="str">
        <f t="shared" ca="1" si="66"/>
        <v>-</v>
      </c>
      <c r="V17" s="178"/>
      <c r="W17" s="80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1</v>
      </c>
      <c r="AH17" s="202">
        <v>52</v>
      </c>
      <c r="AI17" s="19" t="str">
        <f t="shared" si="72"/>
        <v>4B</v>
      </c>
      <c r="AJ17" s="266">
        <v>4</v>
      </c>
      <c r="AK17" s="497" t="str" cm="1">
        <f t="array" aca="1" ref="AK17" ca="1">Ver_flag_visit</f>
        <v>🇶🇦</v>
      </c>
      <c r="AL17" s="267" t="str">
        <f ca="1">IFERROR(INDEX($BD$6:$BD$53,MATCH(AI17,$BN$6:$BN$53,0)),"")</f>
        <v>Catar</v>
      </c>
      <c r="AM17" s="268">
        <f t="shared" ca="1" si="71"/>
        <v>1</v>
      </c>
      <c r="AN17" s="269">
        <f t="shared" ca="1" si="71"/>
        <v>3</v>
      </c>
      <c r="AO17" s="269">
        <f t="shared" ca="1" si="71"/>
        <v>0</v>
      </c>
      <c r="AP17" s="269">
        <f t="shared" ca="1" si="71"/>
        <v>1</v>
      </c>
      <c r="AQ17" s="269">
        <f t="shared" ca="1" si="71"/>
        <v>2</v>
      </c>
      <c r="AR17" s="269">
        <f t="shared" ca="1" si="71"/>
        <v>2</v>
      </c>
      <c r="AS17" s="269">
        <f t="shared" ca="1" si="71"/>
        <v>10</v>
      </c>
      <c r="AT17" s="270">
        <f t="shared" ca="1" si="71"/>
        <v>-8</v>
      </c>
      <c r="AU17" s="428">
        <f ca="1">INDEX($DL$6:$DL$53,MATCH(AI17,$DP$6:$DP$53,0))</f>
        <v>1</v>
      </c>
      <c r="AV17" s="223" t="str">
        <f ca="1">INDEX($BD$6:$BD$53,MATCH(AI17,$BM$6:$BM$53,0))</f>
        <v>Catar</v>
      </c>
      <c r="AW17" s="435"/>
      <c r="AX17" s="224"/>
      <c r="AY17" s="246" t="str">
        <f ca="1">+A16</f>
        <v>Suiza</v>
      </c>
      <c r="AZ17" s="247"/>
      <c r="BA17" s="181"/>
      <c r="BB17" s="756"/>
      <c r="BC17" s="768" t="str">
        <f ca="1">+INDEX(T_Equipos[Grupo],MATCH(WORLDCUP!BD17,T_Equipos[NombreEquipo],0))</f>
        <v>C</v>
      </c>
      <c r="BD17" s="756" t="str">
        <f ca="1">+Equipos!B13</f>
        <v>Escocia</v>
      </c>
      <c r="BE17" s="760">
        <f t="shared" ca="1" si="25"/>
        <v>3</v>
      </c>
      <c r="BF17" s="760">
        <f t="shared" ca="1" si="26"/>
        <v>3</v>
      </c>
      <c r="BG17" s="760">
        <f t="shared" ca="1" si="17"/>
        <v>1</v>
      </c>
      <c r="BH17" s="760">
        <f t="shared" ca="1" si="18"/>
        <v>0</v>
      </c>
      <c r="BI17" s="760">
        <f t="shared" ca="1" si="19"/>
        <v>2</v>
      </c>
      <c r="BJ17" s="760">
        <f t="shared" ca="1" si="20"/>
        <v>1</v>
      </c>
      <c r="BK17" s="760">
        <f t="shared" ca="1" si="21"/>
        <v>4</v>
      </c>
      <c r="BL17" s="760">
        <f t="shared" ca="1" si="27"/>
        <v>-3</v>
      </c>
      <c r="BM17" s="760" t="str">
        <f t="shared" ca="1" si="22"/>
        <v>3C</v>
      </c>
      <c r="BN17" s="760" t="str">
        <f t="shared" ca="1" si="23"/>
        <v>3C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3</v>
      </c>
      <c r="BS17" s="769">
        <f ca="1">BP17+COUNTIFS($BQ$6:$BQ$53,BQ17,$BR$6:BR$53,"&gt;"&amp;BR17,$BC$6:$BC$53,INDEX(T_Equipos[Grupo],MATCH(BD17,T_Equipos[NombreEquipo],0)))</f>
        <v>3</v>
      </c>
      <c r="BT17" s="769" t="str">
        <f ca="1">IF(COUNTIFS($BS$6:$BS$53,BS17,$BC$6:$BC$53,INDEX(T_Equipos[Grupo],MATCH(BD17,T_Equipos[NombreEquipo],0)))=1,"-","P."&amp;BS17&amp;" ("&amp;COUNTIFS($BS$6:$BS$53,BS17,$BC$6:$BC$53,INDEX(T_Equipos[Grupo],MATCH(BD17,T_Equipos[NombreEquipo],0)))&amp;")")</f>
        <v>-</v>
      </c>
      <c r="BU17" s="770" t="str">
        <f t="shared" ca="1" si="36"/>
        <v>-</v>
      </c>
      <c r="BV17" s="770" t="str">
        <f t="shared" ca="1" si="37"/>
        <v>-</v>
      </c>
      <c r="BW17" s="770" t="str">
        <f t="shared" ca="1" si="38"/>
        <v>-</v>
      </c>
      <c r="BX17" s="770" t="str">
        <f t="shared" ca="1" si="39"/>
        <v>-</v>
      </c>
      <c r="BY17" s="770">
        <f ca="1">BS17+COUNTIFS($BT$6:$BT$53,BT17,$BX$6:BX$53,"&gt;"&amp;BX17,$BC$6:$BC$53,INDEX(T_Equipos[Grupo],MATCH(BD17,T_Equipos[NombreEquipo],0)))</f>
        <v>3</v>
      </c>
      <c r="BZ17" s="769" t="str">
        <f ca="1">IF(COUNTIFS($BY$6:$BY$53,BY17,$BC$6:$BC$53,INDEX(T_Equipos[Grupo],MATCH(BD17,T_Equipos[NombreEquipo],0)))=1,"-","P."&amp;BY17&amp;" ("&amp;COUNTIFS($BY$6:$BY$53,BY17,$BC$6:$BC$53,INDEX(T_Equipos[Grupo],MATCH(BD17,T_Equipos[NombreEquipo],0)))&amp;")")</f>
        <v>-</v>
      </c>
      <c r="CA17" s="770" t="str">
        <f t="shared" ca="1" si="40"/>
        <v>-</v>
      </c>
      <c r="CB17" s="770" t="str">
        <f t="shared" ca="1" si="41"/>
        <v>-</v>
      </c>
      <c r="CC17" s="770" t="str">
        <f t="shared" ca="1" si="42"/>
        <v>-</v>
      </c>
      <c r="CD17" s="770">
        <f ca="1">BY17+COUNTIFS($BZ$6:$BZ$53,BZ17,$CC$6:CC$53,"&gt;"&amp;CC17,$BC$6:$BC$53,INDEX(T_Equipos[Grupo],MATCH(BD17,T_Equipos[NombreEquipo],0)))</f>
        <v>3</v>
      </c>
      <c r="CE17" s="769" t="str">
        <f ca="1">IF(COUNTIFS($CD$6:$CD$53,CD17,$BC$6:$BC$53,INDEX(T_Equipos[Grupo],MATCH(BD17,T_Equipos[NombreEquipo],0)))=1,"-","P."&amp;CD17&amp;" ("&amp;COUNTIFS($CD$6:$CD$53,CD17,$BC$6:$BC$53,INDEX(T_Equipos[Grupo],MATCH(BD17,T_Equipos[NombreEquipo],0)))&amp;")")</f>
        <v>-</v>
      </c>
      <c r="CF17" s="770" t="str">
        <f t="shared" ca="1" si="43"/>
        <v>-</v>
      </c>
      <c r="CG17" s="770">
        <f ca="1">CD17+COUNTIFS($CE$6:$CE$53,CE17,$CF$6:CF$53,"&gt;"&amp;CF17,$BC$6:$BC$53,INDEX(T_Equipos[Grupo],MATCH(BD17,T_Equipos[NombreEquipo],0)))</f>
        <v>3</v>
      </c>
      <c r="CH17" s="769" t="str">
        <f ca="1">IF(COUNTIFS($CG$6:$CG$53,CG17,$BC$6:$BC$53,INDEX(T_Equipos[Grupo],MATCH(BD17,T_Equipos[NombreEquipo],0)))=1,"-","P."&amp;CG17&amp;" ("&amp;COUNTIFS($CG$6:$CG$53,CG17,$BC$6:$BC$53,INDEX(T_Equipos[Grupo],MATCH(BD17,T_Equipos[NombreEquipo],0)))&amp;")")</f>
        <v>-</v>
      </c>
      <c r="CI17" s="770" t="str">
        <f t="shared" ca="1" si="44"/>
        <v>-</v>
      </c>
      <c r="CJ17" s="770" t="str">
        <f t="shared" ca="1" si="45"/>
        <v>-</v>
      </c>
      <c r="CK17" s="770" t="str">
        <f t="shared" ca="1" si="46"/>
        <v>-</v>
      </c>
      <c r="CL17" s="770" t="str">
        <f t="shared" ca="1" si="47"/>
        <v>-</v>
      </c>
      <c r="CM17" s="770">
        <f ca="1">CG17+COUNTIFS($CH$6:$CH$53,CH17,$CL$6:CL$53,"&gt;"&amp;CL17,$BC$6:$BC$53,INDEX(T_Equipos[Grupo],MATCH(BD17,T_Equipos[NombreEquipo],0)))</f>
        <v>3</v>
      </c>
      <c r="CN17" s="769" t="str">
        <f ca="1">IF(COUNTIFS($CM$6:$CM$53,CM17,$BC$6:$BC$53,INDEX(T_Equipos[Grupo],MATCH(BD17,T_Equipos[NombreEquipo],0)))=1,"-","P."&amp;CM17&amp;" ("&amp;COUNTIFS($CM$6:$CM$53,CM17,$BC$6:$BC$53,INDEX(T_Equipos[Grupo],MATCH(BD17,T_Equipos[NombreEquipo],0)))&amp;")")</f>
        <v>-</v>
      </c>
      <c r="CO17" s="770" t="str">
        <f t="shared" ca="1" si="48"/>
        <v>-</v>
      </c>
      <c r="CP17" s="770" t="str">
        <f t="shared" ca="1" si="49"/>
        <v>-</v>
      </c>
      <c r="CQ17" s="770" t="str">
        <f t="shared" ca="1" si="50"/>
        <v>-</v>
      </c>
      <c r="CR17" s="770">
        <f ca="1">CM17+COUNTIFS($CN$6:$CN$53,CN17,$CQ$6:CQ$53,"&gt;"&amp;CQ17,$BC$6:$BC$53,INDEX(T_Equipos[Grupo],MATCH(BD17,T_Equipos[NombreEquipo],0)))</f>
        <v>3</v>
      </c>
      <c r="CS17" s="769" t="str">
        <f ca="1">IF(COUNTIFS($CR$6:$CR$53,CR17,$BC$6:$BC$53,INDEX(T_Equipos[Grupo],MATCH(BD17,T_Equipos[NombreEquipo],0)))=1,"-","P."&amp;CR17&amp;" ("&amp;COUNTIFS($CR$6:$CR$53,CR17,$BC$6:$BC$53,INDEX(T_Equipos[Grupo],MATCH(BD17,T_Equipos[NombreEquipo],0)))&amp;")")</f>
        <v>-</v>
      </c>
      <c r="CT17" s="770" t="str">
        <f t="shared" ca="1" si="51"/>
        <v>-</v>
      </c>
      <c r="CU17" s="770">
        <f ca="1">CR17+COUNTIFS($CS$6:$CS$53,CS17,$CT$6:CT$53,"&gt;"&amp;CT17,$BC$6:$BC$53,INDEX(T_Equipos[Grupo],MATCH(BD17,T_Equipos[NombreEquipo],0)))</f>
        <v>3</v>
      </c>
      <c r="CV17" s="769" t="str">
        <f ca="1">IF(COUNTIFS($CU$6:$CU$53,CU17,$BC$6:$BC$53,INDEX(T_Equipos[Grupo],MATCH(BD17,T_Equipos[NombreEquipo],0)))=1,"-","P."&amp;CU17&amp;" ("&amp;COUNTIFS($CU$6:$CU$53,CU17,$BC$6:$BC$53,INDEX(T_Equipos[Grupo],MATCH(BD17,T_Equipos[NombreEquipo],0)))&amp;")")</f>
        <v>-</v>
      </c>
      <c r="CW17" s="769" t="str">
        <f t="shared" ca="1" si="30"/>
        <v>-</v>
      </c>
      <c r="CX17" s="769">
        <f ca="1">CU17+COUNTIFS($CV$6:$CV$53,CV17,$CW$6:CW$53,"&gt;"&amp;CW17,$BC$6:$BC$53,INDEX(T_Equipos[Grupo],MATCH(BD17,T_Equipos[NombreEquipo],0)))</f>
        <v>3</v>
      </c>
      <c r="CY17" s="769" t="str">
        <f ca="1">IF(COUNTIFS($CX$6:$CX$53,CX17,$BC$6:$BC$53,INDEX(T_Equipos[Grupo],MATCH(BD17,T_Equipos[NombreEquipo],0)))=1,"-","P."&amp;CX17&amp;" ("&amp;COUNTIFS($CX$6:$CX$53,CX17,$BC$6:$BC$53,INDEX(T_Equipos[Grupo],MATCH(BD17,T_Equipos[NombreEquipo],0)))&amp;")")</f>
        <v>-</v>
      </c>
      <c r="CZ17" s="769" t="str">
        <f t="shared" ca="1" si="31"/>
        <v>-</v>
      </c>
      <c r="DA17" s="770">
        <f ca="1">CX17+COUNTIFS($CY$6:$CY$53,CY17,$CZ$6:CZ$53,"&gt;"&amp;CZ17,$BC$6:$BC$53,INDEX(T_Equipos[Grupo],MATCH(BD17,T_Equipos[NombreEquipo],0)))</f>
        <v>3</v>
      </c>
      <c r="DB17" s="769" t="str">
        <f ca="1">IF(COUNTIFS($DA$6:$DA$53,DA17,$BC$6:$BC$53,INDEX(T_Equipos[Grupo],MATCH(BD17,T_Equipos[NombreEquipo],0)))=1,"-","P."&amp;DA17&amp;" ("&amp;COUNTIFS($DA$6:$DA$53,DA17,$BC$6:$BC$53,INDEX(T_Equipos[Grupo],MATCH(BD17,T_Equipos[NombreEquipo],0)))&amp;")")</f>
        <v>-</v>
      </c>
      <c r="DC17" s="768" t="str">
        <f ca="1">IF(DB17="-","-",COUNTIFS(T_Equipos[Rank],"&lt;"&amp;INDEX(T_Equipos[Rank],MATCH(BD17,T_Equipos[NombreEquipo],0)),$BC$6:$BC$53,INDEX(T_Equipos[Grupo],MATCH(BD17,T_Equipos[NombreEquipo],0)))+1)</f>
        <v>-</v>
      </c>
      <c r="DD17" s="768">
        <f ca="1">DA17+COUNTIFS($DB$6:$DB$53,DB17,$DC$6:DC$53,"&lt;"&amp;DC17,$BC$6:$BC$53,INDEX(T_Equipos[Grupo],MATCH(BD17,T_Equipos[NombreEquipo],0)))</f>
        <v>3</v>
      </c>
      <c r="DE17" s="768"/>
      <c r="DF17" s="768">
        <f t="shared" ca="1" si="52"/>
        <v>3</v>
      </c>
      <c r="DG17" s="768" t="str">
        <f ca="1">IF(DB17="-","-",COUNTIFS(DF$6:DF$53,"&lt;"&amp;DF17,$BC$6:$BC$53,INDEX(T_Equipos[Grupo],MATCH(BD17,T_Equipos[NombreEquipo],0))))</f>
        <v>-</v>
      </c>
      <c r="DH17" s="768">
        <f ca="1">DA17+COUNTIFS(DB$6:DB$53,DB17,DG$6:DG$53,"&lt;"&amp;DG17,$BC$6:$BC$53,INDEX(T_Equipos[Grupo],MATCH(BD17,T_Equipos[NombreEquipo],0)))</f>
        <v>3</v>
      </c>
      <c r="DI17" s="756"/>
      <c r="DJ17" s="756">
        <f t="shared" ca="1" si="53"/>
        <v>4</v>
      </c>
      <c r="DK17" s="756">
        <f t="shared" ca="1" si="24"/>
        <v>12</v>
      </c>
      <c r="DL17" s="756">
        <f t="shared" ca="1" si="33"/>
        <v>1</v>
      </c>
      <c r="DM17" s="750" t="str">
        <f t="shared" ca="1" si="34"/>
        <v>4.1</v>
      </c>
      <c r="DN17" s="756" cm="1">
        <f t="array" aca="1" ref="DN17" ca="1">OFFSET(Horarios!$P$3,DJ17-1,0,DL17,1)</f>
        <v>4</v>
      </c>
      <c r="DO17" s="756"/>
      <c r="DP17" s="756" t="s">
        <v>657</v>
      </c>
      <c r="DQ17" s="756" t="str">
        <f t="shared" ca="1" si="35"/>
        <v>Haití</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6</v>
      </c>
      <c r="BF18" s="760">
        <f t="shared" ca="1" si="26"/>
        <v>3</v>
      </c>
      <c r="BG18" s="760">
        <f t="shared" ca="1" si="17"/>
        <v>2</v>
      </c>
      <c r="BH18" s="760">
        <f t="shared" ca="1" si="18"/>
        <v>0</v>
      </c>
      <c r="BI18" s="760">
        <f t="shared" ca="1" si="19"/>
        <v>1</v>
      </c>
      <c r="BJ18" s="760">
        <f t="shared" ca="1" si="20"/>
        <v>8</v>
      </c>
      <c r="BK18" s="760">
        <f t="shared" ca="1" si="21"/>
        <v>4</v>
      </c>
      <c r="BL18" s="760">
        <f t="shared" ca="1" si="27"/>
        <v>4</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6</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v>
      </c>
      <c r="BU18" s="770" t="str">
        <f t="shared" ca="1" si="36"/>
        <v>-</v>
      </c>
      <c r="BV18" s="770" t="str">
        <f t="shared" ca="1" si="37"/>
        <v>-</v>
      </c>
      <c r="BW18" s="770" t="str">
        <f t="shared" ca="1" si="38"/>
        <v>-</v>
      </c>
      <c r="BX18" s="770" t="str">
        <f t="shared" ca="1" si="39"/>
        <v>-</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v>
      </c>
      <c r="CA18" s="770" t="str">
        <f t="shared" ca="1" si="40"/>
        <v>-</v>
      </c>
      <c r="CB18" s="770" t="str">
        <f t="shared" ca="1" si="41"/>
        <v>-</v>
      </c>
      <c r="CC18" s="770" t="str">
        <f t="shared" ca="1" si="42"/>
        <v>-</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v>
      </c>
      <c r="CF18" s="770" t="str">
        <f t="shared" ca="1" si="43"/>
        <v>-</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v>
      </c>
      <c r="CI18" s="770" t="str">
        <f t="shared" ca="1" si="44"/>
        <v>-</v>
      </c>
      <c r="CJ18" s="770" t="str">
        <f t="shared" ca="1" si="45"/>
        <v>-</v>
      </c>
      <c r="CK18" s="770" t="str">
        <f t="shared" ca="1" si="46"/>
        <v>-</v>
      </c>
      <c r="CL18" s="770" t="str">
        <f t="shared" ca="1" si="47"/>
        <v>-</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v>
      </c>
      <c r="CO18" s="770" t="str">
        <f t="shared" ca="1" si="48"/>
        <v>-</v>
      </c>
      <c r="CP18" s="770" t="str">
        <f t="shared" ca="1" si="49"/>
        <v>-</v>
      </c>
      <c r="CQ18" s="770" t="str">
        <f t="shared" ca="1" si="50"/>
        <v>-</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v>
      </c>
      <c r="CT18" s="770" t="str">
        <f t="shared" ca="1" si="51"/>
        <v>-</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v>
      </c>
      <c r="CW18" s="769" t="str">
        <f t="shared" ca="1" si="30"/>
        <v>-</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v>
      </c>
      <c r="CZ18" s="769" t="str">
        <f t="shared" ca="1" si="31"/>
        <v>-</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v>
      </c>
      <c r="DC18" s="768" t="str">
        <f ca="1">IF(DB18="-","-",COUNTIFS(T_Equipos[Rank],"&lt;"&amp;INDEX(T_Equipos[Rank],MATCH(BD18,T_Equipos[NombreEquipo],0)),$BC$6:$BC$53,INDEX(T_Equipos[Grupo],MATCH(BD18,T_Equipos[NombreEquipo],0)))+1)</f>
        <v>-</v>
      </c>
      <c r="DD18" s="768">
        <f ca="1">DA18+COUNTIFS($DB$6:$DB$53,DB18,$DC$6:DC$53,"&lt;"&amp;DC18,$BC$6:$BC$53,INDEX(T_Equipos[Grupo],MATCH(BD18,T_Equipos[NombreEquipo],0)))</f>
        <v>1</v>
      </c>
      <c r="DE18" s="768"/>
      <c r="DF18" s="768">
        <f t="shared" ca="1" si="52"/>
        <v>1</v>
      </c>
      <c r="DG18" s="768" t="str">
        <f ca="1">IF(DB18="-","-",COUNTIFS(DF$6:DF$53,"&lt;"&amp;DF18,$BC$6:$BC$53,INDEX(T_Equipos[Grupo],MATCH(BD18,T_Equipos[NombreEquipo],0))))</f>
        <v>-</v>
      </c>
      <c r="DH18" s="768">
        <f ca="1">DA18+COUNTIFS(DB$6:DB$53,DB18,DG$6:DG$53,"&lt;"&amp;DG18,$BC$6:$BC$53,INDEX(T_Equipos[Grupo],MATCH(BD18,T_Equipos[NombreEquipo],0)))</f>
        <v>1</v>
      </c>
      <c r="DI18" s="756"/>
      <c r="DJ18" s="756">
        <f t="shared" ca="1" si="53"/>
        <v>1</v>
      </c>
      <c r="DK18" s="756">
        <f t="shared" ca="1" si="24"/>
        <v>12</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4</v>
      </c>
      <c r="BF19" s="760">
        <f t="shared" ca="1" si="26"/>
        <v>3</v>
      </c>
      <c r="BG19" s="760">
        <f t="shared" ca="1" si="17"/>
        <v>1</v>
      </c>
      <c r="BH19" s="760">
        <f t="shared" ca="1" si="18"/>
        <v>1</v>
      </c>
      <c r="BI19" s="760">
        <f t="shared" ca="1" si="19"/>
        <v>1</v>
      </c>
      <c r="BJ19" s="760">
        <f t="shared" ca="1" si="20"/>
        <v>2</v>
      </c>
      <c r="BK19" s="760">
        <f t="shared" ca="1" si="21"/>
        <v>4</v>
      </c>
      <c r="BL19" s="760">
        <f t="shared" ca="1" si="27"/>
        <v>-2</v>
      </c>
      <c r="BM19" s="760" t="str">
        <f t="shared" ca="1" si="22"/>
        <v>3D</v>
      </c>
      <c r="BN19" s="760" t="str">
        <f t="shared" ca="1" si="23"/>
        <v>3D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4</v>
      </c>
      <c r="BS19" s="769">
        <f ca="1">BP19+COUNTIFS($BQ$6:$BQ$53,BQ19,$BR$6:BR$53,"&gt;"&amp;BR19,$BC$6:$BC$53,INDEX(T_Equipos[Grupo],MATCH(BD19,T_Equipos[NombreEquipo],0)))</f>
        <v>2</v>
      </c>
      <c r="BT19" s="769" t="str">
        <f ca="1">IF(COUNTIFS($BS$6:$BS$53,BS19,$BC$6:$BC$53,INDEX(T_Equipos[Grupo],MATCH(BD19,T_Equipos[NombreEquipo],0)))=1,"-","P."&amp;BS19&amp;" ("&amp;COUNTIFS($BS$6:$BS$53,BS19,$BC$6:$BC$53,INDEX(T_Equipos[Grupo],MATCH(BD19,T_Equipos[NombreEquipo],0)))&amp;")")</f>
        <v>P.2 (2)</v>
      </c>
      <c r="BU19" s="770">
        <f t="shared" ca="1" si="36"/>
        <v>0</v>
      </c>
      <c r="BV19" s="770">
        <f t="shared" ca="1" si="37"/>
        <v>1</v>
      </c>
      <c r="BW19" s="770">
        <f t="shared" ca="1" si="38"/>
        <v>0</v>
      </c>
      <c r="BX19" s="770">
        <f t="shared" ca="1" si="39"/>
        <v>1</v>
      </c>
      <c r="BY19" s="770">
        <f ca="1">BS19+COUNTIFS($BT$6:$BT$53,BT19,$BX$6:BX$53,"&gt;"&amp;BX19,$BC$6:$BC$53,INDEX(T_Equipos[Grupo],MATCH(BD19,T_Equipos[NombreEquipo],0)))</f>
        <v>2</v>
      </c>
      <c r="BZ19" s="769" t="str">
        <f ca="1">IF(COUNTIFS($BY$6:$BY$53,BY19,$BC$6:$BC$53,INDEX(T_Equipos[Grupo],MATCH(BD19,T_Equipos[NombreEquipo],0)))=1,"-","P."&amp;BY19&amp;" ("&amp;COUNTIFS($BY$6:$BY$53,BY19,$BC$6:$BC$53,INDEX(T_Equipos[Grupo],MATCH(BD19,T_Equipos[NombreEquipo],0)))&amp;")")</f>
        <v>P.2 (2)</v>
      </c>
      <c r="CA19" s="770">
        <f t="shared" ca="1" si="40"/>
        <v>0</v>
      </c>
      <c r="CB19" s="770">
        <f t="shared" ca="1" si="41"/>
        <v>0</v>
      </c>
      <c r="CC19" s="770">
        <f t="shared" ca="1" si="42"/>
        <v>0</v>
      </c>
      <c r="CD19" s="770">
        <f ca="1">BY19+COUNTIFS($BZ$6:$BZ$53,BZ19,$CC$6:CC$53,"&gt;"&amp;CC19,$BC$6:$BC$53,INDEX(T_Equipos[Grupo],MATCH(BD19,T_Equipos[NombreEquipo],0)))</f>
        <v>2</v>
      </c>
      <c r="CE19" s="769" t="str">
        <f ca="1">IF(COUNTIFS($CD$6:$CD$53,CD19,$BC$6:$BC$53,INDEX(T_Equipos[Grupo],MATCH(BD19,T_Equipos[NombreEquipo],0)))=1,"-","P."&amp;CD19&amp;" ("&amp;COUNTIFS($CD$6:$CD$53,CD19,$BC$6:$BC$53,INDEX(T_Equipos[Grupo],MATCH(BD19,T_Equipos[NombreEquipo],0)))&amp;")")</f>
        <v>P.2 (2)</v>
      </c>
      <c r="CF19" s="770">
        <f t="shared" ca="1" si="43"/>
        <v>0</v>
      </c>
      <c r="CG19" s="770">
        <f ca="1">CD19+COUNTIFS($CE$6:$CE$53,CE19,$CF$6:CF$53,"&gt;"&amp;CF19,$BC$6:$BC$53,INDEX(T_Equipos[Grupo],MATCH(BD19,T_Equipos[NombreEquipo],0)))</f>
        <v>2</v>
      </c>
      <c r="CH19" s="769" t="str">
        <f ca="1">IF(COUNTIFS($CG$6:$CG$53,CG19,$BC$6:$BC$53,INDEX(T_Equipos[Grupo],MATCH(BD19,T_Equipos[NombreEquipo],0)))=1,"-","P."&amp;CG19&amp;" ("&amp;COUNTIFS($CG$6:$CG$53,CG19,$BC$6:$BC$53,INDEX(T_Equipos[Grupo],MATCH(BD19,T_Equipos[NombreEquipo],0)))&amp;")")</f>
        <v>P.2 (2)</v>
      </c>
      <c r="CI19" s="770">
        <f t="shared" ca="1" si="44"/>
        <v>0</v>
      </c>
      <c r="CJ19" s="770">
        <f t="shared" ca="1" si="45"/>
        <v>1</v>
      </c>
      <c r="CK19" s="770">
        <f t="shared" ca="1" si="46"/>
        <v>0</v>
      </c>
      <c r="CL19" s="770">
        <f t="shared" ca="1" si="47"/>
        <v>1</v>
      </c>
      <c r="CM19" s="770">
        <f ca="1">CG19+COUNTIFS($CH$6:$CH$53,CH19,$CL$6:CL$53,"&gt;"&amp;CL19,$BC$6:$BC$53,INDEX(T_Equipos[Grupo],MATCH(BD19,T_Equipos[NombreEquipo],0)))</f>
        <v>2</v>
      </c>
      <c r="CN19" s="769" t="str">
        <f ca="1">IF(COUNTIFS($CM$6:$CM$53,CM19,$BC$6:$BC$53,INDEX(T_Equipos[Grupo],MATCH(BD19,T_Equipos[NombreEquipo],0)))=1,"-","P."&amp;CM19&amp;" ("&amp;COUNTIFS($CM$6:$CM$53,CM19,$BC$6:$BC$53,INDEX(T_Equipos[Grupo],MATCH(BD19,T_Equipos[NombreEquipo],0)))&amp;")")</f>
        <v>P.2 (2)</v>
      </c>
      <c r="CO19" s="770">
        <f t="shared" ca="1" si="48"/>
        <v>0</v>
      </c>
      <c r="CP19" s="770">
        <f t="shared" ca="1" si="49"/>
        <v>0</v>
      </c>
      <c r="CQ19" s="770">
        <f t="shared" ca="1" si="50"/>
        <v>0</v>
      </c>
      <c r="CR19" s="770">
        <f ca="1">CM19+COUNTIFS($CN$6:$CN$53,CN19,$CQ$6:CQ$53,"&gt;"&amp;CQ19,$BC$6:$BC$53,INDEX(T_Equipos[Grupo],MATCH(BD19,T_Equipos[NombreEquipo],0)))</f>
        <v>2</v>
      </c>
      <c r="CS19" s="769" t="str">
        <f ca="1">IF(COUNTIFS($CR$6:$CR$53,CR19,$BC$6:$BC$53,INDEX(T_Equipos[Grupo],MATCH(BD19,T_Equipos[NombreEquipo],0)))=1,"-","P."&amp;CR19&amp;" ("&amp;COUNTIFS($CR$6:$CR$53,CR19,$BC$6:$BC$53,INDEX(T_Equipos[Grupo],MATCH(BD19,T_Equipos[NombreEquipo],0)))&amp;")")</f>
        <v>P.2 (2)</v>
      </c>
      <c r="CT19" s="770">
        <f t="shared" ca="1" si="51"/>
        <v>0</v>
      </c>
      <c r="CU19" s="770">
        <f ca="1">CR19+COUNTIFS($CS$6:$CS$53,CS19,$CT$6:CT$53,"&gt;"&amp;CT19,$BC$6:$BC$53,INDEX(T_Equipos[Grupo],MATCH(BD19,T_Equipos[NombreEquipo],0)))</f>
        <v>2</v>
      </c>
      <c r="CV19" s="769" t="str">
        <f ca="1">IF(COUNTIFS($CU$6:$CU$53,CU19,$BC$6:$BC$53,INDEX(T_Equipos[Grupo],MATCH(BD19,T_Equipos[NombreEquipo],0)))=1,"-","P."&amp;CU19&amp;" ("&amp;COUNTIFS($CU$6:$CU$53,CU19,$BC$6:$BC$53,INDEX(T_Equipos[Grupo],MATCH(BD19,T_Equipos[NombreEquipo],0)))&amp;")")</f>
        <v>P.2 (2)</v>
      </c>
      <c r="CW19" s="769">
        <f t="shared" ca="1" si="30"/>
        <v>-2</v>
      </c>
      <c r="CX19" s="769">
        <f ca="1">CU19+COUNTIFS($CV$6:$CV$53,CV19,$CW$6:CW$53,"&gt;"&amp;CW19,$BC$6:$BC$53,INDEX(T_Equipos[Grupo],MATCH(BD19,T_Equipos[NombreEquipo],0)))</f>
        <v>3</v>
      </c>
      <c r="CY19" s="769" t="str">
        <f ca="1">IF(COUNTIFS($CX$6:$CX$53,CX19,$BC$6:$BC$53,INDEX(T_Equipos[Grupo],MATCH(BD19,T_Equipos[NombreEquipo],0)))=1,"-","P."&amp;CX19&amp;" ("&amp;COUNTIFS($CX$6:$CX$53,CX19,$BC$6:$BC$53,INDEX(T_Equipos[Grupo],MATCH(BD19,T_Equipos[NombreEquipo],0)))&amp;")")</f>
        <v>-</v>
      </c>
      <c r="CZ19" s="769" t="str">
        <f t="shared" ca="1" si="31"/>
        <v>-</v>
      </c>
      <c r="DA19" s="770">
        <f ca="1">CX19+COUNTIFS($CY$6:$CY$53,CY19,$CZ$6:CZ$53,"&gt;"&amp;CZ19,$BC$6:$BC$53,INDEX(T_Equipos[Grupo],MATCH(BD19,T_Equipos[NombreEquipo],0)))</f>
        <v>3</v>
      </c>
      <c r="DB19" s="769" t="str">
        <f ca="1">IF(COUNTIFS($DA$6:$DA$53,DA19,$BC$6:$BC$53,INDEX(T_Equipos[Grupo],MATCH(BD19,T_Equipos[NombreEquipo],0)))=1,"-","P."&amp;DA19&amp;" ("&amp;COUNTIFS($DA$6:$DA$53,DA19,$BC$6:$BC$53,INDEX(T_Equipos[Grupo],MATCH(BD19,T_Equipos[NombreEquipo],0)))&amp;")")</f>
        <v>-</v>
      </c>
      <c r="DC19" s="768" t="str">
        <f ca="1">IF(DB19="-","-",COUNTIFS(T_Equipos[Rank],"&lt;"&amp;INDEX(T_Equipos[Rank],MATCH(BD19,T_Equipos[NombreEquipo],0)),$BC$6:$BC$53,INDEX(T_Equipos[Grupo],MATCH(BD19,T_Equipos[NombreEquipo],0)))+1)</f>
        <v>-</v>
      </c>
      <c r="DD19" s="768">
        <f ca="1">DA19+COUNTIFS($DB$6:$DB$53,DB19,$DC$6:DC$53,"&lt;"&amp;DC19,$BC$6:$BC$53,INDEX(T_Equipos[Grupo],MATCH(BD19,T_Equipos[NombreEquipo],0)))</f>
        <v>3</v>
      </c>
      <c r="DE19" s="768"/>
      <c r="DF19" s="768">
        <f t="shared" ca="1" si="52"/>
        <v>3</v>
      </c>
      <c r="DG19" s="768" t="str">
        <f ca="1">IF(DB19="-","-",COUNTIFS(DF$6:DF$53,"&lt;"&amp;DF19,$BC$6:$BC$53,INDEX(T_Equipos[Grupo],MATCH(BD19,T_Equipos[NombreEquipo],0))))</f>
        <v>-</v>
      </c>
      <c r="DH19" s="768">
        <f ca="1">DA19+COUNTIFS(DB$6:DB$53,DB19,DG$6:DG$53,"&lt;"&amp;DG19,$BC$6:$BC$53,INDEX(T_Equipos[Grupo],MATCH(BD19,T_Equipos[NombreEquipo],0)))</f>
        <v>3</v>
      </c>
      <c r="DI19" s="756"/>
      <c r="DJ19" s="756">
        <f t="shared" ca="1" si="53"/>
        <v>2</v>
      </c>
      <c r="DK19" s="756">
        <f t="shared" ca="1" si="24"/>
        <v>12</v>
      </c>
      <c r="DL19" s="756">
        <f t="shared" ca="1" si="33"/>
        <v>1</v>
      </c>
      <c r="DM19" s="750" t="str">
        <f t="shared" ca="1" si="34"/>
        <v>2.1</v>
      </c>
      <c r="DN19" s="756" cm="1">
        <f t="array" aca="1" ref="DN19" ca="1">OFFSET(Horarios!$P$3,DJ19-1,0,DL19,1)</f>
        <v>2</v>
      </c>
      <c r="DO19" s="756"/>
      <c r="DP19" s="756" t="s">
        <v>659</v>
      </c>
      <c r="DQ19" s="756" t="str">
        <f t="shared" ca="1" si="35"/>
        <v>Australia</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Empate</v>
      </c>
      <c r="E20" s="756" t="str">
        <f t="shared" ref="E20:E25" ca="1" si="74">IF(D20="Pendiente","-",INDEX($BT$6:$BT$53,MATCH($AA20,$BD$6:$BD$53,0)))</f>
        <v>P.1 (2)</v>
      </c>
      <c r="F20" s="756" t="str">
        <f t="shared" ref="F20:F25" ca="1" si="75">IF(D20="Pendiente","-",INDEX($BT$6:$BT$53,MATCH($AF20,$BD$6:$BD$53,0)))</f>
        <v>P.1 (2)</v>
      </c>
      <c r="G20" s="756"/>
      <c r="H20" s="756" t="str">
        <f t="shared" ref="H20:H25" ca="1" si="76">IF(D20="Pendiente","-",INDEX($BZ$6:$BZ$53,MATCH($AA20,$BD$6:$BD$53,0)))</f>
        <v>P.1 (2)</v>
      </c>
      <c r="I20" s="756" t="str">
        <f t="shared" ref="I20:I25" ca="1" si="77">IF(D20="Pendiente","-",INDEX($BZ$6:$BZ$53,MATCH($AF20,$BD$6:$BD$53,0)))</f>
        <v>P.1 (2)</v>
      </c>
      <c r="J20" s="756"/>
      <c r="K20" s="756" t="str">
        <f t="shared" ref="K20:K25" ca="1" si="78">IF(D20="Pendiente","-",INDEX($CE$6:$CE$53,MATCH($AA20,$BD$6:$BD$53,0)))</f>
        <v>P.1 (2)</v>
      </c>
      <c r="L20" s="756" t="str">
        <f t="shared" ref="L20:L25" ca="1" si="79">IF(D20="Pendiente","-",INDEX($CE$6:$CE$53,MATCH($AF20,$BD$6:$BD$53,0)))</f>
        <v>P.1 (2)</v>
      </c>
      <c r="M20" s="756"/>
      <c r="N20" s="756" t="str">
        <f t="shared" ref="N20:N25" ca="1" si="80">IF(D20="Pendiente","-",INDEX($CH$6:$CH$53,MATCH($AA20,$BD$6:$BD$53,0)))</f>
        <v>P.1 (2)</v>
      </c>
      <c r="O20" s="756" t="str">
        <f t="shared" ref="O20:O25" ca="1" si="81">IF(D20="Pendiente","-",INDEX($CH$6:$CH$53,MATCH($AF20,$BD$6:$BD$53,0)))</f>
        <v>P.1 (2)</v>
      </c>
      <c r="P20" s="756"/>
      <c r="Q20" s="756" t="str">
        <f t="shared" ref="Q20:Q25" ca="1" si="82">IF(D20="Pendiente","-",INDEX($CN$6:$CN$53,MATCH($AA20,$BD$6:$BD$53,0)))</f>
        <v>P.1 (2)</v>
      </c>
      <c r="R20" s="756" t="str">
        <f t="shared" ref="R20:R25" ca="1" si="83">IF(D20="Pendiente","-",INDEX($CN$6:$CN$53,MATCH($AF20,$BD$6:$BD$53,0)))</f>
        <v>P.1 (2)</v>
      </c>
      <c r="S20" s="756"/>
      <c r="T20" s="756" t="str">
        <f t="shared" ref="T20:T25" ca="1" si="84">IF(D20="Pendiente","-",INDEX($CS$6:$CS$53,MATCH($AA20,$BD$6:$BD$53,0)))</f>
        <v>P.1 (2)</v>
      </c>
      <c r="U20" s="756" t="str">
        <f t="shared" ref="U20:U25" ca="1" si="85">IF(D20="Pendiente","-",INDEX($CS$6:$CS$53,MATCH($AF20,$BD$6:$BD$53,0)))</f>
        <v>P.1 (2)</v>
      </c>
      <c r="V20" s="178"/>
      <c r="W20" s="81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1</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4</v>
      </c>
      <c r="BF20" s="760">
        <f t="shared" ca="1" si="26"/>
        <v>3</v>
      </c>
      <c r="BG20" s="760">
        <f t="shared" ca="1" si="17"/>
        <v>1</v>
      </c>
      <c r="BH20" s="760">
        <f t="shared" ca="1" si="18"/>
        <v>1</v>
      </c>
      <c r="BI20" s="760">
        <f t="shared" ca="1" si="19"/>
        <v>1</v>
      </c>
      <c r="BJ20" s="760">
        <f t="shared" ca="1" si="20"/>
        <v>2</v>
      </c>
      <c r="BK20" s="760">
        <f t="shared" ca="1" si="21"/>
        <v>2</v>
      </c>
      <c r="BL20" s="760">
        <f t="shared" ca="1" si="27"/>
        <v>0</v>
      </c>
      <c r="BM20" s="760" t="str">
        <f t="shared" ca="1" si="22"/>
        <v>2D</v>
      </c>
      <c r="BN20" s="760" t="str">
        <f t="shared" ca="1" si="23"/>
        <v>2D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4</v>
      </c>
      <c r="BS20" s="769">
        <f ca="1">BP20+COUNTIFS($BQ$6:$BQ$53,BQ20,$BR$6:BR$53,"&gt;"&amp;BR20,$BC$6:$BC$53,INDEX(T_Equipos[Grupo],MATCH(BD20,T_Equipos[NombreEquipo],0)))</f>
        <v>2</v>
      </c>
      <c r="BT20" s="769" t="str">
        <f ca="1">IF(COUNTIFS($BS$6:$BS$53,BS20,$BC$6:$BC$53,INDEX(T_Equipos[Grupo],MATCH(BD20,T_Equipos[NombreEquipo],0)))=1,"-","P."&amp;BS20&amp;" ("&amp;COUNTIFS($BS$6:$BS$53,BS20,$BC$6:$BC$53,INDEX(T_Equipos[Grupo],MATCH(BD20,T_Equipos[NombreEquipo],0)))&amp;")")</f>
        <v>P.2 (2)</v>
      </c>
      <c r="BU20" s="770">
        <f t="shared" ca="1" si="36"/>
        <v>0</v>
      </c>
      <c r="BV20" s="770">
        <f t="shared" ca="1" si="37"/>
        <v>1</v>
      </c>
      <c r="BW20" s="770">
        <f t="shared" ca="1" si="38"/>
        <v>0</v>
      </c>
      <c r="BX20" s="770">
        <f t="shared" ca="1" si="39"/>
        <v>1</v>
      </c>
      <c r="BY20" s="770">
        <f ca="1">BS20+COUNTIFS($BT$6:$BT$53,BT20,$BX$6:BX$53,"&gt;"&amp;BX20,$BC$6:$BC$53,INDEX(T_Equipos[Grupo],MATCH(BD20,T_Equipos[NombreEquipo],0)))</f>
        <v>2</v>
      </c>
      <c r="BZ20" s="769" t="str">
        <f ca="1">IF(COUNTIFS($BY$6:$BY$53,BY20,$BC$6:$BC$53,INDEX(T_Equipos[Grupo],MATCH(BD20,T_Equipos[NombreEquipo],0)))=1,"-","P."&amp;BY20&amp;" ("&amp;COUNTIFS($BY$6:$BY$53,BY20,$BC$6:$BC$53,INDEX(T_Equipos[Grupo],MATCH(BD20,T_Equipos[NombreEquipo],0)))&amp;")")</f>
        <v>P.2 (2)</v>
      </c>
      <c r="CA20" s="770">
        <f t="shared" ca="1" si="40"/>
        <v>0</v>
      </c>
      <c r="CB20" s="770">
        <f t="shared" ca="1" si="41"/>
        <v>0</v>
      </c>
      <c r="CC20" s="770">
        <f t="shared" ca="1" si="42"/>
        <v>0</v>
      </c>
      <c r="CD20" s="770">
        <f ca="1">BY20+COUNTIFS($BZ$6:$BZ$53,BZ20,$CC$6:CC$53,"&gt;"&amp;CC20,$BC$6:$BC$53,INDEX(T_Equipos[Grupo],MATCH(BD20,T_Equipos[NombreEquipo],0)))</f>
        <v>2</v>
      </c>
      <c r="CE20" s="769" t="str">
        <f ca="1">IF(COUNTIFS($CD$6:$CD$53,CD20,$BC$6:$BC$53,INDEX(T_Equipos[Grupo],MATCH(BD20,T_Equipos[NombreEquipo],0)))=1,"-","P."&amp;CD20&amp;" ("&amp;COUNTIFS($CD$6:$CD$53,CD20,$BC$6:$BC$53,INDEX(T_Equipos[Grupo],MATCH(BD20,T_Equipos[NombreEquipo],0)))&amp;")")</f>
        <v>P.2 (2)</v>
      </c>
      <c r="CF20" s="770">
        <f t="shared" ca="1" si="43"/>
        <v>0</v>
      </c>
      <c r="CG20" s="770">
        <f ca="1">CD20+COUNTIFS($CE$6:$CE$53,CE20,$CF$6:CF$53,"&gt;"&amp;CF20,$BC$6:$BC$53,INDEX(T_Equipos[Grupo],MATCH(BD20,T_Equipos[NombreEquipo],0)))</f>
        <v>2</v>
      </c>
      <c r="CH20" s="769" t="str">
        <f ca="1">IF(COUNTIFS($CG$6:$CG$53,CG20,$BC$6:$BC$53,INDEX(T_Equipos[Grupo],MATCH(BD20,T_Equipos[NombreEquipo],0)))=1,"-","P."&amp;CG20&amp;" ("&amp;COUNTIFS($CG$6:$CG$53,CG20,$BC$6:$BC$53,INDEX(T_Equipos[Grupo],MATCH(BD20,T_Equipos[NombreEquipo],0)))&amp;")")</f>
        <v>P.2 (2)</v>
      </c>
      <c r="CI20" s="770">
        <f t="shared" ca="1" si="44"/>
        <v>0</v>
      </c>
      <c r="CJ20" s="770">
        <f t="shared" ca="1" si="45"/>
        <v>1</v>
      </c>
      <c r="CK20" s="770">
        <f t="shared" ca="1" si="46"/>
        <v>0</v>
      </c>
      <c r="CL20" s="770">
        <f t="shared" ca="1" si="47"/>
        <v>1</v>
      </c>
      <c r="CM20" s="770">
        <f ca="1">CG20+COUNTIFS($CH$6:$CH$53,CH20,$CL$6:CL$53,"&gt;"&amp;CL20,$BC$6:$BC$53,INDEX(T_Equipos[Grupo],MATCH(BD20,T_Equipos[NombreEquipo],0)))</f>
        <v>2</v>
      </c>
      <c r="CN20" s="769" t="str">
        <f ca="1">IF(COUNTIFS($CM$6:$CM$53,CM20,$BC$6:$BC$53,INDEX(T_Equipos[Grupo],MATCH(BD20,T_Equipos[NombreEquipo],0)))=1,"-","P."&amp;CM20&amp;" ("&amp;COUNTIFS($CM$6:$CM$53,CM20,$BC$6:$BC$53,INDEX(T_Equipos[Grupo],MATCH(BD20,T_Equipos[NombreEquipo],0)))&amp;")")</f>
        <v>P.2 (2)</v>
      </c>
      <c r="CO20" s="770">
        <f t="shared" ca="1" si="48"/>
        <v>0</v>
      </c>
      <c r="CP20" s="770">
        <f t="shared" ca="1" si="49"/>
        <v>0</v>
      </c>
      <c r="CQ20" s="770">
        <f t="shared" ca="1" si="50"/>
        <v>0</v>
      </c>
      <c r="CR20" s="770">
        <f ca="1">CM20+COUNTIFS($CN$6:$CN$53,CN20,$CQ$6:CQ$53,"&gt;"&amp;CQ20,$BC$6:$BC$53,INDEX(T_Equipos[Grupo],MATCH(BD20,T_Equipos[NombreEquipo],0)))</f>
        <v>2</v>
      </c>
      <c r="CS20" s="769" t="str">
        <f ca="1">IF(COUNTIFS($CR$6:$CR$53,CR20,$BC$6:$BC$53,INDEX(T_Equipos[Grupo],MATCH(BD20,T_Equipos[NombreEquipo],0)))=1,"-","P."&amp;CR20&amp;" ("&amp;COUNTIFS($CR$6:$CR$53,CR20,$BC$6:$BC$53,INDEX(T_Equipos[Grupo],MATCH(BD20,T_Equipos[NombreEquipo],0)))&amp;")")</f>
        <v>P.2 (2)</v>
      </c>
      <c r="CT20" s="770">
        <f t="shared" ca="1" si="51"/>
        <v>0</v>
      </c>
      <c r="CU20" s="770">
        <f ca="1">CR20+COUNTIFS($CS$6:$CS$53,CS20,$CT$6:CT$53,"&gt;"&amp;CT20,$BC$6:$BC$53,INDEX(T_Equipos[Grupo],MATCH(BD20,T_Equipos[NombreEquipo],0)))</f>
        <v>2</v>
      </c>
      <c r="CV20" s="769" t="str">
        <f ca="1">IF(COUNTIFS($CU$6:$CU$53,CU20,$BC$6:$BC$53,INDEX(T_Equipos[Grupo],MATCH(BD20,T_Equipos[NombreEquipo],0)))=1,"-","P."&amp;CU20&amp;" ("&amp;COUNTIFS($CU$6:$CU$53,CU20,$BC$6:$BC$53,INDEX(T_Equipos[Grupo],MATCH(BD20,T_Equipos[NombreEquipo],0)))&amp;")")</f>
        <v>P.2 (2)</v>
      </c>
      <c r="CW20" s="769">
        <f t="shared" ca="1" si="30"/>
        <v>0</v>
      </c>
      <c r="CX20" s="769">
        <f ca="1">CU20+COUNTIFS($CV$6:$CV$53,CV20,$CW$6:CW$53,"&gt;"&amp;CW20,$BC$6:$BC$53,INDEX(T_Equipos[Grupo],MATCH(BD20,T_Equipos[NombreEquipo],0)))</f>
        <v>2</v>
      </c>
      <c r="CY20" s="769" t="str">
        <f ca="1">IF(COUNTIFS($CX$6:$CX$53,CX20,$BC$6:$BC$53,INDEX(T_Equipos[Grupo],MATCH(BD20,T_Equipos[NombreEquipo],0)))=1,"-","P."&amp;CX20&amp;" ("&amp;COUNTIFS($CX$6:$CX$53,CX20,$BC$6:$BC$53,INDEX(T_Equipos[Grupo],MATCH(BD20,T_Equipos[NombreEquipo],0)))&amp;")")</f>
        <v>-</v>
      </c>
      <c r="CZ20" s="769" t="str">
        <f t="shared" ca="1" si="31"/>
        <v>-</v>
      </c>
      <c r="DA20" s="770">
        <f ca="1">CX20+COUNTIFS($CY$6:$CY$53,CY20,$CZ$6:CZ$53,"&gt;"&amp;CZ20,$BC$6:$BC$53,INDEX(T_Equipos[Grupo],MATCH(BD20,T_Equipos[NombreEquipo],0)))</f>
        <v>2</v>
      </c>
      <c r="DB20" s="769" t="str">
        <f ca="1">IF(COUNTIFS($DA$6:$DA$53,DA20,$BC$6:$BC$53,INDEX(T_Equipos[Grupo],MATCH(BD20,T_Equipos[NombreEquipo],0)))=1,"-","P."&amp;DA20&amp;" ("&amp;COUNTIFS($DA$6:$DA$53,DA20,$BC$6:$BC$53,INDEX(T_Equipos[Grupo],MATCH(BD20,T_Equipos[NombreEquipo],0)))&amp;")")</f>
        <v>-</v>
      </c>
      <c r="DC20" s="768" t="str">
        <f ca="1">IF(DB20="-","-",COUNTIFS(T_Equipos[Rank],"&lt;"&amp;INDEX(T_Equipos[Rank],MATCH(BD20,T_Equipos[NombreEquipo],0)),$BC$6:$BC$53,INDEX(T_Equipos[Grupo],MATCH(BD20,T_Equipos[NombreEquipo],0)))+1)</f>
        <v>-</v>
      </c>
      <c r="DD20" s="768">
        <f ca="1">DA20+COUNTIFS($DB$6:$DB$53,DB20,$DC$6:DC$53,"&lt;"&amp;DC20,$BC$6:$BC$53,INDEX(T_Equipos[Grupo],MATCH(BD20,T_Equipos[NombreEquipo],0)))</f>
        <v>2</v>
      </c>
      <c r="DE20" s="768"/>
      <c r="DF20" s="768">
        <f t="shared" ca="1" si="52"/>
        <v>2</v>
      </c>
      <c r="DG20" s="768" t="str">
        <f ca="1">IF(DB20="-","-",COUNTIFS(DF$6:DF$53,"&lt;"&amp;DF20,$BC$6:$BC$53,INDEX(T_Equipos[Grupo],MATCH(BD20,T_Equipos[NombreEquipo],0))))</f>
        <v>-</v>
      </c>
      <c r="DH20" s="768">
        <f ca="1">DA20+COUNTIFS(DB$6:DB$53,DB20,DG$6:DG$53,"&lt;"&amp;DG20,$BC$6:$BC$53,INDEX(T_Equipos[Grupo],MATCH(BD20,T_Equipos[NombreEquipo],0)))</f>
        <v>2</v>
      </c>
      <c r="DI20" s="756"/>
      <c r="DJ20" s="756">
        <f t="shared" ca="1" si="53"/>
        <v>3</v>
      </c>
      <c r="DK20" s="756">
        <f t="shared" ca="1" si="24"/>
        <v>12</v>
      </c>
      <c r="DL20" s="756">
        <f t="shared" ca="1" si="33"/>
        <v>1</v>
      </c>
      <c r="DM20" s="750" t="str">
        <f t="shared" ca="1" si="34"/>
        <v>3.1</v>
      </c>
      <c r="DN20" s="756" cm="1">
        <f t="array" aca="1" ref="DN20" ca="1">OFFSET(Horarios!$P$3,DJ20-1,0,DL20,1)</f>
        <v>3</v>
      </c>
      <c r="DO20" s="756"/>
      <c r="DP20" s="756" t="s">
        <v>92</v>
      </c>
      <c r="DQ20" s="756" t="str">
        <f t="shared" ca="1" si="35"/>
        <v>Paraguay</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Visitante</v>
      </c>
      <c r="E21" s="756" t="str">
        <f t="shared" ca="1" si="74"/>
        <v>-</v>
      </c>
      <c r="F21" s="756" t="str">
        <f t="shared" ca="1" si="75"/>
        <v>-</v>
      </c>
      <c r="G21" s="756"/>
      <c r="H21" s="756" t="str">
        <f t="shared" ca="1" si="76"/>
        <v>-</v>
      </c>
      <c r="I21" s="756" t="str">
        <f t="shared" ca="1" si="77"/>
        <v>-</v>
      </c>
      <c r="J21" s="756"/>
      <c r="K21" s="756" t="str">
        <f t="shared" ca="1" si="78"/>
        <v>-</v>
      </c>
      <c r="L21" s="756" t="str">
        <f t="shared" ca="1" si="79"/>
        <v>-</v>
      </c>
      <c r="M21" s="756"/>
      <c r="N21" s="756" t="str">
        <f t="shared" ca="1" si="80"/>
        <v>-</v>
      </c>
      <c r="O21" s="756" t="str">
        <f t="shared" ca="1" si="81"/>
        <v>-</v>
      </c>
      <c r="P21" s="756"/>
      <c r="Q21" s="756" t="str">
        <f t="shared" ca="1" si="82"/>
        <v>-</v>
      </c>
      <c r="R21" s="756" t="str">
        <f t="shared" ca="1" si="83"/>
        <v>-</v>
      </c>
      <c r="S21" s="756"/>
      <c r="T21" s="756" t="str">
        <f t="shared" ca="1" si="84"/>
        <v>-</v>
      </c>
      <c r="U21" s="756" t="str">
        <f t="shared" ca="1" si="85"/>
        <v>-</v>
      </c>
      <c r="V21" s="178"/>
      <c r="W21" s="81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1</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3</v>
      </c>
      <c r="BF21" s="760">
        <f t="shared" ca="1" si="26"/>
        <v>3</v>
      </c>
      <c r="BG21" s="760">
        <f t="shared" ca="1" si="17"/>
        <v>1</v>
      </c>
      <c r="BH21" s="760">
        <f t="shared" ca="1" si="18"/>
        <v>0</v>
      </c>
      <c r="BI21" s="760">
        <f t="shared" ca="1" si="19"/>
        <v>2</v>
      </c>
      <c r="BJ21" s="760">
        <f t="shared" ca="1" si="20"/>
        <v>3</v>
      </c>
      <c r="BK21" s="760">
        <f t="shared" ca="1" si="21"/>
        <v>5</v>
      </c>
      <c r="BL21" s="760">
        <f t="shared" ca="1" si="27"/>
        <v>-2</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3</v>
      </c>
      <c r="BS21" s="769">
        <f ca="1">BP21+COUNTIFS($BQ$6:$BQ$53,BQ21,$BR$6:BR$53,"&gt;"&amp;BR21,$BC$6:$BC$53,INDEX(T_Equipos[Grupo],MATCH(BD21,T_Equipos[NombreEquipo],0)))</f>
        <v>4</v>
      </c>
      <c r="BT21" s="769" t="str">
        <f ca="1">IF(COUNTIFS($BS$6:$BS$53,BS21,$BC$6:$BC$53,INDEX(T_Equipos[Grupo],MATCH(BD21,T_Equipos[NombreEquipo],0)))=1,"-","P."&amp;BS21&amp;" ("&amp;COUNTIFS($BS$6:$BS$53,BS21,$BC$6:$BC$53,INDEX(T_Equipos[Grupo],MATCH(BD21,T_Equipos[NombreEquipo],0)))&amp;")")</f>
        <v>-</v>
      </c>
      <c r="BU21" s="770" t="str">
        <f t="shared" ca="1" si="36"/>
        <v>-</v>
      </c>
      <c r="BV21" s="770" t="str">
        <f t="shared" ca="1" si="37"/>
        <v>-</v>
      </c>
      <c r="BW21" s="770" t="str">
        <f t="shared" ca="1" si="38"/>
        <v>-</v>
      </c>
      <c r="BX21" s="770" t="str">
        <f t="shared" ca="1" si="39"/>
        <v>-</v>
      </c>
      <c r="BY21" s="770">
        <f ca="1">BS21+COUNTIFS($BT$6:$BT$53,BT21,$BX$6:BX$53,"&gt;"&amp;BX21,$BC$6:$BC$53,INDEX(T_Equipos[Grupo],MATCH(BD21,T_Equipos[NombreEquipo],0)))</f>
        <v>4</v>
      </c>
      <c r="BZ21" s="769" t="str">
        <f ca="1">IF(COUNTIFS($BY$6:$BY$53,BY21,$BC$6:$BC$53,INDEX(T_Equipos[Grupo],MATCH(BD21,T_Equipos[NombreEquipo],0)))=1,"-","P."&amp;BY21&amp;" ("&amp;COUNTIFS($BY$6:$BY$53,BY21,$BC$6:$BC$53,INDEX(T_Equipos[Grupo],MATCH(BD21,T_Equipos[NombreEquipo],0)))&amp;")")</f>
        <v>-</v>
      </c>
      <c r="CA21" s="770" t="str">
        <f t="shared" ca="1" si="40"/>
        <v>-</v>
      </c>
      <c r="CB21" s="770" t="str">
        <f t="shared" ca="1" si="41"/>
        <v>-</v>
      </c>
      <c r="CC21" s="770" t="str">
        <f t="shared" ca="1" si="42"/>
        <v>-</v>
      </c>
      <c r="CD21" s="770">
        <f ca="1">BY21+COUNTIFS($BZ$6:$BZ$53,BZ21,$CC$6:CC$53,"&gt;"&amp;CC21,$BC$6:$BC$53,INDEX(T_Equipos[Grupo],MATCH(BD21,T_Equipos[NombreEquipo],0)))</f>
        <v>4</v>
      </c>
      <c r="CE21" s="769" t="str">
        <f ca="1">IF(COUNTIFS($CD$6:$CD$53,CD21,$BC$6:$BC$53,INDEX(T_Equipos[Grupo],MATCH(BD21,T_Equipos[NombreEquipo],0)))=1,"-","P."&amp;CD21&amp;" ("&amp;COUNTIFS($CD$6:$CD$53,CD21,$BC$6:$BC$53,INDEX(T_Equipos[Grupo],MATCH(BD21,T_Equipos[NombreEquipo],0)))&amp;")")</f>
        <v>-</v>
      </c>
      <c r="CF21" s="770" t="str">
        <f t="shared" ca="1" si="43"/>
        <v>-</v>
      </c>
      <c r="CG21" s="770">
        <f ca="1">CD21+COUNTIFS($CE$6:$CE$53,CE21,$CF$6:CF$53,"&gt;"&amp;CF21,$BC$6:$BC$53,INDEX(T_Equipos[Grupo],MATCH(BD21,T_Equipos[NombreEquipo],0)))</f>
        <v>4</v>
      </c>
      <c r="CH21" s="769" t="str">
        <f ca="1">IF(COUNTIFS($CG$6:$CG$53,CG21,$BC$6:$BC$53,INDEX(T_Equipos[Grupo],MATCH(BD21,T_Equipos[NombreEquipo],0)))=1,"-","P."&amp;CG21&amp;" ("&amp;COUNTIFS($CG$6:$CG$53,CG21,$BC$6:$BC$53,INDEX(T_Equipos[Grupo],MATCH(BD21,T_Equipos[NombreEquipo],0)))&amp;")")</f>
        <v>-</v>
      </c>
      <c r="CI21" s="770" t="str">
        <f t="shared" ca="1" si="44"/>
        <v>-</v>
      </c>
      <c r="CJ21" s="770" t="str">
        <f t="shared" ca="1" si="45"/>
        <v>-</v>
      </c>
      <c r="CK21" s="770" t="str">
        <f t="shared" ca="1" si="46"/>
        <v>-</v>
      </c>
      <c r="CL21" s="770" t="str">
        <f t="shared" ca="1" si="47"/>
        <v>-</v>
      </c>
      <c r="CM21" s="770">
        <f ca="1">CG21+COUNTIFS($CH$6:$CH$53,CH21,$CL$6:CL$53,"&gt;"&amp;CL21,$BC$6:$BC$53,INDEX(T_Equipos[Grupo],MATCH(BD21,T_Equipos[NombreEquipo],0)))</f>
        <v>4</v>
      </c>
      <c r="CN21" s="769" t="str">
        <f ca="1">IF(COUNTIFS($CM$6:$CM$53,CM21,$BC$6:$BC$53,INDEX(T_Equipos[Grupo],MATCH(BD21,T_Equipos[NombreEquipo],0)))=1,"-","P."&amp;CM21&amp;" ("&amp;COUNTIFS($CM$6:$CM$53,CM21,$BC$6:$BC$53,INDEX(T_Equipos[Grupo],MATCH(BD21,T_Equipos[NombreEquipo],0)))&amp;")")</f>
        <v>-</v>
      </c>
      <c r="CO21" s="770" t="str">
        <f t="shared" ca="1" si="48"/>
        <v>-</v>
      </c>
      <c r="CP21" s="770" t="str">
        <f t="shared" ca="1" si="49"/>
        <v>-</v>
      </c>
      <c r="CQ21" s="770" t="str">
        <f t="shared" ca="1" si="50"/>
        <v>-</v>
      </c>
      <c r="CR21" s="770">
        <f ca="1">CM21+COUNTIFS($CN$6:$CN$53,CN21,$CQ$6:CQ$53,"&gt;"&amp;CQ21,$BC$6:$BC$53,INDEX(T_Equipos[Grupo],MATCH(BD21,T_Equipos[NombreEquipo],0)))</f>
        <v>4</v>
      </c>
      <c r="CS21" s="769" t="str">
        <f ca="1">IF(COUNTIFS($CR$6:$CR$53,CR21,$BC$6:$BC$53,INDEX(T_Equipos[Grupo],MATCH(BD21,T_Equipos[NombreEquipo],0)))=1,"-","P."&amp;CR21&amp;" ("&amp;COUNTIFS($CR$6:$CR$53,CR21,$BC$6:$BC$53,INDEX(T_Equipos[Grupo],MATCH(BD21,T_Equipos[NombreEquipo],0)))&amp;")")</f>
        <v>-</v>
      </c>
      <c r="CT21" s="770" t="str">
        <f t="shared" ca="1" si="51"/>
        <v>-</v>
      </c>
      <c r="CU21" s="770">
        <f ca="1">CR21+COUNTIFS($CS$6:$CS$53,CS21,$CT$6:CT$53,"&gt;"&amp;CT21,$BC$6:$BC$53,INDEX(T_Equipos[Grupo],MATCH(BD21,T_Equipos[NombreEquipo],0)))</f>
        <v>4</v>
      </c>
      <c r="CV21" s="769" t="str">
        <f ca="1">IF(COUNTIFS($CU$6:$CU$53,CU21,$BC$6:$BC$53,INDEX(T_Equipos[Grupo],MATCH(BD21,T_Equipos[NombreEquipo],0)))=1,"-","P."&amp;CU21&amp;" ("&amp;COUNTIFS($CU$6:$CU$53,CU21,$BC$6:$BC$53,INDEX(T_Equipos[Grupo],MATCH(BD21,T_Equipos[NombreEquipo],0)))&amp;")")</f>
        <v>-</v>
      </c>
      <c r="CW21" s="769" t="str">
        <f t="shared" ca="1" si="30"/>
        <v>-</v>
      </c>
      <c r="CX21" s="769">
        <f ca="1">CU21+COUNTIFS($CV$6:$CV$53,CV21,$CW$6:CW$53,"&gt;"&amp;CW21,$BC$6:$BC$53,INDEX(T_Equipos[Grupo],MATCH(BD21,T_Equipos[NombreEquipo],0)))</f>
        <v>4</v>
      </c>
      <c r="CY21" s="769" t="str">
        <f ca="1">IF(COUNTIFS($CX$6:$CX$53,CX21,$BC$6:$BC$53,INDEX(T_Equipos[Grupo],MATCH(BD21,T_Equipos[NombreEquipo],0)))=1,"-","P."&amp;CX21&amp;" ("&amp;COUNTIFS($CX$6:$CX$53,CX21,$BC$6:$BC$53,INDEX(T_Equipos[Grupo],MATCH(BD21,T_Equipos[NombreEquipo],0)))&amp;")")</f>
        <v>-</v>
      </c>
      <c r="CZ21" s="769" t="str">
        <f t="shared" ca="1" si="31"/>
        <v>-</v>
      </c>
      <c r="DA21" s="770">
        <f ca="1">CX21+COUNTIFS($CY$6:$CY$53,CY21,$CZ$6:CZ$53,"&gt;"&amp;CZ21,$BC$6:$BC$53,INDEX(T_Equipos[Grupo],MATCH(BD21,T_Equipos[NombreEquipo],0)))</f>
        <v>4</v>
      </c>
      <c r="DB21" s="769" t="str">
        <f ca="1">IF(COUNTIFS($DA$6:$DA$53,DA21,$BC$6:$BC$53,INDEX(T_Equipos[Grupo],MATCH(BD21,T_Equipos[NombreEquipo],0)))=1,"-","P."&amp;DA21&amp;" ("&amp;COUNTIFS($DA$6:$DA$53,DA21,$BC$6:$BC$53,INDEX(T_Equipos[Grupo],MATCH(BD21,T_Equipos[NombreEquipo],0)))&amp;")")</f>
        <v>-</v>
      </c>
      <c r="DC21" s="768" t="str">
        <f ca="1">IF(DB21="-","-",COUNTIFS(T_Equipos[Rank],"&lt;"&amp;INDEX(T_Equipos[Rank],MATCH(BD21,T_Equipos[NombreEquipo],0)),$BC$6:$BC$53,INDEX(T_Equipos[Grupo],MATCH(BD21,T_Equipos[NombreEquipo],0)))+1)</f>
        <v>-</v>
      </c>
      <c r="DD21" s="768">
        <f ca="1">DA21+COUNTIFS($DB$6:$DB$53,DB21,$DC$6:DC$53,"&lt;"&amp;DC21,$BC$6:$BC$53,INDEX(T_Equipos[Grupo],MATCH(BD21,T_Equipos[NombreEquipo],0)))</f>
        <v>4</v>
      </c>
      <c r="DE21" s="768"/>
      <c r="DF21" s="768">
        <f t="shared" ca="1" si="52"/>
        <v>4</v>
      </c>
      <c r="DG21" s="768" t="str">
        <f ca="1">IF(DB21="-","-",COUNTIFS(DF$6:DF$53,"&lt;"&amp;DF21,$BC$6:$BC$53,INDEX(T_Equipos[Grupo],MATCH(BD21,T_Equipos[NombreEquipo],0))))</f>
        <v>-</v>
      </c>
      <c r="DH21" s="768">
        <f ca="1">DA21+COUNTIFS(DB$6:DB$53,DB21,DG$6:DG$53,"&lt;"&amp;DG21,$BC$6:$BC$53,INDEX(T_Equipos[Grupo],MATCH(BD21,T_Equipos[NombreEquipo],0)))</f>
        <v>4</v>
      </c>
      <c r="DI21" s="756"/>
      <c r="DJ21" s="756">
        <f t="shared" ca="1" si="53"/>
        <v>4</v>
      </c>
      <c r="DK21" s="756">
        <f t="shared" ca="1" si="24"/>
        <v>12</v>
      </c>
      <c r="DL21" s="756">
        <f t="shared" ca="1" si="33"/>
        <v>1</v>
      </c>
      <c r="DM21" s="750" t="str">
        <f t="shared" ca="1" si="34"/>
        <v>4.1</v>
      </c>
      <c r="DN21" s="756" cm="1">
        <f t="array" aca="1" ref="DN21" ca="1">OFFSET(Horarios!$P$3,DJ21-1,0,DL21,1)</f>
        <v>4</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Visitante</v>
      </c>
      <c r="E22" s="756" t="str">
        <f t="shared" ca="1" si="74"/>
        <v>-</v>
      </c>
      <c r="F22" s="756" t="str">
        <f t="shared" ca="1" si="75"/>
        <v>P.1 (2)</v>
      </c>
      <c r="G22" s="756"/>
      <c r="H22" s="756" t="str">
        <f t="shared" ca="1" si="76"/>
        <v>-</v>
      </c>
      <c r="I22" s="756" t="str">
        <f t="shared" ca="1" si="77"/>
        <v>P.1 (2)</v>
      </c>
      <c r="J22" s="756"/>
      <c r="K22" s="756" t="str">
        <f t="shared" ca="1" si="78"/>
        <v>-</v>
      </c>
      <c r="L22" s="756" t="str">
        <f t="shared" ca="1" si="79"/>
        <v>P.1 (2)</v>
      </c>
      <c r="M22" s="756"/>
      <c r="N22" s="756" t="str">
        <f t="shared" ca="1" si="80"/>
        <v>-</v>
      </c>
      <c r="O22" s="756" t="str">
        <f t="shared" ca="1" si="81"/>
        <v>P.1 (2)</v>
      </c>
      <c r="P22" s="756"/>
      <c r="Q22" s="756" t="str">
        <f t="shared" ca="1" si="82"/>
        <v>-</v>
      </c>
      <c r="R22" s="756" t="str">
        <f t="shared" ca="1" si="83"/>
        <v>P.1 (2)</v>
      </c>
      <c r="S22" s="756"/>
      <c r="T22" s="756" t="str">
        <f t="shared" ca="1" si="84"/>
        <v>-</v>
      </c>
      <c r="U22" s="756" t="str">
        <f t="shared" ca="1" si="85"/>
        <v>P.1 (2)</v>
      </c>
      <c r="V22" s="178"/>
      <c r="W22" s="81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1</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7</v>
      </c>
      <c r="AN22" s="220">
        <f t="shared" ca="1" si="90"/>
        <v>3</v>
      </c>
      <c r="AO22" s="220">
        <f t="shared" ca="1" si="90"/>
        <v>2</v>
      </c>
      <c r="AP22" s="220">
        <f t="shared" ca="1" si="90"/>
        <v>1</v>
      </c>
      <c r="AQ22" s="220">
        <f t="shared" ca="1" si="90"/>
        <v>0</v>
      </c>
      <c r="AR22" s="220">
        <f t="shared" ca="1" si="90"/>
        <v>7</v>
      </c>
      <c r="AS22" s="220">
        <f t="shared" ca="1" si="90"/>
        <v>1</v>
      </c>
      <c r="AT22" s="221">
        <f t="shared" ca="1" si="90"/>
        <v>6</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6</v>
      </c>
      <c r="BF22" s="760">
        <f t="shared" ca="1" si="26"/>
        <v>3</v>
      </c>
      <c r="BG22" s="760">
        <f t="shared" ca="1" si="17"/>
        <v>2</v>
      </c>
      <c r="BH22" s="760">
        <f t="shared" ca="1" si="18"/>
        <v>0</v>
      </c>
      <c r="BI22" s="760">
        <f t="shared" ca="1" si="19"/>
        <v>1</v>
      </c>
      <c r="BJ22" s="760">
        <f t="shared" ca="1" si="20"/>
        <v>10</v>
      </c>
      <c r="BK22" s="760">
        <f t="shared" ca="1" si="21"/>
        <v>4</v>
      </c>
      <c r="BL22" s="760">
        <f t="shared" ca="1" si="27"/>
        <v>6</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6</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(2)</v>
      </c>
      <c r="BU22" s="770">
        <f t="shared" ca="1" si="36"/>
        <v>1</v>
      </c>
      <c r="BV22" s="770">
        <f t="shared" ca="1" si="37"/>
        <v>0</v>
      </c>
      <c r="BW22" s="770">
        <f t="shared" ca="1" si="38"/>
        <v>0</v>
      </c>
      <c r="BX22" s="770">
        <f t="shared" ca="1" si="39"/>
        <v>3</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v>
      </c>
      <c r="CA22" s="770" t="str">
        <f t="shared" ca="1" si="40"/>
        <v>-</v>
      </c>
      <c r="CB22" s="770" t="str">
        <f t="shared" ca="1" si="41"/>
        <v>-</v>
      </c>
      <c r="CC22" s="770" t="str">
        <f t="shared" ca="1" si="42"/>
        <v>-</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v>
      </c>
      <c r="CF22" s="770" t="str">
        <f t="shared" ca="1" si="43"/>
        <v>-</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v>
      </c>
      <c r="CI22" s="770" t="str">
        <f t="shared" ca="1" si="44"/>
        <v>-</v>
      </c>
      <c r="CJ22" s="770" t="str">
        <f t="shared" ca="1" si="45"/>
        <v>-</v>
      </c>
      <c r="CK22" s="770" t="str">
        <f t="shared" ca="1" si="46"/>
        <v>-</v>
      </c>
      <c r="CL22" s="770" t="str">
        <f t="shared" ca="1" si="47"/>
        <v>-</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v>
      </c>
      <c r="CO22" s="770" t="str">
        <f t="shared" ca="1" si="48"/>
        <v>-</v>
      </c>
      <c r="CP22" s="770" t="str">
        <f t="shared" ca="1" si="49"/>
        <v>-</v>
      </c>
      <c r="CQ22" s="770" t="str">
        <f t="shared" ca="1" si="50"/>
        <v>-</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v>
      </c>
      <c r="CT22" s="770" t="str">
        <f t="shared" ca="1" si="51"/>
        <v>-</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v>
      </c>
      <c r="CW22" s="769" t="str">
        <f t="shared" ca="1" si="30"/>
        <v>-</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v>
      </c>
      <c r="CZ22" s="769" t="str">
        <f t="shared" ca="1" si="31"/>
        <v>-</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v>
      </c>
      <c r="DC22" s="768" t="str">
        <f ca="1">IF(DB22="-","-",COUNTIFS(T_Equipos[Rank],"&lt;"&amp;INDEX(T_Equipos[Rank],MATCH(BD22,T_Equipos[NombreEquipo],0)),$BC$6:$BC$53,INDEX(T_Equipos[Grupo],MATCH(BD22,T_Equipos[NombreEquipo],0)))+1)</f>
        <v>-</v>
      </c>
      <c r="DD22" s="768">
        <f ca="1">DA22+COUNTIFS($DB$6:$DB$53,DB22,$DC$6:DC$53,"&lt;"&amp;DC22,$BC$6:$BC$53,INDEX(T_Equipos[Grupo],MATCH(BD22,T_Equipos[NombreEquipo],0)))</f>
        <v>1</v>
      </c>
      <c r="DE22" s="768"/>
      <c r="DF22" s="768">
        <f t="shared" ca="1" si="52"/>
        <v>1</v>
      </c>
      <c r="DG22" s="768" t="str">
        <f ca="1">IF(DB22="-","-",COUNTIFS(DF$6:DF$53,"&lt;"&amp;DF22,$BC$6:$BC$53,INDEX(T_Equipos[Grupo],MATCH(BD22,T_Equipos[NombreEquipo],0))))</f>
        <v>-</v>
      </c>
      <c r="DH22" s="768">
        <f ca="1">DA22+COUNTIFS(DB$6:DB$53,DB22,DG$6:DG$53,"&lt;"&amp;DG22,$BC$6:$BC$53,INDEX(T_Equipos[Grupo],MATCH(BD22,T_Equipos[NombreEquipo],0)))</f>
        <v>1</v>
      </c>
      <c r="DI22" s="756"/>
      <c r="DJ22" s="756">
        <f t="shared" ca="1" si="53"/>
        <v>1</v>
      </c>
      <c r="DK22" s="756">
        <f t="shared" ca="1" si="24"/>
        <v>12</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Local</v>
      </c>
      <c r="E23" s="756" t="str">
        <f t="shared" ca="1" si="74"/>
        <v>P.1 (2)</v>
      </c>
      <c r="F23" s="756" t="str">
        <f t="shared" ca="1" si="75"/>
        <v>-</v>
      </c>
      <c r="G23" s="756"/>
      <c r="H23" s="756" t="str">
        <f t="shared" ca="1" si="76"/>
        <v>P.1 (2)</v>
      </c>
      <c r="I23" s="756" t="str">
        <f t="shared" ca="1" si="77"/>
        <v>-</v>
      </c>
      <c r="J23" s="756"/>
      <c r="K23" s="756" t="str">
        <f t="shared" ca="1" si="78"/>
        <v>P.1 (2)</v>
      </c>
      <c r="L23" s="756" t="str">
        <f t="shared" ca="1" si="79"/>
        <v>-</v>
      </c>
      <c r="M23" s="756"/>
      <c r="N23" s="756" t="str">
        <f t="shared" ca="1" si="80"/>
        <v>P.1 (2)</v>
      </c>
      <c r="O23" s="756" t="str">
        <f t="shared" ca="1" si="81"/>
        <v>-</v>
      </c>
      <c r="P23" s="756"/>
      <c r="Q23" s="756" t="str">
        <f t="shared" ca="1" si="82"/>
        <v>P.1 (2)</v>
      </c>
      <c r="R23" s="756" t="str">
        <f t="shared" ca="1" si="83"/>
        <v>-</v>
      </c>
      <c r="S23" s="756"/>
      <c r="T23" s="756" t="str">
        <f t="shared" ca="1" si="84"/>
        <v>P.1 (2)</v>
      </c>
      <c r="U23" s="756" t="str">
        <f t="shared" ca="1" si="85"/>
        <v>-</v>
      </c>
      <c r="V23" s="178"/>
      <c r="W23" s="81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1</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7</v>
      </c>
      <c r="AN23" s="230">
        <f t="shared" ca="1" si="90"/>
        <v>3</v>
      </c>
      <c r="AO23" s="230">
        <f t="shared" ca="1" si="90"/>
        <v>2</v>
      </c>
      <c r="AP23" s="230">
        <f t="shared" ca="1" si="90"/>
        <v>1</v>
      </c>
      <c r="AQ23" s="230">
        <f t="shared" ca="1" si="90"/>
        <v>0</v>
      </c>
      <c r="AR23" s="230">
        <f t="shared" ca="1" si="90"/>
        <v>6</v>
      </c>
      <c r="AS23" s="230">
        <f t="shared" ca="1" si="90"/>
        <v>3</v>
      </c>
      <c r="AT23" s="231">
        <f t="shared" ca="1" si="90"/>
        <v>3</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1</v>
      </c>
      <c r="BF23" s="760">
        <f t="shared" ca="1" si="26"/>
        <v>3</v>
      </c>
      <c r="BG23" s="760">
        <f t="shared" ca="1" si="17"/>
        <v>0</v>
      </c>
      <c r="BH23" s="760">
        <f t="shared" ca="1" si="18"/>
        <v>1</v>
      </c>
      <c r="BI23" s="760">
        <f t="shared" ca="1" si="19"/>
        <v>2</v>
      </c>
      <c r="BJ23" s="760">
        <f t="shared" ca="1" si="20"/>
        <v>1</v>
      </c>
      <c r="BK23" s="760">
        <f t="shared" ca="1" si="21"/>
        <v>9</v>
      </c>
      <c r="BL23" s="760">
        <f t="shared" ca="1" si="27"/>
        <v>-8</v>
      </c>
      <c r="BM23" s="760" t="str">
        <f t="shared" ca="1" si="22"/>
        <v>4E</v>
      </c>
      <c r="BN23" s="760" t="str">
        <f t="shared" ca="1" si="23"/>
        <v>4E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1</v>
      </c>
      <c r="BS23" s="769">
        <f ca="1">BP23+COUNTIFS($BQ$6:$BQ$53,BQ23,$BR$6:BR$53,"&gt;"&amp;BR23,$BC$6:$BC$53,INDEX(T_Equipos[Grupo],MATCH(BD23,T_Equipos[NombreEquipo],0)))</f>
        <v>4</v>
      </c>
      <c r="BT23" s="769" t="str">
        <f ca="1">IF(COUNTIFS($BS$6:$BS$53,BS23,$BC$6:$BC$53,INDEX(T_Equipos[Grupo],MATCH(BD23,T_Equipos[NombreEquipo],0)))=1,"-","P."&amp;BS23&amp;" ("&amp;COUNTIFS($BS$6:$BS$53,BS23,$BC$6:$BC$53,INDEX(T_Equipos[Grupo],MATCH(BD23,T_Equipos[NombreEquipo],0)))&amp;")")</f>
        <v>-</v>
      </c>
      <c r="BU23" s="770" t="str">
        <f t="shared" ca="1" si="36"/>
        <v>-</v>
      </c>
      <c r="BV23" s="770" t="str">
        <f t="shared" ca="1" si="37"/>
        <v>-</v>
      </c>
      <c r="BW23" s="770" t="str">
        <f t="shared" ca="1" si="38"/>
        <v>-</v>
      </c>
      <c r="BX23" s="770" t="str">
        <f t="shared" ca="1" si="39"/>
        <v>-</v>
      </c>
      <c r="BY23" s="770">
        <f ca="1">BS23+COUNTIFS($BT$6:$BT$53,BT23,$BX$6:BX$53,"&gt;"&amp;BX23,$BC$6:$BC$53,INDEX(T_Equipos[Grupo],MATCH(BD23,T_Equipos[NombreEquipo],0)))</f>
        <v>4</v>
      </c>
      <c r="BZ23" s="769" t="str">
        <f ca="1">IF(COUNTIFS($BY$6:$BY$53,BY23,$BC$6:$BC$53,INDEX(T_Equipos[Grupo],MATCH(BD23,T_Equipos[NombreEquipo],0)))=1,"-","P."&amp;BY23&amp;" ("&amp;COUNTIFS($BY$6:$BY$53,BY23,$BC$6:$BC$53,INDEX(T_Equipos[Grupo],MATCH(BD23,T_Equipos[NombreEquipo],0)))&amp;")")</f>
        <v>-</v>
      </c>
      <c r="CA23" s="770" t="str">
        <f t="shared" ca="1" si="40"/>
        <v>-</v>
      </c>
      <c r="CB23" s="770" t="str">
        <f t="shared" ca="1" si="41"/>
        <v>-</v>
      </c>
      <c r="CC23" s="770" t="str">
        <f t="shared" ca="1" si="42"/>
        <v>-</v>
      </c>
      <c r="CD23" s="770">
        <f ca="1">BY23+COUNTIFS($BZ$6:$BZ$53,BZ23,$CC$6:CC$53,"&gt;"&amp;CC23,$BC$6:$BC$53,INDEX(T_Equipos[Grupo],MATCH(BD23,T_Equipos[NombreEquipo],0)))</f>
        <v>4</v>
      </c>
      <c r="CE23" s="769" t="str">
        <f ca="1">IF(COUNTIFS($CD$6:$CD$53,CD23,$BC$6:$BC$53,INDEX(T_Equipos[Grupo],MATCH(BD23,T_Equipos[NombreEquipo],0)))=1,"-","P."&amp;CD23&amp;" ("&amp;COUNTIFS($CD$6:$CD$53,CD23,$BC$6:$BC$53,INDEX(T_Equipos[Grupo],MATCH(BD23,T_Equipos[NombreEquipo],0)))&amp;")")</f>
        <v>-</v>
      </c>
      <c r="CF23" s="770" t="str">
        <f t="shared" ca="1" si="43"/>
        <v>-</v>
      </c>
      <c r="CG23" s="770">
        <f ca="1">CD23+COUNTIFS($CE$6:$CE$53,CE23,$CF$6:CF$53,"&gt;"&amp;CF23,$BC$6:$BC$53,INDEX(T_Equipos[Grupo],MATCH(BD23,T_Equipos[NombreEquipo],0)))</f>
        <v>4</v>
      </c>
      <c r="CH23" s="769" t="str">
        <f ca="1">IF(COUNTIFS($CG$6:$CG$53,CG23,$BC$6:$BC$53,INDEX(T_Equipos[Grupo],MATCH(BD23,T_Equipos[NombreEquipo],0)))=1,"-","P."&amp;CG23&amp;" ("&amp;COUNTIFS($CG$6:$CG$53,CG23,$BC$6:$BC$53,INDEX(T_Equipos[Grupo],MATCH(BD23,T_Equipos[NombreEquipo],0)))&amp;")")</f>
        <v>-</v>
      </c>
      <c r="CI23" s="770" t="str">
        <f t="shared" ca="1" si="44"/>
        <v>-</v>
      </c>
      <c r="CJ23" s="770" t="str">
        <f t="shared" ca="1" si="45"/>
        <v>-</v>
      </c>
      <c r="CK23" s="770" t="str">
        <f t="shared" ca="1" si="46"/>
        <v>-</v>
      </c>
      <c r="CL23" s="770" t="str">
        <f t="shared" ca="1" si="47"/>
        <v>-</v>
      </c>
      <c r="CM23" s="770">
        <f ca="1">CG23+COUNTIFS($CH$6:$CH$53,CH23,$CL$6:CL$53,"&gt;"&amp;CL23,$BC$6:$BC$53,INDEX(T_Equipos[Grupo],MATCH(BD23,T_Equipos[NombreEquipo],0)))</f>
        <v>4</v>
      </c>
      <c r="CN23" s="769" t="str">
        <f ca="1">IF(COUNTIFS($CM$6:$CM$53,CM23,$BC$6:$BC$53,INDEX(T_Equipos[Grupo],MATCH(BD23,T_Equipos[NombreEquipo],0)))=1,"-","P."&amp;CM23&amp;" ("&amp;COUNTIFS($CM$6:$CM$53,CM23,$BC$6:$BC$53,INDEX(T_Equipos[Grupo],MATCH(BD23,T_Equipos[NombreEquipo],0)))&amp;")")</f>
        <v>-</v>
      </c>
      <c r="CO23" s="770" t="str">
        <f t="shared" ca="1" si="48"/>
        <v>-</v>
      </c>
      <c r="CP23" s="770" t="str">
        <f t="shared" ca="1" si="49"/>
        <v>-</v>
      </c>
      <c r="CQ23" s="770" t="str">
        <f t="shared" ca="1" si="50"/>
        <v>-</v>
      </c>
      <c r="CR23" s="770">
        <f ca="1">CM23+COUNTIFS($CN$6:$CN$53,CN23,$CQ$6:CQ$53,"&gt;"&amp;CQ23,$BC$6:$BC$53,INDEX(T_Equipos[Grupo],MATCH(BD23,T_Equipos[NombreEquipo],0)))</f>
        <v>4</v>
      </c>
      <c r="CS23" s="769" t="str">
        <f ca="1">IF(COUNTIFS($CR$6:$CR$53,CR23,$BC$6:$BC$53,INDEX(T_Equipos[Grupo],MATCH(BD23,T_Equipos[NombreEquipo],0)))=1,"-","P."&amp;CR23&amp;" ("&amp;COUNTIFS($CR$6:$CR$53,CR23,$BC$6:$BC$53,INDEX(T_Equipos[Grupo],MATCH(BD23,T_Equipos[NombreEquipo],0)))&amp;")")</f>
        <v>-</v>
      </c>
      <c r="CT23" s="770" t="str">
        <f t="shared" ca="1" si="51"/>
        <v>-</v>
      </c>
      <c r="CU23" s="770">
        <f ca="1">CR23+COUNTIFS($CS$6:$CS$53,CS23,$CT$6:CT$53,"&gt;"&amp;CT23,$BC$6:$BC$53,INDEX(T_Equipos[Grupo],MATCH(BD23,T_Equipos[NombreEquipo],0)))</f>
        <v>4</v>
      </c>
      <c r="CV23" s="769" t="str">
        <f ca="1">IF(COUNTIFS($CU$6:$CU$53,CU23,$BC$6:$BC$53,INDEX(T_Equipos[Grupo],MATCH(BD23,T_Equipos[NombreEquipo],0)))=1,"-","P."&amp;CU23&amp;" ("&amp;COUNTIFS($CU$6:$CU$53,CU23,$BC$6:$BC$53,INDEX(T_Equipos[Grupo],MATCH(BD23,T_Equipos[NombreEquipo],0)))&amp;")")</f>
        <v>-</v>
      </c>
      <c r="CW23" s="769" t="str">
        <f t="shared" ca="1" si="30"/>
        <v>-</v>
      </c>
      <c r="CX23" s="769">
        <f ca="1">CU23+COUNTIFS($CV$6:$CV$53,CV23,$CW$6:CW$53,"&gt;"&amp;CW23,$BC$6:$BC$53,INDEX(T_Equipos[Grupo],MATCH(BD23,T_Equipos[NombreEquipo],0)))</f>
        <v>4</v>
      </c>
      <c r="CY23" s="769" t="str">
        <f ca="1">IF(COUNTIFS($CX$6:$CX$53,CX23,$BC$6:$BC$53,INDEX(T_Equipos[Grupo],MATCH(BD23,T_Equipos[NombreEquipo],0)))=1,"-","P."&amp;CX23&amp;" ("&amp;COUNTIFS($CX$6:$CX$53,CX23,$BC$6:$BC$53,INDEX(T_Equipos[Grupo],MATCH(BD23,T_Equipos[NombreEquipo],0)))&amp;")")</f>
        <v>-</v>
      </c>
      <c r="CZ23" s="769" t="str">
        <f t="shared" ca="1" si="31"/>
        <v>-</v>
      </c>
      <c r="DA23" s="770">
        <f ca="1">CX23+COUNTIFS($CY$6:$CY$53,CY23,$CZ$6:CZ$53,"&gt;"&amp;CZ23,$BC$6:$BC$53,INDEX(T_Equipos[Grupo],MATCH(BD23,T_Equipos[NombreEquipo],0)))</f>
        <v>4</v>
      </c>
      <c r="DB23" s="769" t="str">
        <f ca="1">IF(COUNTIFS($DA$6:$DA$53,DA23,$BC$6:$BC$53,INDEX(T_Equipos[Grupo],MATCH(BD23,T_Equipos[NombreEquipo],0)))=1,"-","P."&amp;DA23&amp;" ("&amp;COUNTIFS($DA$6:$DA$53,DA23,$BC$6:$BC$53,INDEX(T_Equipos[Grupo],MATCH(BD23,T_Equipos[NombreEquipo],0)))&amp;")")</f>
        <v>-</v>
      </c>
      <c r="DC23" s="768" t="str">
        <f ca="1">IF(DB23="-","-",COUNTIFS(T_Equipos[Rank],"&lt;"&amp;INDEX(T_Equipos[Rank],MATCH(BD23,T_Equipos[NombreEquipo],0)),$BC$6:$BC$53,INDEX(T_Equipos[Grupo],MATCH(BD23,T_Equipos[NombreEquipo],0)))+1)</f>
        <v>-</v>
      </c>
      <c r="DD23" s="768">
        <f ca="1">DA23+COUNTIFS($DB$6:$DB$53,DB23,$DC$6:DC$53,"&lt;"&amp;DC23,$BC$6:$BC$53,INDEX(T_Equipos[Grupo],MATCH(BD23,T_Equipos[NombreEquipo],0)))</f>
        <v>4</v>
      </c>
      <c r="DE23" s="768"/>
      <c r="DF23" s="768">
        <f t="shared" ca="1" si="52"/>
        <v>4</v>
      </c>
      <c r="DG23" s="768" t="str">
        <f ca="1">IF(DB23="-","-",COUNTIFS(DF$6:DF$53,"&lt;"&amp;DF23,$BC$6:$BC$53,INDEX(T_Equipos[Grupo],MATCH(BD23,T_Equipos[NombreEquipo],0))))</f>
        <v>-</v>
      </c>
      <c r="DH23" s="768">
        <f ca="1">DA23+COUNTIFS(DB$6:DB$53,DB23,DG$6:DG$53,"&lt;"&amp;DG23,$BC$6:$BC$53,INDEX(T_Equipos[Grupo],MATCH(BD23,T_Equipos[NombreEquipo],0)))</f>
        <v>4</v>
      </c>
      <c r="DI23" s="756"/>
      <c r="DJ23" s="756">
        <f t="shared" ca="1" si="53"/>
        <v>2</v>
      </c>
      <c r="DK23" s="756">
        <f t="shared" ca="1" si="24"/>
        <v>12</v>
      </c>
      <c r="DL23" s="756">
        <f t="shared" ca="1" si="33"/>
        <v>1</v>
      </c>
      <c r="DM23" s="750" t="str">
        <f t="shared" ca="1" si="34"/>
        <v>2.1</v>
      </c>
      <c r="DN23" s="756" cm="1">
        <f t="array" aca="1" ref="DN23" ca="1">OFFSET(Horarios!$P$3,DJ23-1,0,DL23,1)</f>
        <v>2</v>
      </c>
      <c r="DO23" s="756"/>
      <c r="DP23" s="756" t="s">
        <v>662</v>
      </c>
      <c r="DQ23" s="756" t="str">
        <f t="shared" ca="1" si="35"/>
        <v>Costa de Marfil</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Visitante</v>
      </c>
      <c r="E24" s="756" t="str">
        <f t="shared" ca="1" si="74"/>
        <v>-</v>
      </c>
      <c r="F24" s="756" t="str">
        <f t="shared" ca="1" si="75"/>
        <v>P.1 (2)</v>
      </c>
      <c r="G24" s="756"/>
      <c r="H24" s="756" t="str">
        <f t="shared" ca="1" si="76"/>
        <v>-</v>
      </c>
      <c r="I24" s="756" t="str">
        <f t="shared" ca="1" si="77"/>
        <v>P.1 (2)</v>
      </c>
      <c r="J24" s="756"/>
      <c r="K24" s="756" t="str">
        <f t="shared" ca="1" si="78"/>
        <v>-</v>
      </c>
      <c r="L24" s="756" t="str">
        <f t="shared" ca="1" si="79"/>
        <v>P.1 (2)</v>
      </c>
      <c r="M24" s="756"/>
      <c r="N24" s="756" t="str">
        <f t="shared" ca="1" si="80"/>
        <v>-</v>
      </c>
      <c r="O24" s="756" t="str">
        <f t="shared" ca="1" si="81"/>
        <v>P.1 (2)</v>
      </c>
      <c r="P24" s="756"/>
      <c r="Q24" s="756" t="str">
        <f t="shared" ca="1" si="82"/>
        <v>-</v>
      </c>
      <c r="R24" s="756" t="str">
        <f t="shared" ca="1" si="83"/>
        <v>P.1 (2)</v>
      </c>
      <c r="S24" s="756"/>
      <c r="T24" s="756" t="str">
        <f t="shared" ca="1" si="84"/>
        <v>-</v>
      </c>
      <c r="U24" s="756" t="str">
        <f t="shared" ca="1" si="85"/>
        <v>P.1 (2)</v>
      </c>
      <c r="V24" s="178"/>
      <c r="W24" s="81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1</v>
      </c>
      <c r="AH24" s="202">
        <v>49</v>
      </c>
      <c r="AI24" s="19" t="str">
        <f t="shared" si="91"/>
        <v>3C</v>
      </c>
      <c r="AJ24" s="227">
        <v>3</v>
      </c>
      <c r="AK24" s="494" t="str" cm="1">
        <f t="array" aca="1" ref="AK24" ca="1">Ver_flag_visit</f>
        <v>🏴󠁧󠁢󠁳󠁣󠁴󠁿</v>
      </c>
      <c r="AL24" s="228" t="str">
        <f ca="1">IFERROR(INDEX($BD$6:$BD$53,MATCH(AI24,$BN$6:$BN$53,0)),"")</f>
        <v>Escocia</v>
      </c>
      <c r="AM24" s="229">
        <f t="shared" ca="1" si="90"/>
        <v>3</v>
      </c>
      <c r="AN24" s="230">
        <f t="shared" ca="1" si="90"/>
        <v>3</v>
      </c>
      <c r="AO24" s="230">
        <f t="shared" ca="1" si="90"/>
        <v>1</v>
      </c>
      <c r="AP24" s="230">
        <f t="shared" ca="1" si="90"/>
        <v>0</v>
      </c>
      <c r="AQ24" s="230">
        <f t="shared" ca="1" si="90"/>
        <v>2</v>
      </c>
      <c r="AR24" s="230">
        <f t="shared" ca="1" si="90"/>
        <v>1</v>
      </c>
      <c r="AS24" s="230">
        <f t="shared" ca="1" si="90"/>
        <v>4</v>
      </c>
      <c r="AT24" s="231">
        <f t="shared" ca="1" si="90"/>
        <v>-3</v>
      </c>
      <c r="AU24" s="428">
        <f ca="1">INDEX($DL$6:$DL$53,MATCH(AI24,$DP$6:$DP$53,0))</f>
        <v>1</v>
      </c>
      <c r="AV24" s="223" t="str">
        <f ca="1">INDEX($BD$6:$BD$53,MATCH(AI24,$BM$6:$BM$53,0))</f>
        <v>Escocia</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6</v>
      </c>
      <c r="BF24" s="760">
        <f t="shared" ca="1" si="26"/>
        <v>3</v>
      </c>
      <c r="BG24" s="760">
        <f t="shared" ca="1" si="17"/>
        <v>2</v>
      </c>
      <c r="BH24" s="760">
        <f t="shared" ca="1" si="18"/>
        <v>0</v>
      </c>
      <c r="BI24" s="760">
        <f t="shared" ca="1" si="19"/>
        <v>1</v>
      </c>
      <c r="BJ24" s="760">
        <f t="shared" ca="1" si="20"/>
        <v>4</v>
      </c>
      <c r="BK24" s="760">
        <f t="shared" ca="1" si="21"/>
        <v>2</v>
      </c>
      <c r="BL24" s="760">
        <f t="shared" ca="1" si="27"/>
        <v>2</v>
      </c>
      <c r="BM24" s="760" t="str">
        <f t="shared" ca="1" si="22"/>
        <v>2E</v>
      </c>
      <c r="BN24" s="760" t="str">
        <f t="shared" ca="1" si="23"/>
        <v>2E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6</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(2)</v>
      </c>
      <c r="BU24" s="770">
        <f t="shared" ca="1" si="36"/>
        <v>0</v>
      </c>
      <c r="BV24" s="770">
        <f t="shared" ca="1" si="37"/>
        <v>0</v>
      </c>
      <c r="BW24" s="770">
        <f t="shared" ca="1" si="38"/>
        <v>1</v>
      </c>
      <c r="BX24" s="770">
        <f t="shared" ca="1" si="39"/>
        <v>0</v>
      </c>
      <c r="BY24" s="770">
        <f ca="1">BS24+COUNTIFS($BT$6:$BT$53,BT24,$BX$6:BX$53,"&gt;"&amp;BX24,$BC$6:$BC$53,INDEX(T_Equipos[Grupo],MATCH(BD24,T_Equipos[NombreEquipo],0)))</f>
        <v>2</v>
      </c>
      <c r="BZ24" s="769" t="str">
        <f ca="1">IF(COUNTIFS($BY$6:$BY$53,BY24,$BC$6:$BC$53,INDEX(T_Equipos[Grupo],MATCH(BD24,T_Equipos[NombreEquipo],0)))=1,"-","P."&amp;BY24&amp;" ("&amp;COUNTIFS($BY$6:$BY$53,BY24,$BC$6:$BC$53,INDEX(T_Equipos[Grupo],MATCH(BD24,T_Equipos[NombreEquipo],0)))&amp;")")</f>
        <v>-</v>
      </c>
      <c r="CA24" s="770" t="str">
        <f t="shared" ca="1" si="40"/>
        <v>-</v>
      </c>
      <c r="CB24" s="770" t="str">
        <f t="shared" ca="1" si="41"/>
        <v>-</v>
      </c>
      <c r="CC24" s="770" t="str">
        <f t="shared" ca="1" si="42"/>
        <v>-</v>
      </c>
      <c r="CD24" s="770">
        <f ca="1">BY24+COUNTIFS($BZ$6:$BZ$53,BZ24,$CC$6:CC$53,"&gt;"&amp;CC24,$BC$6:$BC$53,INDEX(T_Equipos[Grupo],MATCH(BD24,T_Equipos[NombreEquipo],0)))</f>
        <v>2</v>
      </c>
      <c r="CE24" s="769" t="str">
        <f ca="1">IF(COUNTIFS($CD$6:$CD$53,CD24,$BC$6:$BC$53,INDEX(T_Equipos[Grupo],MATCH(BD24,T_Equipos[NombreEquipo],0)))=1,"-","P."&amp;CD24&amp;" ("&amp;COUNTIFS($CD$6:$CD$53,CD24,$BC$6:$BC$53,INDEX(T_Equipos[Grupo],MATCH(BD24,T_Equipos[NombreEquipo],0)))&amp;")")</f>
        <v>-</v>
      </c>
      <c r="CF24" s="770" t="str">
        <f t="shared" ca="1" si="43"/>
        <v>-</v>
      </c>
      <c r="CG24" s="770">
        <f ca="1">CD24+COUNTIFS($CE$6:$CE$53,CE24,$CF$6:CF$53,"&gt;"&amp;CF24,$BC$6:$BC$53,INDEX(T_Equipos[Grupo],MATCH(BD24,T_Equipos[NombreEquipo],0)))</f>
        <v>2</v>
      </c>
      <c r="CH24" s="769" t="str">
        <f ca="1">IF(COUNTIFS($CG$6:$CG$53,CG24,$BC$6:$BC$53,INDEX(T_Equipos[Grupo],MATCH(BD24,T_Equipos[NombreEquipo],0)))=1,"-","P."&amp;CG24&amp;" ("&amp;COUNTIFS($CG$6:$CG$53,CG24,$BC$6:$BC$53,INDEX(T_Equipos[Grupo],MATCH(BD24,T_Equipos[NombreEquipo],0)))&amp;")")</f>
        <v>-</v>
      </c>
      <c r="CI24" s="770" t="str">
        <f t="shared" ca="1" si="44"/>
        <v>-</v>
      </c>
      <c r="CJ24" s="770" t="str">
        <f t="shared" ca="1" si="45"/>
        <v>-</v>
      </c>
      <c r="CK24" s="770" t="str">
        <f t="shared" ca="1" si="46"/>
        <v>-</v>
      </c>
      <c r="CL24" s="770" t="str">
        <f t="shared" ca="1" si="47"/>
        <v>-</v>
      </c>
      <c r="CM24" s="770">
        <f ca="1">CG24+COUNTIFS($CH$6:$CH$53,CH24,$CL$6:CL$53,"&gt;"&amp;CL24,$BC$6:$BC$53,INDEX(T_Equipos[Grupo],MATCH(BD24,T_Equipos[NombreEquipo],0)))</f>
        <v>2</v>
      </c>
      <c r="CN24" s="769" t="str">
        <f ca="1">IF(COUNTIFS($CM$6:$CM$53,CM24,$BC$6:$BC$53,INDEX(T_Equipos[Grupo],MATCH(BD24,T_Equipos[NombreEquipo],0)))=1,"-","P."&amp;CM24&amp;" ("&amp;COUNTIFS($CM$6:$CM$53,CM24,$BC$6:$BC$53,INDEX(T_Equipos[Grupo],MATCH(BD24,T_Equipos[NombreEquipo],0)))&amp;")")</f>
        <v>-</v>
      </c>
      <c r="CO24" s="770" t="str">
        <f t="shared" ca="1" si="48"/>
        <v>-</v>
      </c>
      <c r="CP24" s="770" t="str">
        <f t="shared" ca="1" si="49"/>
        <v>-</v>
      </c>
      <c r="CQ24" s="770" t="str">
        <f t="shared" ca="1" si="50"/>
        <v>-</v>
      </c>
      <c r="CR24" s="770">
        <f ca="1">CM24+COUNTIFS($CN$6:$CN$53,CN24,$CQ$6:CQ$53,"&gt;"&amp;CQ24,$BC$6:$BC$53,INDEX(T_Equipos[Grupo],MATCH(BD24,T_Equipos[NombreEquipo],0)))</f>
        <v>2</v>
      </c>
      <c r="CS24" s="769" t="str">
        <f ca="1">IF(COUNTIFS($CR$6:$CR$53,CR24,$BC$6:$BC$53,INDEX(T_Equipos[Grupo],MATCH(BD24,T_Equipos[NombreEquipo],0)))=1,"-","P."&amp;CR24&amp;" ("&amp;COUNTIFS($CR$6:$CR$53,CR24,$BC$6:$BC$53,INDEX(T_Equipos[Grupo],MATCH(BD24,T_Equipos[NombreEquipo],0)))&amp;")")</f>
        <v>-</v>
      </c>
      <c r="CT24" s="770" t="str">
        <f t="shared" ca="1" si="51"/>
        <v>-</v>
      </c>
      <c r="CU24" s="770">
        <f ca="1">CR24+COUNTIFS($CS$6:$CS$53,CS24,$CT$6:CT$53,"&gt;"&amp;CT24,$BC$6:$BC$53,INDEX(T_Equipos[Grupo],MATCH(BD24,T_Equipos[NombreEquipo],0)))</f>
        <v>2</v>
      </c>
      <c r="CV24" s="769" t="str">
        <f ca="1">IF(COUNTIFS($CU$6:$CU$53,CU24,$BC$6:$BC$53,INDEX(T_Equipos[Grupo],MATCH(BD24,T_Equipos[NombreEquipo],0)))=1,"-","P."&amp;CU24&amp;" ("&amp;COUNTIFS($CU$6:$CU$53,CU24,$BC$6:$BC$53,INDEX(T_Equipos[Grupo],MATCH(BD24,T_Equipos[NombreEquipo],0)))&amp;")")</f>
        <v>-</v>
      </c>
      <c r="CW24" s="769" t="str">
        <f t="shared" ca="1" si="30"/>
        <v>-</v>
      </c>
      <c r="CX24" s="769">
        <f ca="1">CU24+COUNTIFS($CV$6:$CV$53,CV24,$CW$6:CW$53,"&gt;"&amp;CW24,$BC$6:$BC$53,INDEX(T_Equipos[Grupo],MATCH(BD24,T_Equipos[NombreEquipo],0)))</f>
        <v>2</v>
      </c>
      <c r="CY24" s="769" t="str">
        <f ca="1">IF(COUNTIFS($CX$6:$CX$53,CX24,$BC$6:$BC$53,INDEX(T_Equipos[Grupo],MATCH(BD24,T_Equipos[NombreEquipo],0)))=1,"-","P."&amp;CX24&amp;" ("&amp;COUNTIFS($CX$6:$CX$53,CX24,$BC$6:$BC$53,INDEX(T_Equipos[Grupo],MATCH(BD24,T_Equipos[NombreEquipo],0)))&amp;")")</f>
        <v>-</v>
      </c>
      <c r="CZ24" s="769" t="str">
        <f t="shared" ca="1" si="31"/>
        <v>-</v>
      </c>
      <c r="DA24" s="770">
        <f ca="1">CX24+COUNTIFS($CY$6:$CY$53,CY24,$CZ$6:CZ$53,"&gt;"&amp;CZ24,$BC$6:$BC$53,INDEX(T_Equipos[Grupo],MATCH(BD24,T_Equipos[NombreEquipo],0)))</f>
        <v>2</v>
      </c>
      <c r="DB24" s="769" t="str">
        <f ca="1">IF(COUNTIFS($DA$6:$DA$53,DA24,$BC$6:$BC$53,INDEX(T_Equipos[Grupo],MATCH(BD24,T_Equipos[NombreEquipo],0)))=1,"-","P."&amp;DA24&amp;" ("&amp;COUNTIFS($DA$6:$DA$53,DA24,$BC$6:$BC$53,INDEX(T_Equipos[Grupo],MATCH(BD24,T_Equipos[NombreEquipo],0)))&amp;")")</f>
        <v>-</v>
      </c>
      <c r="DC24" s="768" t="str">
        <f ca="1">IF(DB24="-","-",COUNTIFS(T_Equipos[Rank],"&lt;"&amp;INDEX(T_Equipos[Rank],MATCH(BD24,T_Equipos[NombreEquipo],0)),$BC$6:$BC$53,INDEX(T_Equipos[Grupo],MATCH(BD24,T_Equipos[NombreEquipo],0)))+1)</f>
        <v>-</v>
      </c>
      <c r="DD24" s="768">
        <f ca="1">DA24+COUNTIFS($DB$6:$DB$53,DB24,$DC$6:DC$53,"&lt;"&amp;DC24,$BC$6:$BC$53,INDEX(T_Equipos[Grupo],MATCH(BD24,T_Equipos[NombreEquipo],0)))</f>
        <v>2</v>
      </c>
      <c r="DE24" s="768"/>
      <c r="DF24" s="768">
        <f t="shared" ca="1" si="52"/>
        <v>2</v>
      </c>
      <c r="DG24" s="768" t="str">
        <f ca="1">IF(DB24="-","-",COUNTIFS(DF$6:DF$53,"&lt;"&amp;DF24,$BC$6:$BC$53,INDEX(T_Equipos[Grupo],MATCH(BD24,T_Equipos[NombreEquipo],0))))</f>
        <v>-</v>
      </c>
      <c r="DH24" s="768">
        <f ca="1">DA24+COUNTIFS(DB$6:DB$53,DB24,DG$6:DG$53,"&lt;"&amp;DG24,$BC$6:$BC$53,INDEX(T_Equipos[Grupo],MATCH(BD24,T_Equipos[NombreEquipo],0)))</f>
        <v>2</v>
      </c>
      <c r="DI24" s="756"/>
      <c r="DJ24" s="756">
        <f t="shared" ca="1" si="53"/>
        <v>3</v>
      </c>
      <c r="DK24" s="756">
        <f t="shared" ca="1" si="24"/>
        <v>12</v>
      </c>
      <c r="DL24" s="756">
        <f t="shared" ca="1" si="33"/>
        <v>1</v>
      </c>
      <c r="DM24" s="750" t="str">
        <f t="shared" ca="1" si="34"/>
        <v>3.1</v>
      </c>
      <c r="DN24" s="756" cm="1">
        <f t="array" aca="1" ref="DN24" ca="1">OFFSET(Horarios!$P$3,DJ24-1,0,DL24,1)</f>
        <v>3</v>
      </c>
      <c r="DO24" s="756"/>
      <c r="DP24" s="756" t="s">
        <v>93</v>
      </c>
      <c r="DQ24" s="756" t="str">
        <f t="shared" ca="1" si="35"/>
        <v>Ecuador</v>
      </c>
      <c r="DR24" s="756"/>
      <c r="DS24" s="756"/>
      <c r="DT24" s="756" t="str">
        <f t="shared" ca="1" si="15"/>
        <v>Escocia-Brasil</v>
      </c>
      <c r="DU24" s="756"/>
      <c r="DV24" s="756"/>
      <c r="DW24" s="8"/>
    </row>
    <row r="25" spans="1:127" ht="17" customHeight="1" thickBot="1" x14ac:dyDescent="0.25">
      <c r="A25" s="751"/>
      <c r="B25" s="751"/>
      <c r="C25" s="751"/>
      <c r="D25" s="756" t="str">
        <f t="shared" si="73"/>
        <v>Local</v>
      </c>
      <c r="E25" s="756" t="str">
        <f t="shared" ca="1" si="74"/>
        <v>P.1 (2)</v>
      </c>
      <c r="F25" s="756" t="str">
        <f t="shared" ca="1" si="75"/>
        <v>-</v>
      </c>
      <c r="G25" s="756"/>
      <c r="H25" s="756" t="str">
        <f t="shared" ca="1" si="76"/>
        <v>P.1 (2)</v>
      </c>
      <c r="I25" s="756" t="str">
        <f t="shared" ca="1" si="77"/>
        <v>-</v>
      </c>
      <c r="J25" s="756"/>
      <c r="K25" s="756" t="str">
        <f t="shared" ca="1" si="78"/>
        <v>P.1 (2)</v>
      </c>
      <c r="L25" s="756" t="str">
        <f t="shared" ca="1" si="79"/>
        <v>-</v>
      </c>
      <c r="M25" s="756"/>
      <c r="N25" s="756" t="str">
        <f t="shared" ca="1" si="80"/>
        <v>P.1 (2)</v>
      </c>
      <c r="O25" s="756" t="str">
        <f t="shared" ca="1" si="81"/>
        <v>-</v>
      </c>
      <c r="P25" s="756"/>
      <c r="Q25" s="756" t="str">
        <f t="shared" ca="1" si="82"/>
        <v>P.1 (2)</v>
      </c>
      <c r="R25" s="756" t="str">
        <f t="shared" ca="1" si="83"/>
        <v>-</v>
      </c>
      <c r="S25" s="756"/>
      <c r="T25" s="756" t="str">
        <f t="shared" ca="1" si="84"/>
        <v>P.1 (2)</v>
      </c>
      <c r="U25" s="756" t="str">
        <f t="shared" ca="1" si="85"/>
        <v>-</v>
      </c>
      <c r="V25" s="178"/>
      <c r="W25" s="81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1</v>
      </c>
      <c r="AH25" s="202">
        <v>50</v>
      </c>
      <c r="AI25" s="19" t="str">
        <f t="shared" si="91"/>
        <v>4C</v>
      </c>
      <c r="AJ25" s="241">
        <v>4</v>
      </c>
      <c r="AK25" s="495" t="str" cm="1">
        <f t="array" aca="1" ref="AK25" ca="1">Ver_flag_visit</f>
        <v>🇭🇹</v>
      </c>
      <c r="AL25" s="242" t="str">
        <f ca="1">IFERROR(INDEX($BD$6:$BD$53,MATCH(AI25,$BN$6:$BN$53,0)),"")</f>
        <v>Haití</v>
      </c>
      <c r="AM25" s="243">
        <f t="shared" ca="1" si="90"/>
        <v>0</v>
      </c>
      <c r="AN25" s="244">
        <f t="shared" ca="1" si="90"/>
        <v>3</v>
      </c>
      <c r="AO25" s="244">
        <f t="shared" ca="1" si="90"/>
        <v>0</v>
      </c>
      <c r="AP25" s="244">
        <f t="shared" ca="1" si="90"/>
        <v>0</v>
      </c>
      <c r="AQ25" s="244">
        <f t="shared" ca="1" si="90"/>
        <v>3</v>
      </c>
      <c r="AR25" s="244">
        <f t="shared" ca="1" si="90"/>
        <v>2</v>
      </c>
      <c r="AS25" s="244">
        <f t="shared" ca="1" si="90"/>
        <v>8</v>
      </c>
      <c r="AT25" s="245">
        <f t="shared" ca="1" si="90"/>
        <v>-6</v>
      </c>
      <c r="AU25" s="428">
        <f ca="1">INDEX($DL$6:$DL$53,MATCH(AI25,$DP$6:$DP$53,0))</f>
        <v>1</v>
      </c>
      <c r="AV25" s="223" t="str">
        <f ca="1">INDEX($BD$6:$BD$53,MATCH(AI25,$BM$6:$BM$53,0))</f>
        <v>Haití</v>
      </c>
      <c r="AW25" s="435"/>
      <c r="AX25" s="224"/>
      <c r="AY25" s="246" t="str">
        <f ca="1">+A24</f>
        <v>Escocia</v>
      </c>
      <c r="AZ25" s="247"/>
      <c r="BA25" s="181"/>
      <c r="BB25" s="756"/>
      <c r="BC25" s="768" t="str">
        <f ca="1">+INDEX(T_Equipos[Grupo],MATCH(WORLDCUP!BD25,T_Equipos[NombreEquipo],0))</f>
        <v>E</v>
      </c>
      <c r="BD25" s="756" t="str">
        <f ca="1">+Equipos!B21</f>
        <v>Ecuador</v>
      </c>
      <c r="BE25" s="760">
        <f t="shared" ca="1" si="25"/>
        <v>4</v>
      </c>
      <c r="BF25" s="760">
        <f t="shared" ca="1" si="26"/>
        <v>3</v>
      </c>
      <c r="BG25" s="760">
        <f t="shared" ca="1" si="17"/>
        <v>1</v>
      </c>
      <c r="BH25" s="760">
        <f t="shared" ca="1" si="18"/>
        <v>1</v>
      </c>
      <c r="BI25" s="760">
        <f t="shared" ca="1" si="19"/>
        <v>1</v>
      </c>
      <c r="BJ25" s="760">
        <f t="shared" ca="1" si="20"/>
        <v>2</v>
      </c>
      <c r="BK25" s="760">
        <f t="shared" ca="1" si="21"/>
        <v>2</v>
      </c>
      <c r="BL25" s="760">
        <f t="shared" ca="1" si="27"/>
        <v>0</v>
      </c>
      <c r="BM25" s="760" t="str">
        <f t="shared" ca="1" si="22"/>
        <v>3E</v>
      </c>
      <c r="BN25" s="760" t="str">
        <f t="shared" ca="1" si="23"/>
        <v>3E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4</v>
      </c>
      <c r="BS25" s="769">
        <f ca="1">BP25+COUNTIFS($BQ$6:$BQ$53,BQ25,$BR$6:BR$53,"&gt;"&amp;BR25,$BC$6:$BC$53,INDEX(T_Equipos[Grupo],MATCH(BD25,T_Equipos[NombreEquipo],0)))</f>
        <v>3</v>
      </c>
      <c r="BT25" s="769" t="str">
        <f ca="1">IF(COUNTIFS($BS$6:$BS$53,BS25,$BC$6:$BC$53,INDEX(T_Equipos[Grupo],MATCH(BD25,T_Equipos[NombreEquipo],0)))=1,"-","P."&amp;BS25&amp;" ("&amp;COUNTIFS($BS$6:$BS$53,BS25,$BC$6:$BC$53,INDEX(T_Equipos[Grupo],MATCH(BD25,T_Equipos[NombreEquipo],0)))&amp;")")</f>
        <v>-</v>
      </c>
      <c r="BU25" s="770" t="str">
        <f t="shared" ca="1" si="36"/>
        <v>-</v>
      </c>
      <c r="BV25" s="770" t="str">
        <f t="shared" ca="1" si="37"/>
        <v>-</v>
      </c>
      <c r="BW25" s="770" t="str">
        <f t="shared" ca="1" si="38"/>
        <v>-</v>
      </c>
      <c r="BX25" s="770" t="str">
        <f t="shared" ca="1" si="39"/>
        <v>-</v>
      </c>
      <c r="BY25" s="770">
        <f ca="1">BS25+COUNTIFS($BT$6:$BT$53,BT25,$BX$6:BX$53,"&gt;"&amp;BX25,$BC$6:$BC$53,INDEX(T_Equipos[Grupo],MATCH(BD25,T_Equipos[NombreEquipo],0)))</f>
        <v>3</v>
      </c>
      <c r="BZ25" s="769" t="str">
        <f ca="1">IF(COUNTIFS($BY$6:$BY$53,BY25,$BC$6:$BC$53,INDEX(T_Equipos[Grupo],MATCH(BD25,T_Equipos[NombreEquipo],0)))=1,"-","P."&amp;BY25&amp;" ("&amp;COUNTIFS($BY$6:$BY$53,BY25,$BC$6:$BC$53,INDEX(T_Equipos[Grupo],MATCH(BD25,T_Equipos[NombreEquipo],0)))&amp;")")</f>
        <v>-</v>
      </c>
      <c r="CA25" s="770" t="str">
        <f t="shared" ca="1" si="40"/>
        <v>-</v>
      </c>
      <c r="CB25" s="770" t="str">
        <f t="shared" ca="1" si="41"/>
        <v>-</v>
      </c>
      <c r="CC25" s="770" t="str">
        <f t="shared" ca="1" si="42"/>
        <v>-</v>
      </c>
      <c r="CD25" s="770">
        <f ca="1">BY25+COUNTIFS($BZ$6:$BZ$53,BZ25,$CC$6:CC$53,"&gt;"&amp;CC25,$BC$6:$BC$53,INDEX(T_Equipos[Grupo],MATCH(BD25,T_Equipos[NombreEquipo],0)))</f>
        <v>3</v>
      </c>
      <c r="CE25" s="769" t="str">
        <f ca="1">IF(COUNTIFS($CD$6:$CD$53,CD25,$BC$6:$BC$53,INDEX(T_Equipos[Grupo],MATCH(BD25,T_Equipos[NombreEquipo],0)))=1,"-","P."&amp;CD25&amp;" ("&amp;COUNTIFS($CD$6:$CD$53,CD25,$BC$6:$BC$53,INDEX(T_Equipos[Grupo],MATCH(BD25,T_Equipos[NombreEquipo],0)))&amp;")")</f>
        <v>-</v>
      </c>
      <c r="CF25" s="770" t="str">
        <f t="shared" ca="1" si="43"/>
        <v>-</v>
      </c>
      <c r="CG25" s="770">
        <f ca="1">CD25+COUNTIFS($CE$6:$CE$53,CE25,$CF$6:CF$53,"&gt;"&amp;CF25,$BC$6:$BC$53,INDEX(T_Equipos[Grupo],MATCH(BD25,T_Equipos[NombreEquipo],0)))</f>
        <v>3</v>
      </c>
      <c r="CH25" s="769" t="str">
        <f ca="1">IF(COUNTIFS($CG$6:$CG$53,CG25,$BC$6:$BC$53,INDEX(T_Equipos[Grupo],MATCH(BD25,T_Equipos[NombreEquipo],0)))=1,"-","P."&amp;CG25&amp;" ("&amp;COUNTIFS($CG$6:$CG$53,CG25,$BC$6:$BC$53,INDEX(T_Equipos[Grupo],MATCH(BD25,T_Equipos[NombreEquipo],0)))&amp;")")</f>
        <v>-</v>
      </c>
      <c r="CI25" s="770" t="str">
        <f t="shared" ca="1" si="44"/>
        <v>-</v>
      </c>
      <c r="CJ25" s="770" t="str">
        <f t="shared" ca="1" si="45"/>
        <v>-</v>
      </c>
      <c r="CK25" s="770" t="str">
        <f t="shared" ca="1" si="46"/>
        <v>-</v>
      </c>
      <c r="CL25" s="770" t="str">
        <f t="shared" ca="1" si="47"/>
        <v>-</v>
      </c>
      <c r="CM25" s="770">
        <f ca="1">CG25+COUNTIFS($CH$6:$CH$53,CH25,$CL$6:CL$53,"&gt;"&amp;CL25,$BC$6:$BC$53,INDEX(T_Equipos[Grupo],MATCH(BD25,T_Equipos[NombreEquipo],0)))</f>
        <v>3</v>
      </c>
      <c r="CN25" s="769" t="str">
        <f ca="1">IF(COUNTIFS($CM$6:$CM$53,CM25,$BC$6:$BC$53,INDEX(T_Equipos[Grupo],MATCH(BD25,T_Equipos[NombreEquipo],0)))=1,"-","P."&amp;CM25&amp;" ("&amp;COUNTIFS($CM$6:$CM$53,CM25,$BC$6:$BC$53,INDEX(T_Equipos[Grupo],MATCH(BD25,T_Equipos[NombreEquipo],0)))&amp;")")</f>
        <v>-</v>
      </c>
      <c r="CO25" s="770" t="str">
        <f t="shared" ca="1" si="48"/>
        <v>-</v>
      </c>
      <c r="CP25" s="770" t="str">
        <f t="shared" ca="1" si="49"/>
        <v>-</v>
      </c>
      <c r="CQ25" s="770" t="str">
        <f t="shared" ca="1" si="50"/>
        <v>-</v>
      </c>
      <c r="CR25" s="770">
        <f ca="1">CM25+COUNTIFS($CN$6:$CN$53,CN25,$CQ$6:CQ$53,"&gt;"&amp;CQ25,$BC$6:$BC$53,INDEX(T_Equipos[Grupo],MATCH(BD25,T_Equipos[NombreEquipo],0)))</f>
        <v>3</v>
      </c>
      <c r="CS25" s="769" t="str">
        <f ca="1">IF(COUNTIFS($CR$6:$CR$53,CR25,$BC$6:$BC$53,INDEX(T_Equipos[Grupo],MATCH(BD25,T_Equipos[NombreEquipo],0)))=1,"-","P."&amp;CR25&amp;" ("&amp;COUNTIFS($CR$6:$CR$53,CR25,$BC$6:$BC$53,INDEX(T_Equipos[Grupo],MATCH(BD25,T_Equipos[NombreEquipo],0)))&amp;")")</f>
        <v>-</v>
      </c>
      <c r="CT25" s="770" t="str">
        <f t="shared" ca="1" si="51"/>
        <v>-</v>
      </c>
      <c r="CU25" s="770">
        <f ca="1">CR25+COUNTIFS($CS$6:$CS$53,CS25,$CT$6:CT$53,"&gt;"&amp;CT25,$BC$6:$BC$53,INDEX(T_Equipos[Grupo],MATCH(BD25,T_Equipos[NombreEquipo],0)))</f>
        <v>3</v>
      </c>
      <c r="CV25" s="769" t="str">
        <f ca="1">IF(COUNTIFS($CU$6:$CU$53,CU25,$BC$6:$BC$53,INDEX(T_Equipos[Grupo],MATCH(BD25,T_Equipos[NombreEquipo],0)))=1,"-","P."&amp;CU25&amp;" ("&amp;COUNTIFS($CU$6:$CU$53,CU25,$BC$6:$BC$53,INDEX(T_Equipos[Grupo],MATCH(BD25,T_Equipos[NombreEquipo],0)))&amp;")")</f>
        <v>-</v>
      </c>
      <c r="CW25" s="769" t="str">
        <f t="shared" ca="1" si="30"/>
        <v>-</v>
      </c>
      <c r="CX25" s="769">
        <f ca="1">CU25+COUNTIFS($CV$6:$CV$53,CV25,$CW$6:CW$53,"&gt;"&amp;CW25,$BC$6:$BC$53,INDEX(T_Equipos[Grupo],MATCH(BD25,T_Equipos[NombreEquipo],0)))</f>
        <v>3</v>
      </c>
      <c r="CY25" s="769" t="str">
        <f ca="1">IF(COUNTIFS($CX$6:$CX$53,CX25,$BC$6:$BC$53,INDEX(T_Equipos[Grupo],MATCH(BD25,T_Equipos[NombreEquipo],0)))=1,"-","P."&amp;CX25&amp;" ("&amp;COUNTIFS($CX$6:$CX$53,CX25,$BC$6:$BC$53,INDEX(T_Equipos[Grupo],MATCH(BD25,T_Equipos[NombreEquipo],0)))&amp;")")</f>
        <v>-</v>
      </c>
      <c r="CZ25" s="769" t="str">
        <f t="shared" ca="1" si="31"/>
        <v>-</v>
      </c>
      <c r="DA25" s="770">
        <f ca="1">CX25+COUNTIFS($CY$6:$CY$53,CY25,$CZ$6:CZ$53,"&gt;"&amp;CZ25,$BC$6:$BC$53,INDEX(T_Equipos[Grupo],MATCH(BD25,T_Equipos[NombreEquipo],0)))</f>
        <v>3</v>
      </c>
      <c r="DB25" s="769" t="str">
        <f ca="1">IF(COUNTIFS($DA$6:$DA$53,DA25,$BC$6:$BC$53,INDEX(T_Equipos[Grupo],MATCH(BD25,T_Equipos[NombreEquipo],0)))=1,"-","P."&amp;DA25&amp;" ("&amp;COUNTIFS($DA$6:$DA$53,DA25,$BC$6:$BC$53,INDEX(T_Equipos[Grupo],MATCH(BD25,T_Equipos[NombreEquipo],0)))&amp;")")</f>
        <v>-</v>
      </c>
      <c r="DC25" s="768" t="str">
        <f ca="1">IF(DB25="-","-",COUNTIFS(T_Equipos[Rank],"&lt;"&amp;INDEX(T_Equipos[Rank],MATCH(BD25,T_Equipos[NombreEquipo],0)),$BC$6:$BC$53,INDEX(T_Equipos[Grupo],MATCH(BD25,T_Equipos[NombreEquipo],0)))+1)</f>
        <v>-</v>
      </c>
      <c r="DD25" s="768">
        <f ca="1">DA25+COUNTIFS($DB$6:$DB$53,DB25,$DC$6:DC$53,"&lt;"&amp;DC25,$BC$6:$BC$53,INDEX(T_Equipos[Grupo],MATCH(BD25,T_Equipos[NombreEquipo],0)))</f>
        <v>3</v>
      </c>
      <c r="DE25" s="768"/>
      <c r="DF25" s="768">
        <f t="shared" ca="1" si="52"/>
        <v>3</v>
      </c>
      <c r="DG25" s="768" t="str">
        <f ca="1">IF(DB25="-","-",COUNTIFS(DF$6:DF$53,"&lt;"&amp;DF25,$BC$6:$BC$53,INDEX(T_Equipos[Grupo],MATCH(BD25,T_Equipos[NombreEquipo],0))))</f>
        <v>-</v>
      </c>
      <c r="DH25" s="768">
        <f ca="1">DA25+COUNTIFS(DB$6:DB$53,DB25,DG$6:DG$53,"&lt;"&amp;DG25,$BC$6:$BC$53,INDEX(T_Equipos[Grupo],MATCH(BD25,T_Equipos[NombreEquipo],0)))</f>
        <v>3</v>
      </c>
      <c r="DI25" s="756"/>
      <c r="DJ25" s="756">
        <f t="shared" ca="1" si="53"/>
        <v>4</v>
      </c>
      <c r="DK25" s="756">
        <f t="shared" ca="1" si="24"/>
        <v>12</v>
      </c>
      <c r="DL25" s="756">
        <f t="shared" ca="1" si="33"/>
        <v>1</v>
      </c>
      <c r="DM25" s="750" t="str">
        <f t="shared" ca="1" si="34"/>
        <v>4.1</v>
      </c>
      <c r="DN25" s="756" cm="1">
        <f t="array" aca="1" ref="DN25" ca="1">OFFSET(Horarios!$P$3,DJ25-1,0,DL25,1)</f>
        <v>4</v>
      </c>
      <c r="DO25" s="756"/>
      <c r="DP25" s="756" t="s">
        <v>663</v>
      </c>
      <c r="DQ25" s="756" t="str">
        <f t="shared" ca="1" si="35"/>
        <v>Curazao</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7</v>
      </c>
      <c r="BF26" s="760">
        <f t="shared" ca="1" si="26"/>
        <v>3</v>
      </c>
      <c r="BG26" s="760">
        <f t="shared" ca="1" si="17"/>
        <v>2</v>
      </c>
      <c r="BH26" s="760">
        <f t="shared" ca="1" si="18"/>
        <v>1</v>
      </c>
      <c r="BI26" s="760">
        <f t="shared" ca="1" si="19"/>
        <v>0</v>
      </c>
      <c r="BJ26" s="760">
        <f t="shared" ca="1" si="20"/>
        <v>10</v>
      </c>
      <c r="BK26" s="760">
        <f t="shared" ca="1" si="21"/>
        <v>4</v>
      </c>
      <c r="BL26" s="760">
        <f t="shared" ca="1" si="27"/>
        <v>6</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7</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v>
      </c>
      <c r="BU26" s="770" t="str">
        <f t="shared" ca="1" si="36"/>
        <v>-</v>
      </c>
      <c r="BV26" s="770" t="str">
        <f t="shared" ca="1" si="37"/>
        <v>-</v>
      </c>
      <c r="BW26" s="770" t="str">
        <f t="shared" ca="1" si="38"/>
        <v>-</v>
      </c>
      <c r="BX26" s="770" t="str">
        <f t="shared" ca="1" si="39"/>
        <v>-</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v>
      </c>
      <c r="CA26" s="770" t="str">
        <f t="shared" ca="1" si="40"/>
        <v>-</v>
      </c>
      <c r="CB26" s="770" t="str">
        <f t="shared" ca="1" si="41"/>
        <v>-</v>
      </c>
      <c r="CC26" s="770" t="str">
        <f t="shared" ca="1" si="42"/>
        <v>-</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v>
      </c>
      <c r="CF26" s="770" t="str">
        <f t="shared" ca="1" si="43"/>
        <v>-</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v>
      </c>
      <c r="CI26" s="770" t="str">
        <f t="shared" ca="1" si="44"/>
        <v>-</v>
      </c>
      <c r="CJ26" s="770" t="str">
        <f t="shared" ca="1" si="45"/>
        <v>-</v>
      </c>
      <c r="CK26" s="770" t="str">
        <f t="shared" ca="1" si="46"/>
        <v>-</v>
      </c>
      <c r="CL26" s="770" t="str">
        <f t="shared" ca="1" si="47"/>
        <v>-</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v>
      </c>
      <c r="CO26" s="770" t="str">
        <f t="shared" ca="1" si="48"/>
        <v>-</v>
      </c>
      <c r="CP26" s="770" t="str">
        <f t="shared" ca="1" si="49"/>
        <v>-</v>
      </c>
      <c r="CQ26" s="770" t="str">
        <f t="shared" ca="1" si="50"/>
        <v>-</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v>
      </c>
      <c r="CT26" s="770" t="str">
        <f t="shared" ca="1" si="51"/>
        <v>-</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v>
      </c>
      <c r="CW26" s="769" t="str">
        <f t="shared" ca="1" si="30"/>
        <v>-</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v>
      </c>
      <c r="CZ26" s="769" t="str">
        <f t="shared" ca="1" si="31"/>
        <v>-</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v>
      </c>
      <c r="DC26" s="768" t="str">
        <f ca="1">IF(DB26="-","-",COUNTIFS(T_Equipos[Rank],"&lt;"&amp;INDEX(T_Equipos[Rank],MATCH(BD26,T_Equipos[NombreEquipo],0)),$BC$6:$BC$53,INDEX(T_Equipos[Grupo],MATCH(BD26,T_Equipos[NombreEquipo],0)))+1)</f>
        <v>-</v>
      </c>
      <c r="DD26" s="768">
        <f ca="1">DA26+COUNTIFS($DB$6:$DB$53,DB26,$DC$6:DC$53,"&lt;"&amp;DC26,$BC$6:$BC$53,INDEX(T_Equipos[Grupo],MATCH(BD26,T_Equipos[NombreEquipo],0)))</f>
        <v>1</v>
      </c>
      <c r="DE26" s="768"/>
      <c r="DF26" s="768">
        <f t="shared" ca="1" si="52"/>
        <v>1</v>
      </c>
      <c r="DG26" s="768" t="str">
        <f ca="1">IF(DB26="-","-",COUNTIFS(DF$6:DF$53,"&lt;"&amp;DF26,$BC$6:$BC$53,INDEX(T_Equipos[Grupo],MATCH(BD26,T_Equipos[NombreEquipo],0))))</f>
        <v>-</v>
      </c>
      <c r="DH26" s="768">
        <f ca="1">DA26+COUNTIFS(DB$6:DB$53,DB26,DG$6:DG$53,"&lt;"&amp;DG26,$BC$6:$BC$53,INDEX(T_Equipos[Grupo],MATCH(BD26,T_Equipos[NombreEquipo],0)))</f>
        <v>1</v>
      </c>
      <c r="DI26" s="756"/>
      <c r="DJ26" s="756">
        <f t="shared" ca="1" si="53"/>
        <v>1</v>
      </c>
      <c r="DK26" s="756">
        <f t="shared" ca="1" si="24"/>
        <v>12</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5</v>
      </c>
      <c r="BF27" s="760">
        <f t="shared" ca="1" si="26"/>
        <v>3</v>
      </c>
      <c r="BG27" s="760">
        <f t="shared" ca="1" si="17"/>
        <v>1</v>
      </c>
      <c r="BH27" s="760">
        <f t="shared" ca="1" si="18"/>
        <v>2</v>
      </c>
      <c r="BI27" s="760">
        <f t="shared" ca="1" si="19"/>
        <v>0</v>
      </c>
      <c r="BJ27" s="760">
        <f t="shared" ca="1" si="20"/>
        <v>7</v>
      </c>
      <c r="BK27" s="760">
        <f t="shared" ca="1" si="21"/>
        <v>3</v>
      </c>
      <c r="BL27" s="760">
        <f t="shared" ca="1" si="27"/>
        <v>4</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5</v>
      </c>
      <c r="BS27" s="769">
        <f ca="1">BP27+COUNTIFS($BQ$6:$BQ$53,BQ27,$BR$6:BR$53,"&gt;"&amp;BR27,$BC$6:$BC$53,INDEX(T_Equipos[Grupo],MATCH(BD27,T_Equipos[NombreEquipo],0)))</f>
        <v>2</v>
      </c>
      <c r="BT27" s="769" t="str">
        <f ca="1">IF(COUNTIFS($BS$6:$BS$53,BS27,$BC$6:$BC$53,INDEX(T_Equipos[Grupo],MATCH(BD27,T_Equipos[NombreEquipo],0)))=1,"-","P."&amp;BS27&amp;" ("&amp;COUNTIFS($BS$6:$BS$53,BS27,$BC$6:$BC$53,INDEX(T_Equipos[Grupo],MATCH(BD27,T_Equipos[NombreEquipo],0)))&amp;")")</f>
        <v>-</v>
      </c>
      <c r="BU27" s="770" t="str">
        <f t="shared" ca="1" si="36"/>
        <v>-</v>
      </c>
      <c r="BV27" s="770" t="str">
        <f t="shared" ca="1" si="37"/>
        <v>-</v>
      </c>
      <c r="BW27" s="770" t="str">
        <f t="shared" ca="1" si="38"/>
        <v>-</v>
      </c>
      <c r="BX27" s="770" t="str">
        <f t="shared" ca="1" si="39"/>
        <v>-</v>
      </c>
      <c r="BY27" s="770">
        <f ca="1">BS27+COUNTIFS($BT$6:$BT$53,BT27,$BX$6:BX$53,"&gt;"&amp;BX27,$BC$6:$BC$53,INDEX(T_Equipos[Grupo],MATCH(BD27,T_Equipos[NombreEquipo],0)))</f>
        <v>2</v>
      </c>
      <c r="BZ27" s="769" t="str">
        <f ca="1">IF(COUNTIFS($BY$6:$BY$53,BY27,$BC$6:$BC$53,INDEX(T_Equipos[Grupo],MATCH(BD27,T_Equipos[NombreEquipo],0)))=1,"-","P."&amp;BY27&amp;" ("&amp;COUNTIFS($BY$6:$BY$53,BY27,$BC$6:$BC$53,INDEX(T_Equipos[Grupo],MATCH(BD27,T_Equipos[NombreEquipo],0)))&amp;")")</f>
        <v>-</v>
      </c>
      <c r="CA27" s="770" t="str">
        <f t="shared" ca="1" si="40"/>
        <v>-</v>
      </c>
      <c r="CB27" s="770" t="str">
        <f t="shared" ca="1" si="41"/>
        <v>-</v>
      </c>
      <c r="CC27" s="770" t="str">
        <f t="shared" ca="1" si="42"/>
        <v>-</v>
      </c>
      <c r="CD27" s="770">
        <f ca="1">BY27+COUNTIFS($BZ$6:$BZ$53,BZ27,$CC$6:CC$53,"&gt;"&amp;CC27,$BC$6:$BC$53,INDEX(T_Equipos[Grupo],MATCH(BD27,T_Equipos[NombreEquipo],0)))</f>
        <v>2</v>
      </c>
      <c r="CE27" s="769" t="str">
        <f ca="1">IF(COUNTIFS($CD$6:$CD$53,CD27,$BC$6:$BC$53,INDEX(T_Equipos[Grupo],MATCH(BD27,T_Equipos[NombreEquipo],0)))=1,"-","P."&amp;CD27&amp;" ("&amp;COUNTIFS($CD$6:$CD$53,CD27,$BC$6:$BC$53,INDEX(T_Equipos[Grupo],MATCH(BD27,T_Equipos[NombreEquipo],0)))&amp;")")</f>
        <v>-</v>
      </c>
      <c r="CF27" s="770" t="str">
        <f t="shared" ca="1" si="43"/>
        <v>-</v>
      </c>
      <c r="CG27" s="770">
        <f ca="1">CD27+COUNTIFS($CE$6:$CE$53,CE27,$CF$6:CF$53,"&gt;"&amp;CF27,$BC$6:$BC$53,INDEX(T_Equipos[Grupo],MATCH(BD27,T_Equipos[NombreEquipo],0)))</f>
        <v>2</v>
      </c>
      <c r="CH27" s="769" t="str">
        <f ca="1">IF(COUNTIFS($CG$6:$CG$53,CG27,$BC$6:$BC$53,INDEX(T_Equipos[Grupo],MATCH(BD27,T_Equipos[NombreEquipo],0)))=1,"-","P."&amp;CG27&amp;" ("&amp;COUNTIFS($CG$6:$CG$53,CG27,$BC$6:$BC$53,INDEX(T_Equipos[Grupo],MATCH(BD27,T_Equipos[NombreEquipo],0)))&amp;")")</f>
        <v>-</v>
      </c>
      <c r="CI27" s="770" t="str">
        <f t="shared" ca="1" si="44"/>
        <v>-</v>
      </c>
      <c r="CJ27" s="770" t="str">
        <f t="shared" ca="1" si="45"/>
        <v>-</v>
      </c>
      <c r="CK27" s="770" t="str">
        <f t="shared" ca="1" si="46"/>
        <v>-</v>
      </c>
      <c r="CL27" s="770" t="str">
        <f t="shared" ca="1" si="47"/>
        <v>-</v>
      </c>
      <c r="CM27" s="770">
        <f ca="1">CG27+COUNTIFS($CH$6:$CH$53,CH27,$CL$6:CL$53,"&gt;"&amp;CL27,$BC$6:$BC$53,INDEX(T_Equipos[Grupo],MATCH(BD27,T_Equipos[NombreEquipo],0)))</f>
        <v>2</v>
      </c>
      <c r="CN27" s="769" t="str">
        <f ca="1">IF(COUNTIFS($CM$6:$CM$53,CM27,$BC$6:$BC$53,INDEX(T_Equipos[Grupo],MATCH(BD27,T_Equipos[NombreEquipo],0)))=1,"-","P."&amp;CM27&amp;" ("&amp;COUNTIFS($CM$6:$CM$53,CM27,$BC$6:$BC$53,INDEX(T_Equipos[Grupo],MATCH(BD27,T_Equipos[NombreEquipo],0)))&amp;")")</f>
        <v>-</v>
      </c>
      <c r="CO27" s="770" t="str">
        <f t="shared" ca="1" si="48"/>
        <v>-</v>
      </c>
      <c r="CP27" s="770" t="str">
        <f t="shared" ca="1" si="49"/>
        <v>-</v>
      </c>
      <c r="CQ27" s="770" t="str">
        <f t="shared" ca="1" si="50"/>
        <v>-</v>
      </c>
      <c r="CR27" s="770">
        <f ca="1">CM27+COUNTIFS($CN$6:$CN$53,CN27,$CQ$6:CQ$53,"&gt;"&amp;CQ27,$BC$6:$BC$53,INDEX(T_Equipos[Grupo],MATCH(BD27,T_Equipos[NombreEquipo],0)))</f>
        <v>2</v>
      </c>
      <c r="CS27" s="769" t="str">
        <f ca="1">IF(COUNTIFS($CR$6:$CR$53,CR27,$BC$6:$BC$53,INDEX(T_Equipos[Grupo],MATCH(BD27,T_Equipos[NombreEquipo],0)))=1,"-","P."&amp;CR27&amp;" ("&amp;COUNTIFS($CR$6:$CR$53,CR27,$BC$6:$BC$53,INDEX(T_Equipos[Grupo],MATCH(BD27,T_Equipos[NombreEquipo],0)))&amp;")")</f>
        <v>-</v>
      </c>
      <c r="CT27" s="770" t="str">
        <f t="shared" ca="1" si="51"/>
        <v>-</v>
      </c>
      <c r="CU27" s="770">
        <f ca="1">CR27+COUNTIFS($CS$6:$CS$53,CS27,$CT$6:CT$53,"&gt;"&amp;CT27,$BC$6:$BC$53,INDEX(T_Equipos[Grupo],MATCH(BD27,T_Equipos[NombreEquipo],0)))</f>
        <v>2</v>
      </c>
      <c r="CV27" s="769" t="str">
        <f ca="1">IF(COUNTIFS($CU$6:$CU$53,CU27,$BC$6:$BC$53,INDEX(T_Equipos[Grupo],MATCH(BD27,T_Equipos[NombreEquipo],0)))=1,"-","P."&amp;CU27&amp;" ("&amp;COUNTIFS($CU$6:$CU$53,CU27,$BC$6:$BC$53,INDEX(T_Equipos[Grupo],MATCH(BD27,T_Equipos[NombreEquipo],0)))&amp;")")</f>
        <v>-</v>
      </c>
      <c r="CW27" s="769" t="str">
        <f t="shared" ca="1" si="30"/>
        <v>-</v>
      </c>
      <c r="CX27" s="769">
        <f ca="1">CU27+COUNTIFS($CV$6:$CV$53,CV27,$CW$6:CW$53,"&gt;"&amp;CW27,$BC$6:$BC$53,INDEX(T_Equipos[Grupo],MATCH(BD27,T_Equipos[NombreEquipo],0)))</f>
        <v>2</v>
      </c>
      <c r="CY27" s="769" t="str">
        <f ca="1">IF(COUNTIFS($CX$6:$CX$53,CX27,$BC$6:$BC$53,INDEX(T_Equipos[Grupo],MATCH(BD27,T_Equipos[NombreEquipo],0)))=1,"-","P."&amp;CX27&amp;" ("&amp;COUNTIFS($CX$6:$CX$53,CX27,$BC$6:$BC$53,INDEX(T_Equipos[Grupo],MATCH(BD27,T_Equipos[NombreEquipo],0)))&amp;")")</f>
        <v>-</v>
      </c>
      <c r="CZ27" s="769" t="str">
        <f t="shared" ca="1" si="31"/>
        <v>-</v>
      </c>
      <c r="DA27" s="770">
        <f ca="1">CX27+COUNTIFS($CY$6:$CY$53,CY27,$CZ$6:CZ$53,"&gt;"&amp;CZ27,$BC$6:$BC$53,INDEX(T_Equipos[Grupo],MATCH(BD27,T_Equipos[NombreEquipo],0)))</f>
        <v>2</v>
      </c>
      <c r="DB27" s="769" t="str">
        <f ca="1">IF(COUNTIFS($DA$6:$DA$53,DA27,$BC$6:$BC$53,INDEX(T_Equipos[Grupo],MATCH(BD27,T_Equipos[NombreEquipo],0)))=1,"-","P."&amp;DA27&amp;" ("&amp;COUNTIFS($DA$6:$DA$53,DA27,$BC$6:$BC$53,INDEX(T_Equipos[Grupo],MATCH(BD27,T_Equipos[NombreEquipo],0)))&amp;")")</f>
        <v>-</v>
      </c>
      <c r="DC27" s="768" t="str">
        <f ca="1">IF(DB27="-","-",COUNTIFS(T_Equipos[Rank],"&lt;"&amp;INDEX(T_Equipos[Rank],MATCH(BD27,T_Equipos[NombreEquipo],0)),$BC$6:$BC$53,INDEX(T_Equipos[Grupo],MATCH(BD27,T_Equipos[NombreEquipo],0)))+1)</f>
        <v>-</v>
      </c>
      <c r="DD27" s="768">
        <f ca="1">DA27+COUNTIFS($DB$6:$DB$53,DB27,$DC$6:DC$53,"&lt;"&amp;DC27,$BC$6:$BC$53,INDEX(T_Equipos[Grupo],MATCH(BD27,T_Equipos[NombreEquipo],0)))</f>
        <v>2</v>
      </c>
      <c r="DE27" s="768"/>
      <c r="DF27" s="768">
        <f t="shared" ca="1" si="52"/>
        <v>2</v>
      </c>
      <c r="DG27" s="768" t="str">
        <f ca="1">IF(DB27="-","-",COUNTIFS(DF$6:DF$53,"&lt;"&amp;DF27,$BC$6:$BC$53,INDEX(T_Equipos[Grupo],MATCH(BD27,T_Equipos[NombreEquipo],0))))</f>
        <v>-</v>
      </c>
      <c r="DH27" s="768">
        <f ca="1">DA27+COUNTIFS(DB$6:DB$53,DB27,DG$6:DG$53,"&lt;"&amp;DG27,$BC$6:$BC$53,INDEX(T_Equipos[Grupo],MATCH(BD27,T_Equipos[NombreEquipo],0)))</f>
        <v>2</v>
      </c>
      <c r="DI27" s="756"/>
      <c r="DJ27" s="756">
        <f t="shared" ca="1" si="53"/>
        <v>2</v>
      </c>
      <c r="DK27" s="756">
        <f t="shared" ca="1" si="24"/>
        <v>12</v>
      </c>
      <c r="DL27" s="756">
        <f t="shared" ca="1" si="33"/>
        <v>1</v>
      </c>
      <c r="DM27" s="750" t="str">
        <f t="shared" ca="1" si="34"/>
        <v>2.1</v>
      </c>
      <c r="DN27" s="756" cm="1">
        <f t="array" aca="1" ref="DN27" ca="1">OFFSET(Horarios!$P$3,DJ27-1,0,DL27,1)</f>
        <v>2</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Local</v>
      </c>
      <c r="E28" s="756" t="str">
        <f t="shared" ref="E28:E33" ca="1" si="95">IF(D28="Pendiente","-",INDEX($BT$6:$BT$53,MATCH($AA28,$BD$6:$BD$53,0)))</f>
        <v>-</v>
      </c>
      <c r="F28" s="756" t="str">
        <f t="shared" ref="F28:F33" ca="1" si="96">IF(D28="Pendiente","-",INDEX($BT$6:$BT$53,MATCH($AF28,$BD$6:$BD$53,0)))</f>
        <v>P.2 (2)</v>
      </c>
      <c r="G28" s="756"/>
      <c r="H28" s="756" t="str">
        <f t="shared" ref="H28:H33" ca="1" si="97">IF(D28="Pendiente","-",INDEX($BZ$6:$BZ$53,MATCH($AA28,$BD$6:$BD$53,0)))</f>
        <v>-</v>
      </c>
      <c r="I28" s="756" t="str">
        <f t="shared" ref="I28:I33" ca="1" si="98">IF(D28="Pendiente","-",INDEX($BZ$6:$BZ$53,MATCH($AF28,$BD$6:$BD$53,0)))</f>
        <v>P.2 (2)</v>
      </c>
      <c r="J28" s="756"/>
      <c r="K28" s="756" t="str">
        <f t="shared" ref="K28:K33" ca="1" si="99">IF(D28="Pendiente","-",INDEX($CE$6:$CE$53,MATCH($AA28,$BD$6:$BD$53,0)))</f>
        <v>-</v>
      </c>
      <c r="L28" s="756" t="str">
        <f t="shared" ref="L28:L33" ca="1" si="100">IF(D28="Pendiente","-",INDEX($CE$6:$CE$53,MATCH($AF28,$BD$6:$BD$53,0)))</f>
        <v>P.2 (2)</v>
      </c>
      <c r="M28" s="756"/>
      <c r="N28" s="756" t="str">
        <f t="shared" ref="N28:N33" ca="1" si="101">IF(D28="Pendiente","-",INDEX($CH$6:$CH$53,MATCH($AA28,$BD$6:$BD$53,0)))</f>
        <v>-</v>
      </c>
      <c r="O28" s="756" t="str">
        <f t="shared" ref="O28:O33" ca="1" si="102">IF(D28="Pendiente","-",INDEX($CH$6:$CH$53,MATCH($AF28,$BD$6:$BD$53,0)))</f>
        <v>P.2 (2)</v>
      </c>
      <c r="P28" s="756"/>
      <c r="Q28" s="756" t="str">
        <f t="shared" ref="Q28:Q33" ca="1" si="103">IF(D28="Pendiente","-",INDEX($CN$6:$CN$53,MATCH($AA28,$BD$6:$BD$53,0)))</f>
        <v>-</v>
      </c>
      <c r="R28" s="756" t="str">
        <f t="shared" ref="R28:R33" ca="1" si="104">IF(D28="Pendiente","-",INDEX($CN$6:$CN$53,MATCH($AF28,$BD$6:$BD$53,0)))</f>
        <v>P.2 (2)</v>
      </c>
      <c r="S28" s="756"/>
      <c r="T28" s="756" t="str">
        <f t="shared" ref="T28:T33" ca="1" si="105">IF(D28="Pendiente","-",INDEX($CS$6:$CS$53,MATCH($AA28,$BD$6:$BD$53,0)))</f>
        <v>-</v>
      </c>
      <c r="U28" s="756" t="str">
        <f t="shared" ref="U28:U33" ca="1" si="106">IF(D28="Pendiente","-",INDEX($CS$6:$CS$53,MATCH($AF28,$BD$6:$BD$53,0)))</f>
        <v>P.2 (2)</v>
      </c>
      <c r="V28" s="178"/>
      <c r="W28" s="81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1</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4</v>
      </c>
      <c r="BF28" s="760">
        <f t="shared" ca="1" si="26"/>
        <v>3</v>
      </c>
      <c r="BG28" s="760">
        <f t="shared" ca="1" si="17"/>
        <v>1</v>
      </c>
      <c r="BH28" s="760">
        <f t="shared" ca="1" si="18"/>
        <v>1</v>
      </c>
      <c r="BI28" s="760">
        <f t="shared" ca="1" si="19"/>
        <v>1</v>
      </c>
      <c r="BJ28" s="760">
        <f t="shared" ca="1" si="20"/>
        <v>7</v>
      </c>
      <c r="BK28" s="760">
        <f t="shared" ca="1" si="21"/>
        <v>7</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4</v>
      </c>
      <c r="BS28" s="769">
        <f ca="1">BP28+COUNTIFS($BQ$6:$BQ$53,BQ28,$BR$6:BR$53,"&gt;"&amp;BR28,$BC$6:$BC$53,INDEX(T_Equipos[Grupo],MATCH(BD28,T_Equipos[NombreEquipo],0)))</f>
        <v>3</v>
      </c>
      <c r="BT28" s="769" t="str">
        <f ca="1">IF(COUNTIFS($BS$6:$BS$53,BS28,$BC$6:$BC$53,INDEX(T_Equipos[Grupo],MATCH(BD28,T_Equipos[NombreEquipo],0)))=1,"-","P."&amp;BS28&amp;" ("&amp;COUNTIFS($BS$6:$BS$53,BS28,$BC$6:$BC$53,INDEX(T_Equipos[Grupo],MATCH(BD28,T_Equipos[NombreEquipo],0)))&amp;")")</f>
        <v>-</v>
      </c>
      <c r="BU28" s="770" t="str">
        <f t="shared" ca="1" si="36"/>
        <v>-</v>
      </c>
      <c r="BV28" s="770" t="str">
        <f t="shared" ca="1" si="37"/>
        <v>-</v>
      </c>
      <c r="BW28" s="770" t="str">
        <f t="shared" ca="1" si="38"/>
        <v>-</v>
      </c>
      <c r="BX28" s="770" t="str">
        <f t="shared" ca="1" si="39"/>
        <v>-</v>
      </c>
      <c r="BY28" s="770">
        <f ca="1">BS28+COUNTIFS($BT$6:$BT$53,BT28,$BX$6:BX$53,"&gt;"&amp;BX28,$BC$6:$BC$53,INDEX(T_Equipos[Grupo],MATCH(BD28,T_Equipos[NombreEquipo],0)))</f>
        <v>3</v>
      </c>
      <c r="BZ28" s="769" t="str">
        <f ca="1">IF(COUNTIFS($BY$6:$BY$53,BY28,$BC$6:$BC$53,INDEX(T_Equipos[Grupo],MATCH(BD28,T_Equipos[NombreEquipo],0)))=1,"-","P."&amp;BY28&amp;" ("&amp;COUNTIFS($BY$6:$BY$53,BY28,$BC$6:$BC$53,INDEX(T_Equipos[Grupo],MATCH(BD28,T_Equipos[NombreEquipo],0)))&amp;")")</f>
        <v>-</v>
      </c>
      <c r="CA28" s="770" t="str">
        <f t="shared" ca="1" si="40"/>
        <v>-</v>
      </c>
      <c r="CB28" s="770" t="str">
        <f t="shared" ca="1" si="41"/>
        <v>-</v>
      </c>
      <c r="CC28" s="770" t="str">
        <f t="shared" ca="1" si="42"/>
        <v>-</v>
      </c>
      <c r="CD28" s="770">
        <f ca="1">BY28+COUNTIFS($BZ$6:$BZ$53,BZ28,$CC$6:CC$53,"&gt;"&amp;CC28,$BC$6:$BC$53,INDEX(T_Equipos[Grupo],MATCH(BD28,T_Equipos[NombreEquipo],0)))</f>
        <v>3</v>
      </c>
      <c r="CE28" s="769" t="str">
        <f ca="1">IF(COUNTIFS($CD$6:$CD$53,CD28,$BC$6:$BC$53,INDEX(T_Equipos[Grupo],MATCH(BD28,T_Equipos[NombreEquipo],0)))=1,"-","P."&amp;CD28&amp;" ("&amp;COUNTIFS($CD$6:$CD$53,CD28,$BC$6:$BC$53,INDEX(T_Equipos[Grupo],MATCH(BD28,T_Equipos[NombreEquipo],0)))&amp;")")</f>
        <v>-</v>
      </c>
      <c r="CF28" s="770" t="str">
        <f t="shared" ca="1" si="43"/>
        <v>-</v>
      </c>
      <c r="CG28" s="770">
        <f ca="1">CD28+COUNTIFS($CE$6:$CE$53,CE28,$CF$6:CF$53,"&gt;"&amp;CF28,$BC$6:$BC$53,INDEX(T_Equipos[Grupo],MATCH(BD28,T_Equipos[NombreEquipo],0)))</f>
        <v>3</v>
      </c>
      <c r="CH28" s="769" t="str">
        <f ca="1">IF(COUNTIFS($CG$6:$CG$53,CG28,$BC$6:$BC$53,INDEX(T_Equipos[Grupo],MATCH(BD28,T_Equipos[NombreEquipo],0)))=1,"-","P."&amp;CG28&amp;" ("&amp;COUNTIFS($CG$6:$CG$53,CG28,$BC$6:$BC$53,INDEX(T_Equipos[Grupo],MATCH(BD28,T_Equipos[NombreEquipo],0)))&amp;")")</f>
        <v>-</v>
      </c>
      <c r="CI28" s="770" t="str">
        <f t="shared" ca="1" si="44"/>
        <v>-</v>
      </c>
      <c r="CJ28" s="770" t="str">
        <f t="shared" ca="1" si="45"/>
        <v>-</v>
      </c>
      <c r="CK28" s="770" t="str">
        <f t="shared" ca="1" si="46"/>
        <v>-</v>
      </c>
      <c r="CL28" s="770" t="str">
        <f t="shared" ca="1" si="47"/>
        <v>-</v>
      </c>
      <c r="CM28" s="770">
        <f ca="1">CG28+COUNTIFS($CH$6:$CH$53,CH28,$CL$6:CL$53,"&gt;"&amp;CL28,$BC$6:$BC$53,INDEX(T_Equipos[Grupo],MATCH(BD28,T_Equipos[NombreEquipo],0)))</f>
        <v>3</v>
      </c>
      <c r="CN28" s="769" t="str">
        <f ca="1">IF(COUNTIFS($CM$6:$CM$53,CM28,$BC$6:$BC$53,INDEX(T_Equipos[Grupo],MATCH(BD28,T_Equipos[NombreEquipo],0)))=1,"-","P."&amp;CM28&amp;" ("&amp;COUNTIFS($CM$6:$CM$53,CM28,$BC$6:$BC$53,INDEX(T_Equipos[Grupo],MATCH(BD28,T_Equipos[NombreEquipo],0)))&amp;")")</f>
        <v>-</v>
      </c>
      <c r="CO28" s="770" t="str">
        <f t="shared" ca="1" si="48"/>
        <v>-</v>
      </c>
      <c r="CP28" s="770" t="str">
        <f t="shared" ca="1" si="49"/>
        <v>-</v>
      </c>
      <c r="CQ28" s="770" t="str">
        <f t="shared" ca="1" si="50"/>
        <v>-</v>
      </c>
      <c r="CR28" s="770">
        <f ca="1">CM28+COUNTIFS($CN$6:$CN$53,CN28,$CQ$6:CQ$53,"&gt;"&amp;CQ28,$BC$6:$BC$53,INDEX(T_Equipos[Grupo],MATCH(BD28,T_Equipos[NombreEquipo],0)))</f>
        <v>3</v>
      </c>
      <c r="CS28" s="769" t="str">
        <f ca="1">IF(COUNTIFS($CR$6:$CR$53,CR28,$BC$6:$BC$53,INDEX(T_Equipos[Grupo],MATCH(BD28,T_Equipos[NombreEquipo],0)))=1,"-","P."&amp;CR28&amp;" ("&amp;COUNTIFS($CR$6:$CR$53,CR28,$BC$6:$BC$53,INDEX(T_Equipos[Grupo],MATCH(BD28,T_Equipos[NombreEquipo],0)))&amp;")")</f>
        <v>-</v>
      </c>
      <c r="CT28" s="770" t="str">
        <f t="shared" ca="1" si="51"/>
        <v>-</v>
      </c>
      <c r="CU28" s="770">
        <f ca="1">CR28+COUNTIFS($CS$6:$CS$53,CS28,$CT$6:CT$53,"&gt;"&amp;CT28,$BC$6:$BC$53,INDEX(T_Equipos[Grupo],MATCH(BD28,T_Equipos[NombreEquipo],0)))</f>
        <v>3</v>
      </c>
      <c r="CV28" s="769" t="str">
        <f ca="1">IF(COUNTIFS($CU$6:$CU$53,CU28,$BC$6:$BC$53,INDEX(T_Equipos[Grupo],MATCH(BD28,T_Equipos[NombreEquipo],0)))=1,"-","P."&amp;CU28&amp;" ("&amp;COUNTIFS($CU$6:$CU$53,CU28,$BC$6:$BC$53,INDEX(T_Equipos[Grupo],MATCH(BD28,T_Equipos[NombreEquipo],0)))&amp;")")</f>
        <v>-</v>
      </c>
      <c r="CW28" s="769" t="str">
        <f t="shared" ca="1" si="30"/>
        <v>-</v>
      </c>
      <c r="CX28" s="769">
        <f ca="1">CU28+COUNTIFS($CV$6:$CV$53,CV28,$CW$6:CW$53,"&gt;"&amp;CW28,$BC$6:$BC$53,INDEX(T_Equipos[Grupo],MATCH(BD28,T_Equipos[NombreEquipo],0)))</f>
        <v>3</v>
      </c>
      <c r="CY28" s="769" t="str">
        <f ca="1">IF(COUNTIFS($CX$6:$CX$53,CX28,$BC$6:$BC$53,INDEX(T_Equipos[Grupo],MATCH(BD28,T_Equipos[NombreEquipo],0)))=1,"-","P."&amp;CX28&amp;" ("&amp;COUNTIFS($CX$6:$CX$53,CX28,$BC$6:$BC$53,INDEX(T_Equipos[Grupo],MATCH(BD28,T_Equipos[NombreEquipo],0)))&amp;")")</f>
        <v>-</v>
      </c>
      <c r="CZ28" s="769" t="str">
        <f t="shared" ca="1" si="31"/>
        <v>-</v>
      </c>
      <c r="DA28" s="770">
        <f ca="1">CX28+COUNTIFS($CY$6:$CY$53,CY28,$CZ$6:CZ$53,"&gt;"&amp;CZ28,$BC$6:$BC$53,INDEX(T_Equipos[Grupo],MATCH(BD28,T_Equipos[NombreEquipo],0)))</f>
        <v>3</v>
      </c>
      <c r="DB28" s="769" t="str">
        <f ca="1">IF(COUNTIFS($DA$6:$DA$53,DA28,$BC$6:$BC$53,INDEX(T_Equipos[Grupo],MATCH(BD28,T_Equipos[NombreEquipo],0)))=1,"-","P."&amp;DA28&amp;" ("&amp;COUNTIFS($DA$6:$DA$53,DA28,$BC$6:$BC$53,INDEX(T_Equipos[Grupo],MATCH(BD28,T_Equipos[NombreEquipo],0)))&amp;")")</f>
        <v>-</v>
      </c>
      <c r="DC28" s="768" t="str">
        <f ca="1">IF(DB28="-","-",COUNTIFS(T_Equipos[Rank],"&lt;"&amp;INDEX(T_Equipos[Rank],MATCH(BD28,T_Equipos[NombreEquipo],0)),$BC$6:$BC$53,INDEX(T_Equipos[Grupo],MATCH(BD28,T_Equipos[NombreEquipo],0)))+1)</f>
        <v>-</v>
      </c>
      <c r="DD28" s="768">
        <f ca="1">DA28+COUNTIFS($DB$6:$DB$53,DB28,$DC$6:DC$53,"&lt;"&amp;DC28,$BC$6:$BC$53,INDEX(T_Equipos[Grupo],MATCH(BD28,T_Equipos[NombreEquipo],0)))</f>
        <v>3</v>
      </c>
      <c r="DE28" s="768"/>
      <c r="DF28" s="768">
        <f t="shared" ca="1" si="52"/>
        <v>3</v>
      </c>
      <c r="DG28" s="768" t="str">
        <f ca="1">IF(DB28="-","-",COUNTIFS(DF$6:DF$53,"&lt;"&amp;DF28,$BC$6:$BC$53,INDEX(T_Equipos[Grupo],MATCH(BD28,T_Equipos[NombreEquipo],0))))</f>
        <v>-</v>
      </c>
      <c r="DH28" s="768">
        <f ca="1">DA28+COUNTIFS(DB$6:DB$53,DB28,DG$6:DG$53,"&lt;"&amp;DG28,$BC$6:$BC$53,INDEX(T_Equipos[Grupo],MATCH(BD28,T_Equipos[NombreEquipo],0)))</f>
        <v>3</v>
      </c>
      <c r="DI28" s="756"/>
      <c r="DJ28" s="756">
        <f t="shared" ca="1" si="53"/>
        <v>3</v>
      </c>
      <c r="DK28" s="756">
        <f t="shared" ca="1" si="24"/>
        <v>12</v>
      </c>
      <c r="DL28" s="756">
        <f t="shared" ca="1" si="33"/>
        <v>1</v>
      </c>
      <c r="DM28" s="750" t="str">
        <f t="shared" ca="1" si="34"/>
        <v>3.1</v>
      </c>
      <c r="DN28" s="756" cm="1">
        <f t="array" aca="1" ref="DN28" ca="1">OFFSET(Horarios!$P$3,DJ28-1,0,DL28,1)</f>
        <v>3</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Local</v>
      </c>
      <c r="E29" s="756" t="str">
        <f t="shared" ca="1" si="95"/>
        <v>P.2 (2)</v>
      </c>
      <c r="F29" s="756" t="str">
        <f t="shared" ca="1" si="96"/>
        <v>-</v>
      </c>
      <c r="G29" s="756"/>
      <c r="H29" s="756" t="str">
        <f t="shared" ca="1" si="97"/>
        <v>P.2 (2)</v>
      </c>
      <c r="I29" s="756" t="str">
        <f t="shared" ca="1" si="98"/>
        <v>-</v>
      </c>
      <c r="J29" s="756"/>
      <c r="K29" s="756" t="str">
        <f t="shared" ca="1" si="99"/>
        <v>P.2 (2)</v>
      </c>
      <c r="L29" s="756" t="str">
        <f t="shared" ca="1" si="100"/>
        <v>-</v>
      </c>
      <c r="M29" s="756"/>
      <c r="N29" s="756" t="str">
        <f t="shared" ca="1" si="101"/>
        <v>P.2 (2)</v>
      </c>
      <c r="O29" s="756" t="str">
        <f t="shared" ca="1" si="102"/>
        <v>-</v>
      </c>
      <c r="P29" s="756"/>
      <c r="Q29" s="756" t="str">
        <f t="shared" ca="1" si="103"/>
        <v>P.2 (2)</v>
      </c>
      <c r="R29" s="756" t="str">
        <f t="shared" ca="1" si="104"/>
        <v>-</v>
      </c>
      <c r="S29" s="756"/>
      <c r="T29" s="756" t="str">
        <f t="shared" ca="1" si="105"/>
        <v>P.2 (2)</v>
      </c>
      <c r="U29" s="756" t="str">
        <f t="shared" ca="1" si="106"/>
        <v>-</v>
      </c>
      <c r="V29" s="178"/>
      <c r="W29" s="81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1</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3</v>
      </c>
      <c r="BG29" s="760">
        <f t="shared" ca="1" si="17"/>
        <v>0</v>
      </c>
      <c r="BH29" s="760">
        <f t="shared" ca="1" si="18"/>
        <v>0</v>
      </c>
      <c r="BI29" s="760">
        <f t="shared" ca="1" si="19"/>
        <v>3</v>
      </c>
      <c r="BJ29" s="760">
        <f t="shared" ca="1" si="20"/>
        <v>2</v>
      </c>
      <c r="BK29" s="760">
        <f t="shared" ca="1" si="21"/>
        <v>12</v>
      </c>
      <c r="BL29" s="760">
        <f t="shared" ca="1" si="27"/>
        <v>-10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4</v>
      </c>
      <c r="BT29" s="769" t="str">
        <f ca="1">IF(COUNTIFS($BS$6:$BS$53,BS29,$BC$6:$BC$53,INDEX(T_Equipos[Grupo],MATCH(BD29,T_Equipos[NombreEquipo],0)))=1,"-","P."&amp;BS29&amp;" ("&amp;COUNTIFS($BS$6:$BS$53,BS29,$BC$6:$BC$53,INDEX(T_Equipos[Grupo],MATCH(BD29,T_Equipos[NombreEquipo],0)))&amp;")")</f>
        <v>-</v>
      </c>
      <c r="BU29" s="770" t="str">
        <f t="shared" ca="1" si="36"/>
        <v>-</v>
      </c>
      <c r="BV29" s="770" t="str">
        <f t="shared" ca="1" si="37"/>
        <v>-</v>
      </c>
      <c r="BW29" s="770" t="str">
        <f t="shared" ca="1" si="38"/>
        <v>-</v>
      </c>
      <c r="BX29" s="770" t="str">
        <f t="shared" ca="1" si="39"/>
        <v>-</v>
      </c>
      <c r="BY29" s="770">
        <f ca="1">BS29+COUNTIFS($BT$6:$BT$53,BT29,$BX$6:BX$53,"&gt;"&amp;BX29,$BC$6:$BC$53,INDEX(T_Equipos[Grupo],MATCH(BD29,T_Equipos[NombreEquipo],0)))</f>
        <v>4</v>
      </c>
      <c r="BZ29" s="769" t="str">
        <f ca="1">IF(COUNTIFS($BY$6:$BY$53,BY29,$BC$6:$BC$53,INDEX(T_Equipos[Grupo],MATCH(BD29,T_Equipos[NombreEquipo],0)))=1,"-","P."&amp;BY29&amp;" ("&amp;COUNTIFS($BY$6:$BY$53,BY29,$BC$6:$BC$53,INDEX(T_Equipos[Grupo],MATCH(BD29,T_Equipos[NombreEquipo],0)))&amp;")")</f>
        <v>-</v>
      </c>
      <c r="CA29" s="770" t="str">
        <f t="shared" ca="1" si="40"/>
        <v>-</v>
      </c>
      <c r="CB29" s="770" t="str">
        <f t="shared" ca="1" si="41"/>
        <v>-</v>
      </c>
      <c r="CC29" s="770" t="str">
        <f t="shared" ca="1" si="42"/>
        <v>-</v>
      </c>
      <c r="CD29" s="770">
        <f ca="1">BY29+COUNTIFS($BZ$6:$BZ$53,BZ29,$CC$6:CC$53,"&gt;"&amp;CC29,$BC$6:$BC$53,INDEX(T_Equipos[Grupo],MATCH(BD29,T_Equipos[NombreEquipo],0)))</f>
        <v>4</v>
      </c>
      <c r="CE29" s="769" t="str">
        <f ca="1">IF(COUNTIFS($CD$6:$CD$53,CD29,$BC$6:$BC$53,INDEX(T_Equipos[Grupo],MATCH(BD29,T_Equipos[NombreEquipo],0)))=1,"-","P."&amp;CD29&amp;" ("&amp;COUNTIFS($CD$6:$CD$53,CD29,$BC$6:$BC$53,INDEX(T_Equipos[Grupo],MATCH(BD29,T_Equipos[NombreEquipo],0)))&amp;")")</f>
        <v>-</v>
      </c>
      <c r="CF29" s="770" t="str">
        <f t="shared" ca="1" si="43"/>
        <v>-</v>
      </c>
      <c r="CG29" s="770">
        <f ca="1">CD29+COUNTIFS($CE$6:$CE$53,CE29,$CF$6:CF$53,"&gt;"&amp;CF29,$BC$6:$BC$53,INDEX(T_Equipos[Grupo],MATCH(BD29,T_Equipos[NombreEquipo],0)))</f>
        <v>4</v>
      </c>
      <c r="CH29" s="769" t="str">
        <f ca="1">IF(COUNTIFS($CG$6:$CG$53,CG29,$BC$6:$BC$53,INDEX(T_Equipos[Grupo],MATCH(BD29,T_Equipos[NombreEquipo],0)))=1,"-","P."&amp;CG29&amp;" ("&amp;COUNTIFS($CG$6:$CG$53,CG29,$BC$6:$BC$53,INDEX(T_Equipos[Grupo],MATCH(BD29,T_Equipos[NombreEquipo],0)))&amp;")")</f>
        <v>-</v>
      </c>
      <c r="CI29" s="770" t="str">
        <f t="shared" ca="1" si="44"/>
        <v>-</v>
      </c>
      <c r="CJ29" s="770" t="str">
        <f t="shared" ca="1" si="45"/>
        <v>-</v>
      </c>
      <c r="CK29" s="770" t="str">
        <f t="shared" ca="1" si="46"/>
        <v>-</v>
      </c>
      <c r="CL29" s="770" t="str">
        <f t="shared" ca="1" si="47"/>
        <v>-</v>
      </c>
      <c r="CM29" s="770">
        <f ca="1">CG29+COUNTIFS($CH$6:$CH$53,CH29,$CL$6:CL$53,"&gt;"&amp;CL29,$BC$6:$BC$53,INDEX(T_Equipos[Grupo],MATCH(BD29,T_Equipos[NombreEquipo],0)))</f>
        <v>4</v>
      </c>
      <c r="CN29" s="769" t="str">
        <f ca="1">IF(COUNTIFS($CM$6:$CM$53,CM29,$BC$6:$BC$53,INDEX(T_Equipos[Grupo],MATCH(BD29,T_Equipos[NombreEquipo],0)))=1,"-","P."&amp;CM29&amp;" ("&amp;COUNTIFS($CM$6:$CM$53,CM29,$BC$6:$BC$53,INDEX(T_Equipos[Grupo],MATCH(BD29,T_Equipos[NombreEquipo],0)))&amp;")")</f>
        <v>-</v>
      </c>
      <c r="CO29" s="770" t="str">
        <f t="shared" ca="1" si="48"/>
        <v>-</v>
      </c>
      <c r="CP29" s="770" t="str">
        <f t="shared" ca="1" si="49"/>
        <v>-</v>
      </c>
      <c r="CQ29" s="770" t="str">
        <f t="shared" ca="1" si="50"/>
        <v>-</v>
      </c>
      <c r="CR29" s="770">
        <f ca="1">CM29+COUNTIFS($CN$6:$CN$53,CN29,$CQ$6:CQ$53,"&gt;"&amp;CQ29,$BC$6:$BC$53,INDEX(T_Equipos[Grupo],MATCH(BD29,T_Equipos[NombreEquipo],0)))</f>
        <v>4</v>
      </c>
      <c r="CS29" s="769" t="str">
        <f ca="1">IF(COUNTIFS($CR$6:$CR$53,CR29,$BC$6:$BC$53,INDEX(T_Equipos[Grupo],MATCH(BD29,T_Equipos[NombreEquipo],0)))=1,"-","P."&amp;CR29&amp;" ("&amp;COUNTIFS($CR$6:$CR$53,CR29,$BC$6:$BC$53,INDEX(T_Equipos[Grupo],MATCH(BD29,T_Equipos[NombreEquipo],0)))&amp;")")</f>
        <v>-</v>
      </c>
      <c r="CT29" s="770" t="str">
        <f t="shared" ca="1" si="51"/>
        <v>-</v>
      </c>
      <c r="CU29" s="770">
        <f ca="1">CR29+COUNTIFS($CS$6:$CS$53,CS29,$CT$6:CT$53,"&gt;"&amp;CT29,$BC$6:$BC$53,INDEX(T_Equipos[Grupo],MATCH(BD29,T_Equipos[NombreEquipo],0)))</f>
        <v>4</v>
      </c>
      <c r="CV29" s="769" t="str">
        <f ca="1">IF(COUNTIFS($CU$6:$CU$53,CU29,$BC$6:$BC$53,INDEX(T_Equipos[Grupo],MATCH(BD29,T_Equipos[NombreEquipo],0)))=1,"-","P."&amp;CU29&amp;" ("&amp;COUNTIFS($CU$6:$CU$53,CU29,$BC$6:$BC$53,INDEX(T_Equipos[Grupo],MATCH(BD29,T_Equipos[NombreEquipo],0)))&amp;")")</f>
        <v>-</v>
      </c>
      <c r="CW29" s="769" t="str">
        <f t="shared" ca="1" si="30"/>
        <v>-</v>
      </c>
      <c r="CX29" s="769">
        <f ca="1">CU29+COUNTIFS($CV$6:$CV$53,CV29,$CW$6:CW$53,"&gt;"&amp;CW29,$BC$6:$BC$53,INDEX(T_Equipos[Grupo],MATCH(BD29,T_Equipos[NombreEquipo],0)))</f>
        <v>4</v>
      </c>
      <c r="CY29" s="769" t="str">
        <f ca="1">IF(COUNTIFS($CX$6:$CX$53,CX29,$BC$6:$BC$53,INDEX(T_Equipos[Grupo],MATCH(BD29,T_Equipos[NombreEquipo],0)))=1,"-","P."&amp;CX29&amp;" ("&amp;COUNTIFS($CX$6:$CX$53,CX29,$BC$6:$BC$53,INDEX(T_Equipos[Grupo],MATCH(BD29,T_Equipos[NombreEquipo],0)))&amp;")")</f>
        <v>-</v>
      </c>
      <c r="CZ29" s="769" t="str">
        <f t="shared" ca="1" si="31"/>
        <v>-</v>
      </c>
      <c r="DA29" s="770">
        <f ca="1">CX29+COUNTIFS($CY$6:$CY$53,CY29,$CZ$6:CZ$53,"&gt;"&amp;CZ29,$BC$6:$BC$53,INDEX(T_Equipos[Grupo],MATCH(BD29,T_Equipos[NombreEquipo],0)))</f>
        <v>4</v>
      </c>
      <c r="DB29" s="769" t="str">
        <f ca="1">IF(COUNTIFS($DA$6:$DA$53,DA29,$BC$6:$BC$53,INDEX(T_Equipos[Grupo],MATCH(BD29,T_Equipos[NombreEquipo],0)))=1,"-","P."&amp;DA29&amp;" ("&amp;COUNTIFS($DA$6:$DA$53,DA29,$BC$6:$BC$53,INDEX(T_Equipos[Grupo],MATCH(BD29,T_Equipos[NombreEquipo],0)))&amp;")")</f>
        <v>-</v>
      </c>
      <c r="DC29" s="768" t="str">
        <f ca="1">IF(DB29="-","-",COUNTIFS(T_Equipos[Rank],"&lt;"&amp;INDEX(T_Equipos[Rank],MATCH(BD29,T_Equipos[NombreEquipo],0)),$BC$6:$BC$53,INDEX(T_Equipos[Grupo],MATCH(BD29,T_Equipos[NombreEquipo],0)))+1)</f>
        <v>-</v>
      </c>
      <c r="DD29" s="768">
        <f ca="1">DA29+COUNTIFS($DB$6:$DB$53,DB29,$DC$6:DC$53,"&lt;"&amp;DC29,$BC$6:$BC$53,INDEX(T_Equipos[Grupo],MATCH(BD29,T_Equipos[NombreEquipo],0)))</f>
        <v>4</v>
      </c>
      <c r="DE29" s="768"/>
      <c r="DF29" s="768">
        <f t="shared" ca="1" si="52"/>
        <v>4</v>
      </c>
      <c r="DG29" s="768" t="str">
        <f ca="1">IF(DB29="-","-",COUNTIFS(DF$6:DF$53,"&lt;"&amp;DF29,$BC$6:$BC$53,INDEX(T_Equipos[Grupo],MATCH(BD29,T_Equipos[NombreEquipo],0))))</f>
        <v>-</v>
      </c>
      <c r="DH29" s="768">
        <f ca="1">DA29+COUNTIFS(DB$6:DB$53,DB29,DG$6:DG$53,"&lt;"&amp;DG29,$BC$6:$BC$53,INDEX(T_Equipos[Grupo],MATCH(BD29,T_Equipos[NombreEquipo],0)))</f>
        <v>4</v>
      </c>
      <c r="DI29" s="756"/>
      <c r="DJ29" s="756">
        <f t="shared" ca="1" si="53"/>
        <v>4</v>
      </c>
      <c r="DK29" s="756">
        <f t="shared" ca="1" si="24"/>
        <v>12</v>
      </c>
      <c r="DL29" s="756">
        <f t="shared" ca="1" si="33"/>
        <v>1</v>
      </c>
      <c r="DM29" s="750" t="str">
        <f t="shared" ca="1" si="34"/>
        <v>4.1</v>
      </c>
      <c r="DN29" s="756" cm="1">
        <f t="array" aca="1" ref="DN29" ca="1">OFFSET(Horarios!$P$3,DJ29-1,0,DL29,1)</f>
        <v>4</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Local</v>
      </c>
      <c r="E30" s="756" t="str">
        <f t="shared" ca="1" si="95"/>
        <v>-</v>
      </c>
      <c r="F30" s="756" t="str">
        <f t="shared" ca="1" si="96"/>
        <v>P.2 (2)</v>
      </c>
      <c r="G30" s="756"/>
      <c r="H30" s="756" t="str">
        <f t="shared" ca="1" si="97"/>
        <v>-</v>
      </c>
      <c r="I30" s="756" t="str">
        <f t="shared" ca="1" si="98"/>
        <v>P.2 (2)</v>
      </c>
      <c r="J30" s="756"/>
      <c r="K30" s="756" t="str">
        <f t="shared" ca="1" si="99"/>
        <v>-</v>
      </c>
      <c r="L30" s="756" t="str">
        <f t="shared" ca="1" si="100"/>
        <v>P.2 (2)</v>
      </c>
      <c r="M30" s="756"/>
      <c r="N30" s="756" t="str">
        <f t="shared" ca="1" si="101"/>
        <v>-</v>
      </c>
      <c r="O30" s="756" t="str">
        <f t="shared" ca="1" si="102"/>
        <v>P.2 (2)</v>
      </c>
      <c r="P30" s="756"/>
      <c r="Q30" s="756" t="str">
        <f t="shared" ca="1" si="103"/>
        <v>-</v>
      </c>
      <c r="R30" s="756" t="str">
        <f t="shared" ca="1" si="104"/>
        <v>P.2 (2)</v>
      </c>
      <c r="S30" s="756"/>
      <c r="T30" s="756" t="str">
        <f t="shared" ca="1" si="105"/>
        <v>-</v>
      </c>
      <c r="U30" s="756" t="str">
        <f t="shared" ca="1" si="106"/>
        <v>P.2 (2)</v>
      </c>
      <c r="V30" s="178"/>
      <c r="W30" s="81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1</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6</v>
      </c>
      <c r="AN30" s="220">
        <f t="shared" ca="1" si="111"/>
        <v>3</v>
      </c>
      <c r="AO30" s="220">
        <f t="shared" ca="1" si="111"/>
        <v>2</v>
      </c>
      <c r="AP30" s="220">
        <f t="shared" ca="1" si="111"/>
        <v>0</v>
      </c>
      <c r="AQ30" s="220">
        <f t="shared" ca="1" si="111"/>
        <v>1</v>
      </c>
      <c r="AR30" s="220">
        <f t="shared" ca="1" si="111"/>
        <v>8</v>
      </c>
      <c r="AS30" s="220">
        <f t="shared" ca="1" si="111"/>
        <v>4</v>
      </c>
      <c r="AT30" s="221">
        <f t="shared" ca="1" si="111"/>
        <v>4</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5</v>
      </c>
      <c r="BF30" s="760">
        <f t="shared" ca="1" si="26"/>
        <v>3</v>
      </c>
      <c r="BG30" s="760">
        <f t="shared" ca="1" si="17"/>
        <v>1</v>
      </c>
      <c r="BH30" s="760">
        <f t="shared" ca="1" si="18"/>
        <v>2</v>
      </c>
      <c r="BI30" s="760">
        <f t="shared" ca="1" si="19"/>
        <v>0</v>
      </c>
      <c r="BJ30" s="760">
        <f t="shared" ca="1" si="20"/>
        <v>6</v>
      </c>
      <c r="BK30" s="760">
        <f t="shared" ca="1" si="21"/>
        <v>2</v>
      </c>
      <c r="BL30" s="760">
        <f t="shared" ca="1" si="27"/>
        <v>4</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5</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(2)</v>
      </c>
      <c r="BU30" s="770">
        <f t="shared" ca="1" si="36"/>
        <v>0</v>
      </c>
      <c r="BV30" s="770">
        <f t="shared" ca="1" si="37"/>
        <v>1</v>
      </c>
      <c r="BW30" s="770">
        <f t="shared" ca="1" si="38"/>
        <v>0</v>
      </c>
      <c r="BX30" s="770">
        <f t="shared" ca="1" si="39"/>
        <v>1</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(2)</v>
      </c>
      <c r="CA30" s="770">
        <f t="shared" ca="1" si="40"/>
        <v>1</v>
      </c>
      <c r="CB30" s="770">
        <f t="shared" ca="1" si="41"/>
        <v>1</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(2)</v>
      </c>
      <c r="CF30" s="770">
        <f t="shared" ca="1" si="43"/>
        <v>1</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(2)</v>
      </c>
      <c r="CI30" s="770">
        <f t="shared" ca="1" si="44"/>
        <v>0</v>
      </c>
      <c r="CJ30" s="770">
        <f t="shared" ca="1" si="45"/>
        <v>1</v>
      </c>
      <c r="CK30" s="770">
        <f t="shared" ca="1" si="46"/>
        <v>0</v>
      </c>
      <c r="CL30" s="770">
        <f t="shared" ca="1" si="47"/>
        <v>1</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(2)</v>
      </c>
      <c r="CO30" s="770">
        <f t="shared" ca="1" si="48"/>
        <v>1</v>
      </c>
      <c r="CP30" s="770">
        <f t="shared" ca="1" si="49"/>
        <v>1</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(2)</v>
      </c>
      <c r="CT30" s="770">
        <f t="shared" ca="1" si="51"/>
        <v>1</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(2)</v>
      </c>
      <c r="CW30" s="769">
        <f t="shared" ca="1" si="30"/>
        <v>4</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v>
      </c>
      <c r="CZ30" s="769" t="str">
        <f t="shared" ca="1" si="31"/>
        <v>-</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v>
      </c>
      <c r="DC30" s="768" t="str">
        <f ca="1">IF(DB30="-","-",COUNTIFS(T_Equipos[Rank],"&lt;"&amp;INDEX(T_Equipos[Rank],MATCH(BD30,T_Equipos[NombreEquipo],0)),$BC$6:$BC$53,INDEX(T_Equipos[Grupo],MATCH(BD30,T_Equipos[NombreEquipo],0)))+1)</f>
        <v>-</v>
      </c>
      <c r="DD30" s="768">
        <f ca="1">DA30+COUNTIFS($DB$6:$DB$53,DB30,$DC$6:DC$53,"&lt;"&amp;DC30,$BC$6:$BC$53,INDEX(T_Equipos[Grupo],MATCH(BD30,T_Equipos[NombreEquipo],0)))</f>
        <v>1</v>
      </c>
      <c r="DE30" s="768"/>
      <c r="DF30" s="768">
        <f t="shared" ca="1" si="52"/>
        <v>1</v>
      </c>
      <c r="DG30" s="768" t="str">
        <f ca="1">IF(DB30="-","-",COUNTIFS(DF$6:DF$53,"&lt;"&amp;DF30,$BC$6:$BC$53,INDEX(T_Equipos[Grupo],MATCH(BD30,T_Equipos[NombreEquipo],0))))</f>
        <v>-</v>
      </c>
      <c r="DH30" s="768">
        <f ca="1">DA30+COUNTIFS(DB$6:DB$53,DB30,DG$6:DG$53,"&lt;"&amp;DG30,$BC$6:$BC$53,INDEX(T_Equipos[Grupo],MATCH(BD30,T_Equipos[NombreEquipo],0)))</f>
        <v>1</v>
      </c>
      <c r="DI30" s="756"/>
      <c r="DJ30" s="756">
        <f t="shared" ca="1" si="53"/>
        <v>1</v>
      </c>
      <c r="DK30" s="756">
        <f t="shared" ca="1" si="24"/>
        <v>12</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Visitante</v>
      </c>
      <c r="E31" s="756" t="str">
        <f t="shared" ca="1" si="95"/>
        <v>-</v>
      </c>
      <c r="F31" s="756" t="str">
        <f t="shared" ca="1" si="96"/>
        <v>P.2 (2)</v>
      </c>
      <c r="G31" s="756"/>
      <c r="H31" s="756" t="str">
        <f t="shared" ca="1" si="97"/>
        <v>-</v>
      </c>
      <c r="I31" s="756" t="str">
        <f t="shared" ca="1" si="98"/>
        <v>P.2 (2)</v>
      </c>
      <c r="J31" s="756"/>
      <c r="K31" s="756" t="str">
        <f t="shared" ca="1" si="99"/>
        <v>-</v>
      </c>
      <c r="L31" s="756" t="str">
        <f t="shared" ca="1" si="100"/>
        <v>P.2 (2)</v>
      </c>
      <c r="M31" s="756"/>
      <c r="N31" s="756" t="str">
        <f t="shared" ca="1" si="101"/>
        <v>-</v>
      </c>
      <c r="O31" s="756" t="str">
        <f t="shared" ca="1" si="102"/>
        <v>P.2 (2)</v>
      </c>
      <c r="P31" s="756"/>
      <c r="Q31" s="756" t="str">
        <f t="shared" ca="1" si="103"/>
        <v>-</v>
      </c>
      <c r="R31" s="756" t="str">
        <f t="shared" ca="1" si="104"/>
        <v>P.2 (2)</v>
      </c>
      <c r="S31" s="756"/>
      <c r="T31" s="756" t="str">
        <f t="shared" ca="1" si="105"/>
        <v>-</v>
      </c>
      <c r="U31" s="756" t="str">
        <f t="shared" ca="1" si="106"/>
        <v>P.2 (2)</v>
      </c>
      <c r="V31" s="178"/>
      <c r="W31" s="81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1</v>
      </c>
      <c r="AH31" s="202">
        <v>31</v>
      </c>
      <c r="AI31" s="19" t="str">
        <f t="shared" ref="AI31:AI33" si="112">AJ31&amp;$B$28</f>
        <v>2D</v>
      </c>
      <c r="AJ31" s="227">
        <v>2</v>
      </c>
      <c r="AK31" s="494" t="str" cm="1">
        <f t="array" aca="1" ref="AK31" ca="1">Ver_flag_visit</f>
        <v>🇦🇺</v>
      </c>
      <c r="AL31" s="228" t="str">
        <f ca="1">IFERROR(INDEX($BD$6:$BD$53,MATCH(AI31,$BN$6:$BN$53,0)),"")</f>
        <v>Australia</v>
      </c>
      <c r="AM31" s="229">
        <f t="shared" ca="1" si="111"/>
        <v>4</v>
      </c>
      <c r="AN31" s="230">
        <f t="shared" ca="1" si="111"/>
        <v>3</v>
      </c>
      <c r="AO31" s="230">
        <f t="shared" ca="1" si="111"/>
        <v>1</v>
      </c>
      <c r="AP31" s="230">
        <f t="shared" ca="1" si="111"/>
        <v>1</v>
      </c>
      <c r="AQ31" s="230">
        <f t="shared" ca="1" si="111"/>
        <v>1</v>
      </c>
      <c r="AR31" s="230">
        <f t="shared" ca="1" si="111"/>
        <v>2</v>
      </c>
      <c r="AS31" s="230">
        <f t="shared" ca="1" si="111"/>
        <v>2</v>
      </c>
      <c r="AT31" s="231">
        <f t="shared" ca="1" si="111"/>
        <v>0</v>
      </c>
      <c r="AU31" s="428">
        <f ca="1">INDEX($DL$6:$DL$53,MATCH(AI31,$DP$6:$DP$53,0))</f>
        <v>1</v>
      </c>
      <c r="AV31" s="223" t="str">
        <f ca="1">INDEX($BD$6:$BD$53,MATCH(AI31,$BM$6:$BM$53,0))</f>
        <v>Australia</v>
      </c>
      <c r="AW31" s="435"/>
      <c r="AX31" s="224"/>
      <c r="AY31" s="232" t="str">
        <f ca="1">+A30</f>
        <v>Paraguay</v>
      </c>
      <c r="AZ31" s="233"/>
      <c r="BA31" s="181"/>
      <c r="BB31" s="756"/>
      <c r="BC31" s="768" t="str">
        <f ca="1">+INDEX(T_Equipos[Grupo],MATCH(WORLDCUP!BD31,T_Equipos[NombreEquipo],0))</f>
        <v>G</v>
      </c>
      <c r="BD31" s="756" t="str">
        <f ca="1">+Equipos!B27</f>
        <v>Egipto</v>
      </c>
      <c r="BE31" s="760">
        <f t="shared" ca="1" si="25"/>
        <v>5</v>
      </c>
      <c r="BF31" s="760">
        <f t="shared" ca="1" si="26"/>
        <v>3</v>
      </c>
      <c r="BG31" s="760">
        <f t="shared" ca="1" si="17"/>
        <v>1</v>
      </c>
      <c r="BH31" s="760">
        <f t="shared" ca="1" si="18"/>
        <v>2</v>
      </c>
      <c r="BI31" s="760">
        <f t="shared" ca="1" si="19"/>
        <v>0</v>
      </c>
      <c r="BJ31" s="760">
        <f t="shared" ca="1" si="20"/>
        <v>5</v>
      </c>
      <c r="BK31" s="760">
        <f t="shared" ca="1" si="21"/>
        <v>3</v>
      </c>
      <c r="BL31" s="760">
        <f t="shared" ca="1" si="27"/>
        <v>2</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5</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(2)</v>
      </c>
      <c r="BU31" s="770">
        <f t="shared" ca="1" si="36"/>
        <v>0</v>
      </c>
      <c r="BV31" s="770">
        <f t="shared" ca="1" si="37"/>
        <v>1</v>
      </c>
      <c r="BW31" s="770">
        <f t="shared" ca="1" si="38"/>
        <v>0</v>
      </c>
      <c r="BX31" s="770">
        <f t="shared" ca="1" si="39"/>
        <v>1</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(2)</v>
      </c>
      <c r="CA31" s="770">
        <f t="shared" ca="1" si="40"/>
        <v>1</v>
      </c>
      <c r="CB31" s="770">
        <f t="shared" ca="1" si="41"/>
        <v>1</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(2)</v>
      </c>
      <c r="CF31" s="770">
        <f t="shared" ca="1" si="43"/>
        <v>1</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(2)</v>
      </c>
      <c r="CI31" s="770">
        <f t="shared" ca="1" si="44"/>
        <v>0</v>
      </c>
      <c r="CJ31" s="770">
        <f t="shared" ca="1" si="45"/>
        <v>1</v>
      </c>
      <c r="CK31" s="770">
        <f t="shared" ca="1" si="46"/>
        <v>0</v>
      </c>
      <c r="CL31" s="770">
        <f t="shared" ca="1" si="47"/>
        <v>1</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(2)</v>
      </c>
      <c r="CO31" s="770">
        <f t="shared" ca="1" si="48"/>
        <v>1</v>
      </c>
      <c r="CP31" s="770">
        <f t="shared" ca="1" si="49"/>
        <v>1</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(2)</v>
      </c>
      <c r="CT31" s="770">
        <f t="shared" ca="1" si="51"/>
        <v>1</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(2)</v>
      </c>
      <c r="CW31" s="769">
        <f t="shared" ca="1" si="30"/>
        <v>2</v>
      </c>
      <c r="CX31" s="769">
        <f ca="1">CU31+COUNTIFS($CV$6:$CV$53,CV31,$CW$6:CW$53,"&gt;"&amp;CW31,$BC$6:$BC$53,INDEX(T_Equipos[Grupo],MATCH(BD31,T_Equipos[NombreEquipo],0)))</f>
        <v>2</v>
      </c>
      <c r="CY31" s="769" t="str">
        <f ca="1">IF(COUNTIFS($CX$6:$CX$53,CX31,$BC$6:$BC$53,INDEX(T_Equipos[Grupo],MATCH(BD31,T_Equipos[NombreEquipo],0)))=1,"-","P."&amp;CX31&amp;" ("&amp;COUNTIFS($CX$6:$CX$53,CX31,$BC$6:$BC$53,INDEX(T_Equipos[Grupo],MATCH(BD31,T_Equipos[NombreEquipo],0)))&amp;")")</f>
        <v>-</v>
      </c>
      <c r="CZ31" s="769" t="str">
        <f t="shared" ca="1" si="31"/>
        <v>-</v>
      </c>
      <c r="DA31" s="770">
        <f ca="1">CX31+COUNTIFS($CY$6:$CY$53,CY31,$CZ$6:CZ$53,"&gt;"&amp;CZ31,$BC$6:$BC$53,INDEX(T_Equipos[Grupo],MATCH(BD31,T_Equipos[NombreEquipo],0)))</f>
        <v>2</v>
      </c>
      <c r="DB31" s="769" t="str">
        <f ca="1">IF(COUNTIFS($DA$6:$DA$53,DA31,$BC$6:$BC$53,INDEX(T_Equipos[Grupo],MATCH(BD31,T_Equipos[NombreEquipo],0)))=1,"-","P."&amp;DA31&amp;" ("&amp;COUNTIFS($DA$6:$DA$53,DA31,$BC$6:$BC$53,INDEX(T_Equipos[Grupo],MATCH(BD31,T_Equipos[NombreEquipo],0)))&amp;")")</f>
        <v>-</v>
      </c>
      <c r="DC31" s="768" t="str">
        <f ca="1">IF(DB31="-","-",COUNTIFS(T_Equipos[Rank],"&lt;"&amp;INDEX(T_Equipos[Rank],MATCH(BD31,T_Equipos[NombreEquipo],0)),$BC$6:$BC$53,INDEX(T_Equipos[Grupo],MATCH(BD31,T_Equipos[NombreEquipo],0)))+1)</f>
        <v>-</v>
      </c>
      <c r="DD31" s="768">
        <f ca="1">DA31+COUNTIFS($DB$6:$DB$53,DB31,$DC$6:DC$53,"&lt;"&amp;DC31,$BC$6:$BC$53,INDEX(T_Equipos[Grupo],MATCH(BD31,T_Equipos[NombreEquipo],0)))</f>
        <v>2</v>
      </c>
      <c r="DE31" s="768"/>
      <c r="DF31" s="768">
        <f t="shared" ca="1" si="52"/>
        <v>2</v>
      </c>
      <c r="DG31" s="768" t="str">
        <f ca="1">IF(DB31="-","-",COUNTIFS(DF$6:DF$53,"&lt;"&amp;DF31,$BC$6:$BC$53,INDEX(T_Equipos[Grupo],MATCH(BD31,T_Equipos[NombreEquipo],0))))</f>
        <v>-</v>
      </c>
      <c r="DH31" s="768">
        <f ca="1">DA31+COUNTIFS(DB$6:DB$53,DB31,DG$6:DG$53,"&lt;"&amp;DG31,$BC$6:$BC$53,INDEX(T_Equipos[Grupo],MATCH(BD31,T_Equipos[NombreEquipo],0)))</f>
        <v>2</v>
      </c>
      <c r="DI31" s="756"/>
      <c r="DJ31" s="756">
        <f t="shared" ca="1" si="53"/>
        <v>2</v>
      </c>
      <c r="DK31" s="756">
        <f t="shared" ca="1" si="24"/>
        <v>12</v>
      </c>
      <c r="DL31" s="756">
        <f t="shared" ca="1" si="33"/>
        <v>1</v>
      </c>
      <c r="DM31" s="750" t="str">
        <f t="shared" ca="1" si="34"/>
        <v>2.1</v>
      </c>
      <c r="DN31" s="756" cm="1">
        <f t="array" aca="1" ref="DN31" ca="1">OFFSET(Horarios!$P$3,DJ31-1,0,DL31,1)</f>
        <v>2</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Local</v>
      </c>
      <c r="E32" s="756" t="str">
        <f t="shared" ca="1" si="95"/>
        <v>-</v>
      </c>
      <c r="F32" s="756" t="str">
        <f t="shared" ca="1" si="96"/>
        <v>-</v>
      </c>
      <c r="G32" s="756"/>
      <c r="H32" s="756" t="str">
        <f t="shared" ca="1" si="97"/>
        <v>-</v>
      </c>
      <c r="I32" s="756" t="str">
        <f t="shared" ca="1" si="98"/>
        <v>-</v>
      </c>
      <c r="J32" s="756"/>
      <c r="K32" s="756" t="str">
        <f t="shared" ca="1" si="99"/>
        <v>-</v>
      </c>
      <c r="L32" s="756" t="str">
        <f t="shared" ca="1" si="100"/>
        <v>-</v>
      </c>
      <c r="M32" s="756"/>
      <c r="N32" s="756" t="str">
        <f t="shared" ca="1" si="101"/>
        <v>-</v>
      </c>
      <c r="O32" s="756" t="str">
        <f t="shared" ca="1" si="102"/>
        <v>-</v>
      </c>
      <c r="P32" s="756"/>
      <c r="Q32" s="756" t="str">
        <f t="shared" ca="1" si="103"/>
        <v>-</v>
      </c>
      <c r="R32" s="756" t="str">
        <f t="shared" ca="1" si="104"/>
        <v>-</v>
      </c>
      <c r="S32" s="756"/>
      <c r="T32" s="756" t="str">
        <f t="shared" ca="1" si="105"/>
        <v>-</v>
      </c>
      <c r="U32" s="756" t="str">
        <f t="shared" ca="1" si="106"/>
        <v>-</v>
      </c>
      <c r="V32" s="178"/>
      <c r="W32" s="81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1</v>
      </c>
      <c r="AH32" s="202">
        <v>59</v>
      </c>
      <c r="AI32" s="19" t="str">
        <f t="shared" si="112"/>
        <v>3D</v>
      </c>
      <c r="AJ32" s="227">
        <v>3</v>
      </c>
      <c r="AK32" s="494" t="str" cm="1">
        <f t="array" aca="1" ref="AK32" ca="1">Ver_flag_visit</f>
        <v>🇵🇾</v>
      </c>
      <c r="AL32" s="228" t="str">
        <f ca="1">IFERROR(INDEX($BD$6:$BD$53,MATCH(AI32,$BN$6:$BN$53,0)),"")</f>
        <v>Paraguay</v>
      </c>
      <c r="AM32" s="229">
        <f t="shared" ca="1" si="111"/>
        <v>4</v>
      </c>
      <c r="AN32" s="230">
        <f t="shared" ca="1" si="111"/>
        <v>3</v>
      </c>
      <c r="AO32" s="230">
        <f t="shared" ca="1" si="111"/>
        <v>1</v>
      </c>
      <c r="AP32" s="230">
        <f t="shared" ca="1" si="111"/>
        <v>1</v>
      </c>
      <c r="AQ32" s="230">
        <f t="shared" ca="1" si="111"/>
        <v>1</v>
      </c>
      <c r="AR32" s="230">
        <f t="shared" ca="1" si="111"/>
        <v>2</v>
      </c>
      <c r="AS32" s="230">
        <f t="shared" ca="1" si="111"/>
        <v>4</v>
      </c>
      <c r="AT32" s="231">
        <f t="shared" ca="1" si="111"/>
        <v>-2</v>
      </c>
      <c r="AU32" s="428">
        <f ca="1">INDEX($DL$6:$DL$53,MATCH(AI32,$DP$6:$DP$53,0))</f>
        <v>1</v>
      </c>
      <c r="AV32" s="223" t="str">
        <f ca="1">INDEX($BD$6:$BD$53,MATCH(AI32,$BM$6:$BM$53,0))</f>
        <v>Paraguay</v>
      </c>
      <c r="AW32" s="435"/>
      <c r="AX32" s="224"/>
      <c r="AY32" s="225" t="str">
        <f ca="1">+A31</f>
        <v>Australia</v>
      </c>
      <c r="AZ32" s="226"/>
      <c r="BA32" s="181"/>
      <c r="BB32" s="756"/>
      <c r="BC32" s="768" t="str">
        <f ca="1">+INDEX(T_Equipos[Grupo],MATCH(WORLDCUP!BD32,T_Equipos[NombreEquipo],0))</f>
        <v>G</v>
      </c>
      <c r="BD32" s="756" t="str">
        <f ca="1">+Equipos!B28</f>
        <v>Irán</v>
      </c>
      <c r="BE32" s="760">
        <f t="shared" ca="1" si="25"/>
        <v>3</v>
      </c>
      <c r="BF32" s="760">
        <f t="shared" ca="1" si="26"/>
        <v>3</v>
      </c>
      <c r="BG32" s="760">
        <f t="shared" ca="1" si="17"/>
        <v>0</v>
      </c>
      <c r="BH32" s="760">
        <f t="shared" ca="1" si="18"/>
        <v>3</v>
      </c>
      <c r="BI32" s="760">
        <f t="shared" ca="1" si="19"/>
        <v>0</v>
      </c>
      <c r="BJ32" s="760">
        <f t="shared" ca="1" si="20"/>
        <v>3</v>
      </c>
      <c r="BK32" s="760">
        <f t="shared" ca="1" si="21"/>
        <v>3</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3</v>
      </c>
      <c r="BS32" s="769">
        <f ca="1">BP32+COUNTIFS($BQ$6:$BQ$53,BQ32,$BR$6:BR$53,"&gt;"&amp;BR32,$BC$6:$BC$53,INDEX(T_Equipos[Grupo],MATCH(BD32,T_Equipos[NombreEquipo],0)))</f>
        <v>3</v>
      </c>
      <c r="BT32" s="769" t="str">
        <f ca="1">IF(COUNTIFS($BS$6:$BS$53,BS32,$BC$6:$BC$53,INDEX(T_Equipos[Grupo],MATCH(BD32,T_Equipos[NombreEquipo],0)))=1,"-","P."&amp;BS32&amp;" ("&amp;COUNTIFS($BS$6:$BS$53,BS32,$BC$6:$BC$53,INDEX(T_Equipos[Grupo],MATCH(BD32,T_Equipos[NombreEquipo],0)))&amp;")")</f>
        <v>-</v>
      </c>
      <c r="BU32" s="770" t="str">
        <f t="shared" ca="1" si="36"/>
        <v>-</v>
      </c>
      <c r="BV32" s="770" t="str">
        <f t="shared" ca="1" si="37"/>
        <v>-</v>
      </c>
      <c r="BW32" s="770" t="str">
        <f t="shared" ca="1" si="38"/>
        <v>-</v>
      </c>
      <c r="BX32" s="770" t="str">
        <f t="shared" ca="1" si="39"/>
        <v>-</v>
      </c>
      <c r="BY32" s="770">
        <f ca="1">BS32+COUNTIFS($BT$6:$BT$53,BT32,$BX$6:BX$53,"&gt;"&amp;BX32,$BC$6:$BC$53,INDEX(T_Equipos[Grupo],MATCH(BD32,T_Equipos[NombreEquipo],0)))</f>
        <v>3</v>
      </c>
      <c r="BZ32" s="769" t="str">
        <f ca="1">IF(COUNTIFS($BY$6:$BY$53,BY32,$BC$6:$BC$53,INDEX(T_Equipos[Grupo],MATCH(BD32,T_Equipos[NombreEquipo],0)))=1,"-","P."&amp;BY32&amp;" ("&amp;COUNTIFS($BY$6:$BY$53,BY32,$BC$6:$BC$53,INDEX(T_Equipos[Grupo],MATCH(BD32,T_Equipos[NombreEquipo],0)))&amp;")")</f>
        <v>-</v>
      </c>
      <c r="CA32" s="770" t="str">
        <f t="shared" ca="1" si="40"/>
        <v>-</v>
      </c>
      <c r="CB32" s="770" t="str">
        <f t="shared" ca="1" si="41"/>
        <v>-</v>
      </c>
      <c r="CC32" s="770" t="str">
        <f t="shared" ca="1" si="42"/>
        <v>-</v>
      </c>
      <c r="CD32" s="770">
        <f ca="1">BY32+COUNTIFS($BZ$6:$BZ$53,BZ32,$CC$6:CC$53,"&gt;"&amp;CC32,$BC$6:$BC$53,INDEX(T_Equipos[Grupo],MATCH(BD32,T_Equipos[NombreEquipo],0)))</f>
        <v>3</v>
      </c>
      <c r="CE32" s="769" t="str">
        <f ca="1">IF(COUNTIFS($CD$6:$CD$53,CD32,$BC$6:$BC$53,INDEX(T_Equipos[Grupo],MATCH(BD32,T_Equipos[NombreEquipo],0)))=1,"-","P."&amp;CD32&amp;" ("&amp;COUNTIFS($CD$6:$CD$53,CD32,$BC$6:$BC$53,INDEX(T_Equipos[Grupo],MATCH(BD32,T_Equipos[NombreEquipo],0)))&amp;")")</f>
        <v>-</v>
      </c>
      <c r="CF32" s="770" t="str">
        <f t="shared" ca="1" si="43"/>
        <v>-</v>
      </c>
      <c r="CG32" s="770">
        <f ca="1">CD32+COUNTIFS($CE$6:$CE$53,CE32,$CF$6:CF$53,"&gt;"&amp;CF32,$BC$6:$BC$53,INDEX(T_Equipos[Grupo],MATCH(BD32,T_Equipos[NombreEquipo],0)))</f>
        <v>3</v>
      </c>
      <c r="CH32" s="769" t="str">
        <f ca="1">IF(COUNTIFS($CG$6:$CG$53,CG32,$BC$6:$BC$53,INDEX(T_Equipos[Grupo],MATCH(BD32,T_Equipos[NombreEquipo],0)))=1,"-","P."&amp;CG32&amp;" ("&amp;COUNTIFS($CG$6:$CG$53,CG32,$BC$6:$BC$53,INDEX(T_Equipos[Grupo],MATCH(BD32,T_Equipos[NombreEquipo],0)))&amp;")")</f>
        <v>-</v>
      </c>
      <c r="CI32" s="770" t="str">
        <f t="shared" ca="1" si="44"/>
        <v>-</v>
      </c>
      <c r="CJ32" s="770" t="str">
        <f t="shared" ca="1" si="45"/>
        <v>-</v>
      </c>
      <c r="CK32" s="770" t="str">
        <f t="shared" ca="1" si="46"/>
        <v>-</v>
      </c>
      <c r="CL32" s="770" t="str">
        <f t="shared" ca="1" si="47"/>
        <v>-</v>
      </c>
      <c r="CM32" s="770">
        <f ca="1">CG32+COUNTIFS($CH$6:$CH$53,CH32,$CL$6:CL$53,"&gt;"&amp;CL32,$BC$6:$BC$53,INDEX(T_Equipos[Grupo],MATCH(BD32,T_Equipos[NombreEquipo],0)))</f>
        <v>3</v>
      </c>
      <c r="CN32" s="769" t="str">
        <f ca="1">IF(COUNTIFS($CM$6:$CM$53,CM32,$BC$6:$BC$53,INDEX(T_Equipos[Grupo],MATCH(BD32,T_Equipos[NombreEquipo],0)))=1,"-","P."&amp;CM32&amp;" ("&amp;COUNTIFS($CM$6:$CM$53,CM32,$BC$6:$BC$53,INDEX(T_Equipos[Grupo],MATCH(BD32,T_Equipos[NombreEquipo],0)))&amp;")")</f>
        <v>-</v>
      </c>
      <c r="CO32" s="770" t="str">
        <f t="shared" ca="1" si="48"/>
        <v>-</v>
      </c>
      <c r="CP32" s="770" t="str">
        <f t="shared" ca="1" si="49"/>
        <v>-</v>
      </c>
      <c r="CQ32" s="770" t="str">
        <f t="shared" ca="1" si="50"/>
        <v>-</v>
      </c>
      <c r="CR32" s="770">
        <f ca="1">CM32+COUNTIFS($CN$6:$CN$53,CN32,$CQ$6:CQ$53,"&gt;"&amp;CQ32,$BC$6:$BC$53,INDEX(T_Equipos[Grupo],MATCH(BD32,T_Equipos[NombreEquipo],0)))</f>
        <v>3</v>
      </c>
      <c r="CS32" s="769" t="str">
        <f ca="1">IF(COUNTIFS($CR$6:$CR$53,CR32,$BC$6:$BC$53,INDEX(T_Equipos[Grupo],MATCH(BD32,T_Equipos[NombreEquipo],0)))=1,"-","P."&amp;CR32&amp;" ("&amp;COUNTIFS($CR$6:$CR$53,CR32,$BC$6:$BC$53,INDEX(T_Equipos[Grupo],MATCH(BD32,T_Equipos[NombreEquipo],0)))&amp;")")</f>
        <v>-</v>
      </c>
      <c r="CT32" s="770" t="str">
        <f t="shared" ca="1" si="51"/>
        <v>-</v>
      </c>
      <c r="CU32" s="770">
        <f ca="1">CR32+COUNTIFS($CS$6:$CS$53,CS32,$CT$6:CT$53,"&gt;"&amp;CT32,$BC$6:$BC$53,INDEX(T_Equipos[Grupo],MATCH(BD32,T_Equipos[NombreEquipo],0)))</f>
        <v>3</v>
      </c>
      <c r="CV32" s="769" t="str">
        <f ca="1">IF(COUNTIFS($CU$6:$CU$53,CU32,$BC$6:$BC$53,INDEX(T_Equipos[Grupo],MATCH(BD32,T_Equipos[NombreEquipo],0)))=1,"-","P."&amp;CU32&amp;" ("&amp;COUNTIFS($CU$6:$CU$53,CU32,$BC$6:$BC$53,INDEX(T_Equipos[Grupo],MATCH(BD32,T_Equipos[NombreEquipo],0)))&amp;")")</f>
        <v>-</v>
      </c>
      <c r="CW32" s="769" t="str">
        <f t="shared" ca="1" si="30"/>
        <v>-</v>
      </c>
      <c r="CX32" s="769">
        <f ca="1">CU32+COUNTIFS($CV$6:$CV$53,CV32,$CW$6:CW$53,"&gt;"&amp;CW32,$BC$6:$BC$53,INDEX(T_Equipos[Grupo],MATCH(BD32,T_Equipos[NombreEquipo],0)))</f>
        <v>3</v>
      </c>
      <c r="CY32" s="769" t="str">
        <f ca="1">IF(COUNTIFS($CX$6:$CX$53,CX32,$BC$6:$BC$53,INDEX(T_Equipos[Grupo],MATCH(BD32,T_Equipos[NombreEquipo],0)))=1,"-","P."&amp;CX32&amp;" ("&amp;COUNTIFS($CX$6:$CX$53,CX32,$BC$6:$BC$53,INDEX(T_Equipos[Grupo],MATCH(BD32,T_Equipos[NombreEquipo],0)))&amp;")")</f>
        <v>-</v>
      </c>
      <c r="CZ32" s="769" t="str">
        <f t="shared" ca="1" si="31"/>
        <v>-</v>
      </c>
      <c r="DA32" s="770">
        <f ca="1">CX32+COUNTIFS($CY$6:$CY$53,CY32,$CZ$6:CZ$53,"&gt;"&amp;CZ32,$BC$6:$BC$53,INDEX(T_Equipos[Grupo],MATCH(BD32,T_Equipos[NombreEquipo],0)))</f>
        <v>3</v>
      </c>
      <c r="DB32" s="769" t="str">
        <f ca="1">IF(COUNTIFS($DA$6:$DA$53,DA32,$BC$6:$BC$53,INDEX(T_Equipos[Grupo],MATCH(BD32,T_Equipos[NombreEquipo],0)))=1,"-","P."&amp;DA32&amp;" ("&amp;COUNTIFS($DA$6:$DA$53,DA32,$BC$6:$BC$53,INDEX(T_Equipos[Grupo],MATCH(BD32,T_Equipos[NombreEquipo],0)))&amp;")")</f>
        <v>-</v>
      </c>
      <c r="DC32" s="768" t="str">
        <f ca="1">IF(DB32="-","-",COUNTIFS(T_Equipos[Rank],"&lt;"&amp;INDEX(T_Equipos[Rank],MATCH(BD32,T_Equipos[NombreEquipo],0)),$BC$6:$BC$53,INDEX(T_Equipos[Grupo],MATCH(BD32,T_Equipos[NombreEquipo],0)))+1)</f>
        <v>-</v>
      </c>
      <c r="DD32" s="768">
        <f ca="1">DA32+COUNTIFS($DB$6:$DB$53,DB32,$DC$6:DC$53,"&lt;"&amp;DC32,$BC$6:$BC$53,INDEX(T_Equipos[Grupo],MATCH(BD32,T_Equipos[NombreEquipo],0)))</f>
        <v>3</v>
      </c>
      <c r="DE32" s="768"/>
      <c r="DF32" s="768">
        <f t="shared" ca="1" si="52"/>
        <v>3</v>
      </c>
      <c r="DG32" s="768" t="str">
        <f ca="1">IF(DB32="-","-",COUNTIFS(DF$6:DF$53,"&lt;"&amp;DF32,$BC$6:$BC$53,INDEX(T_Equipos[Grupo],MATCH(BD32,T_Equipos[NombreEquipo],0))))</f>
        <v>-</v>
      </c>
      <c r="DH32" s="768">
        <f ca="1">DA32+COUNTIFS(DB$6:DB$53,DB32,DG$6:DG$53,"&lt;"&amp;DG32,$BC$6:$BC$53,INDEX(T_Equipos[Grupo],MATCH(BD32,T_Equipos[NombreEquipo],0)))</f>
        <v>3</v>
      </c>
      <c r="DI32" s="756"/>
      <c r="DJ32" s="756">
        <f t="shared" ca="1" si="53"/>
        <v>3</v>
      </c>
      <c r="DK32" s="756">
        <f t="shared" ca="1" si="24"/>
        <v>12</v>
      </c>
      <c r="DL32" s="756">
        <f t="shared" ca="1" si="33"/>
        <v>1</v>
      </c>
      <c r="DM32" s="750" t="str">
        <f t="shared" ca="1" si="34"/>
        <v>3.1</v>
      </c>
      <c r="DN32" s="756" cm="1">
        <f t="array" aca="1" ref="DN32" ca="1">OFFSET(Horarios!$P$3,DJ32-1,0,DL32,1)</f>
        <v>3</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Empate</v>
      </c>
      <c r="E33" s="756" t="str">
        <f t="shared" ca="1" si="95"/>
        <v>P.2 (2)</v>
      </c>
      <c r="F33" s="756" t="str">
        <f t="shared" ca="1" si="96"/>
        <v>P.2 (2)</v>
      </c>
      <c r="G33" s="756"/>
      <c r="H33" s="756" t="str">
        <f t="shared" ca="1" si="97"/>
        <v>P.2 (2)</v>
      </c>
      <c r="I33" s="756" t="str">
        <f t="shared" ca="1" si="98"/>
        <v>P.2 (2)</v>
      </c>
      <c r="J33" s="756"/>
      <c r="K33" s="756" t="str">
        <f t="shared" ca="1" si="99"/>
        <v>P.2 (2)</v>
      </c>
      <c r="L33" s="756" t="str">
        <f t="shared" ca="1" si="100"/>
        <v>P.2 (2)</v>
      </c>
      <c r="M33" s="756"/>
      <c r="N33" s="756" t="str">
        <f t="shared" ca="1" si="101"/>
        <v>P.2 (2)</v>
      </c>
      <c r="O33" s="756" t="str">
        <f t="shared" ca="1" si="102"/>
        <v>P.2 (2)</v>
      </c>
      <c r="P33" s="756"/>
      <c r="Q33" s="756" t="str">
        <f t="shared" ca="1" si="103"/>
        <v>P.2 (2)</v>
      </c>
      <c r="R33" s="756" t="str">
        <f t="shared" ca="1" si="104"/>
        <v>P.2 (2)</v>
      </c>
      <c r="S33" s="756"/>
      <c r="T33" s="756" t="str">
        <f t="shared" ca="1" si="105"/>
        <v>P.2 (2)</v>
      </c>
      <c r="U33" s="756" t="str">
        <f t="shared" ca="1" si="106"/>
        <v>P.2 (2)</v>
      </c>
      <c r="V33" s="178"/>
      <c r="W33" s="81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1</v>
      </c>
      <c r="AH33" s="202">
        <v>60</v>
      </c>
      <c r="AI33" s="19" t="str">
        <f t="shared" si="112"/>
        <v>4D</v>
      </c>
      <c r="AJ33" s="241">
        <v>4</v>
      </c>
      <c r="AK33" s="495" t="str" cm="1">
        <f t="array" aca="1" ref="AK33" ca="1">Ver_flag_visit</f>
        <v>🇹🇷</v>
      </c>
      <c r="AL33" s="242" t="str">
        <f ca="1">IFERROR(INDEX($BD$6:$BD$53,MATCH(AI33,$BN$6:$BN$53,0)),"")</f>
        <v>Turquía</v>
      </c>
      <c r="AM33" s="243">
        <f t="shared" ca="1" si="111"/>
        <v>3</v>
      </c>
      <c r="AN33" s="244">
        <f t="shared" ca="1" si="111"/>
        <v>3</v>
      </c>
      <c r="AO33" s="244">
        <f t="shared" ca="1" si="111"/>
        <v>1</v>
      </c>
      <c r="AP33" s="244">
        <f t="shared" ca="1" si="111"/>
        <v>0</v>
      </c>
      <c r="AQ33" s="244">
        <f t="shared" ca="1" si="111"/>
        <v>2</v>
      </c>
      <c r="AR33" s="244">
        <f t="shared" ca="1" si="111"/>
        <v>3</v>
      </c>
      <c r="AS33" s="244">
        <f t="shared" ca="1" si="111"/>
        <v>5</v>
      </c>
      <c r="AT33" s="245">
        <f t="shared" ca="1" si="111"/>
        <v>-2</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1</v>
      </c>
      <c r="BF33" s="760">
        <f t="shared" ca="1" si="26"/>
        <v>3</v>
      </c>
      <c r="BG33" s="760">
        <f t="shared" ca="1" si="17"/>
        <v>0</v>
      </c>
      <c r="BH33" s="760">
        <f t="shared" ca="1" si="18"/>
        <v>1</v>
      </c>
      <c r="BI33" s="760">
        <f t="shared" ca="1" si="19"/>
        <v>2</v>
      </c>
      <c r="BJ33" s="760">
        <f t="shared" ca="1" si="20"/>
        <v>4</v>
      </c>
      <c r="BK33" s="760">
        <f t="shared" ca="1" si="21"/>
        <v>10</v>
      </c>
      <c r="BL33" s="760">
        <f t="shared" ca="1" si="27"/>
        <v>-6</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1</v>
      </c>
      <c r="BS33" s="769">
        <f ca="1">BP33+COUNTIFS($BQ$6:$BQ$53,BQ33,$BR$6:BR$53,"&gt;"&amp;BR33,$BC$6:$BC$53,INDEX(T_Equipos[Grupo],MATCH(BD33,T_Equipos[NombreEquipo],0)))</f>
        <v>4</v>
      </c>
      <c r="BT33" s="769" t="str">
        <f ca="1">IF(COUNTIFS($BS$6:$BS$53,BS33,$BC$6:$BC$53,INDEX(T_Equipos[Grupo],MATCH(BD33,T_Equipos[NombreEquipo],0)))=1,"-","P."&amp;BS33&amp;" ("&amp;COUNTIFS($BS$6:$BS$53,BS33,$BC$6:$BC$53,INDEX(T_Equipos[Grupo],MATCH(BD33,T_Equipos[NombreEquipo],0)))&amp;")")</f>
        <v>-</v>
      </c>
      <c r="BU33" s="770" t="str">
        <f t="shared" ca="1" si="36"/>
        <v>-</v>
      </c>
      <c r="BV33" s="770" t="str">
        <f t="shared" ca="1" si="37"/>
        <v>-</v>
      </c>
      <c r="BW33" s="770" t="str">
        <f t="shared" ca="1" si="38"/>
        <v>-</v>
      </c>
      <c r="BX33" s="770" t="str">
        <f t="shared" ca="1" si="39"/>
        <v>-</v>
      </c>
      <c r="BY33" s="770">
        <f ca="1">BS33+COUNTIFS($BT$6:$BT$53,BT33,$BX$6:BX$53,"&gt;"&amp;BX33,$BC$6:$BC$53,INDEX(T_Equipos[Grupo],MATCH(BD33,T_Equipos[NombreEquipo],0)))</f>
        <v>4</v>
      </c>
      <c r="BZ33" s="769" t="str">
        <f ca="1">IF(COUNTIFS($BY$6:$BY$53,BY33,$BC$6:$BC$53,INDEX(T_Equipos[Grupo],MATCH(BD33,T_Equipos[NombreEquipo],0)))=1,"-","P."&amp;BY33&amp;" ("&amp;COUNTIFS($BY$6:$BY$53,BY33,$BC$6:$BC$53,INDEX(T_Equipos[Grupo],MATCH(BD33,T_Equipos[NombreEquipo],0)))&amp;")")</f>
        <v>-</v>
      </c>
      <c r="CA33" s="770" t="str">
        <f t="shared" ca="1" si="40"/>
        <v>-</v>
      </c>
      <c r="CB33" s="770" t="str">
        <f t="shared" ca="1" si="41"/>
        <v>-</v>
      </c>
      <c r="CC33" s="770" t="str">
        <f t="shared" ca="1" si="42"/>
        <v>-</v>
      </c>
      <c r="CD33" s="770">
        <f ca="1">BY33+COUNTIFS($BZ$6:$BZ$53,BZ33,$CC$6:CC$53,"&gt;"&amp;CC33,$BC$6:$BC$53,INDEX(T_Equipos[Grupo],MATCH(BD33,T_Equipos[NombreEquipo],0)))</f>
        <v>4</v>
      </c>
      <c r="CE33" s="769" t="str">
        <f ca="1">IF(COUNTIFS($CD$6:$CD$53,CD33,$BC$6:$BC$53,INDEX(T_Equipos[Grupo],MATCH(BD33,T_Equipos[NombreEquipo],0)))=1,"-","P."&amp;CD33&amp;" ("&amp;COUNTIFS($CD$6:$CD$53,CD33,$BC$6:$BC$53,INDEX(T_Equipos[Grupo],MATCH(BD33,T_Equipos[NombreEquipo],0)))&amp;")")</f>
        <v>-</v>
      </c>
      <c r="CF33" s="770" t="str">
        <f t="shared" ca="1" si="43"/>
        <v>-</v>
      </c>
      <c r="CG33" s="770">
        <f ca="1">CD33+COUNTIFS($CE$6:$CE$53,CE33,$CF$6:CF$53,"&gt;"&amp;CF33,$BC$6:$BC$53,INDEX(T_Equipos[Grupo],MATCH(BD33,T_Equipos[NombreEquipo],0)))</f>
        <v>4</v>
      </c>
      <c r="CH33" s="769" t="str">
        <f ca="1">IF(COUNTIFS($CG$6:$CG$53,CG33,$BC$6:$BC$53,INDEX(T_Equipos[Grupo],MATCH(BD33,T_Equipos[NombreEquipo],0)))=1,"-","P."&amp;CG33&amp;" ("&amp;COUNTIFS($CG$6:$CG$53,CG33,$BC$6:$BC$53,INDEX(T_Equipos[Grupo],MATCH(BD33,T_Equipos[NombreEquipo],0)))&amp;")")</f>
        <v>-</v>
      </c>
      <c r="CI33" s="770" t="str">
        <f t="shared" ca="1" si="44"/>
        <v>-</v>
      </c>
      <c r="CJ33" s="770" t="str">
        <f t="shared" ca="1" si="45"/>
        <v>-</v>
      </c>
      <c r="CK33" s="770" t="str">
        <f t="shared" ca="1" si="46"/>
        <v>-</v>
      </c>
      <c r="CL33" s="770" t="str">
        <f t="shared" ca="1" si="47"/>
        <v>-</v>
      </c>
      <c r="CM33" s="770">
        <f ca="1">CG33+COUNTIFS($CH$6:$CH$53,CH33,$CL$6:CL$53,"&gt;"&amp;CL33,$BC$6:$BC$53,INDEX(T_Equipos[Grupo],MATCH(BD33,T_Equipos[NombreEquipo],0)))</f>
        <v>4</v>
      </c>
      <c r="CN33" s="769" t="str">
        <f ca="1">IF(COUNTIFS($CM$6:$CM$53,CM33,$BC$6:$BC$53,INDEX(T_Equipos[Grupo],MATCH(BD33,T_Equipos[NombreEquipo],0)))=1,"-","P."&amp;CM33&amp;" ("&amp;COUNTIFS($CM$6:$CM$53,CM33,$BC$6:$BC$53,INDEX(T_Equipos[Grupo],MATCH(BD33,T_Equipos[NombreEquipo],0)))&amp;")")</f>
        <v>-</v>
      </c>
      <c r="CO33" s="770" t="str">
        <f t="shared" ca="1" si="48"/>
        <v>-</v>
      </c>
      <c r="CP33" s="770" t="str">
        <f t="shared" ca="1" si="49"/>
        <v>-</v>
      </c>
      <c r="CQ33" s="770" t="str">
        <f t="shared" ca="1" si="50"/>
        <v>-</v>
      </c>
      <c r="CR33" s="770">
        <f ca="1">CM33+COUNTIFS($CN$6:$CN$53,CN33,$CQ$6:CQ$53,"&gt;"&amp;CQ33,$BC$6:$BC$53,INDEX(T_Equipos[Grupo],MATCH(BD33,T_Equipos[NombreEquipo],0)))</f>
        <v>4</v>
      </c>
      <c r="CS33" s="769" t="str">
        <f ca="1">IF(COUNTIFS($CR$6:$CR$53,CR33,$BC$6:$BC$53,INDEX(T_Equipos[Grupo],MATCH(BD33,T_Equipos[NombreEquipo],0)))=1,"-","P."&amp;CR33&amp;" ("&amp;COUNTIFS($CR$6:$CR$53,CR33,$BC$6:$BC$53,INDEX(T_Equipos[Grupo],MATCH(BD33,T_Equipos[NombreEquipo],0)))&amp;")")</f>
        <v>-</v>
      </c>
      <c r="CT33" s="770" t="str">
        <f t="shared" ca="1" si="51"/>
        <v>-</v>
      </c>
      <c r="CU33" s="770">
        <f ca="1">CR33+COUNTIFS($CS$6:$CS$53,CS33,$CT$6:CT$53,"&gt;"&amp;CT33,$BC$6:$BC$53,INDEX(T_Equipos[Grupo],MATCH(BD33,T_Equipos[NombreEquipo],0)))</f>
        <v>4</v>
      </c>
      <c r="CV33" s="769" t="str">
        <f ca="1">IF(COUNTIFS($CU$6:$CU$53,CU33,$BC$6:$BC$53,INDEX(T_Equipos[Grupo],MATCH(BD33,T_Equipos[NombreEquipo],0)))=1,"-","P."&amp;CU33&amp;" ("&amp;COUNTIFS($CU$6:$CU$53,CU33,$BC$6:$BC$53,INDEX(T_Equipos[Grupo],MATCH(BD33,T_Equipos[NombreEquipo],0)))&amp;")")</f>
        <v>-</v>
      </c>
      <c r="CW33" s="769" t="str">
        <f t="shared" ca="1" si="30"/>
        <v>-</v>
      </c>
      <c r="CX33" s="769">
        <f ca="1">CU33+COUNTIFS($CV$6:$CV$53,CV33,$CW$6:CW$53,"&gt;"&amp;CW33,$BC$6:$BC$53,INDEX(T_Equipos[Grupo],MATCH(BD33,T_Equipos[NombreEquipo],0)))</f>
        <v>4</v>
      </c>
      <c r="CY33" s="769" t="str">
        <f ca="1">IF(COUNTIFS($CX$6:$CX$53,CX33,$BC$6:$BC$53,INDEX(T_Equipos[Grupo],MATCH(BD33,T_Equipos[NombreEquipo],0)))=1,"-","P."&amp;CX33&amp;" ("&amp;COUNTIFS($CX$6:$CX$53,CX33,$BC$6:$BC$53,INDEX(T_Equipos[Grupo],MATCH(BD33,T_Equipos[NombreEquipo],0)))&amp;")")</f>
        <v>-</v>
      </c>
      <c r="CZ33" s="769" t="str">
        <f t="shared" ca="1" si="31"/>
        <v>-</v>
      </c>
      <c r="DA33" s="770">
        <f ca="1">CX33+COUNTIFS($CY$6:$CY$53,CY33,$CZ$6:CZ$53,"&gt;"&amp;CZ33,$BC$6:$BC$53,INDEX(T_Equipos[Grupo],MATCH(BD33,T_Equipos[NombreEquipo],0)))</f>
        <v>4</v>
      </c>
      <c r="DB33" s="769" t="str">
        <f ca="1">IF(COUNTIFS($DA$6:$DA$53,DA33,$BC$6:$BC$53,INDEX(T_Equipos[Grupo],MATCH(BD33,T_Equipos[NombreEquipo],0)))=1,"-","P."&amp;DA33&amp;" ("&amp;COUNTIFS($DA$6:$DA$53,DA33,$BC$6:$BC$53,INDEX(T_Equipos[Grupo],MATCH(BD33,T_Equipos[NombreEquipo],0)))&amp;")")</f>
        <v>-</v>
      </c>
      <c r="DC33" s="768" t="str">
        <f ca="1">IF(DB33="-","-",COUNTIFS(T_Equipos[Rank],"&lt;"&amp;INDEX(T_Equipos[Rank],MATCH(BD33,T_Equipos[NombreEquipo],0)),$BC$6:$BC$53,INDEX(T_Equipos[Grupo],MATCH(BD33,T_Equipos[NombreEquipo],0)))+1)</f>
        <v>-</v>
      </c>
      <c r="DD33" s="768">
        <f ca="1">DA33+COUNTIFS($DB$6:$DB$53,DB33,$DC$6:DC$53,"&lt;"&amp;DC33,$BC$6:$BC$53,INDEX(T_Equipos[Grupo],MATCH(BD33,T_Equipos[NombreEquipo],0)))</f>
        <v>4</v>
      </c>
      <c r="DE33" s="768"/>
      <c r="DF33" s="768">
        <f t="shared" ca="1" si="52"/>
        <v>4</v>
      </c>
      <c r="DG33" s="768" t="str">
        <f ca="1">IF(DB33="-","-",COUNTIFS(DF$6:DF$53,"&lt;"&amp;DF33,$BC$6:$BC$53,INDEX(T_Equipos[Grupo],MATCH(BD33,T_Equipos[NombreEquipo],0))))</f>
        <v>-</v>
      </c>
      <c r="DH33" s="768">
        <f ca="1">DA33+COUNTIFS(DB$6:DB$53,DB33,DG$6:DG$53,"&lt;"&amp;DG33,$BC$6:$BC$53,INDEX(T_Equipos[Grupo],MATCH(BD33,T_Equipos[NombreEquipo],0)))</f>
        <v>4</v>
      </c>
      <c r="DI33" s="756"/>
      <c r="DJ33" s="756">
        <f t="shared" ca="1" si="53"/>
        <v>4</v>
      </c>
      <c r="DK33" s="756">
        <f t="shared" ca="1" si="24"/>
        <v>12</v>
      </c>
      <c r="DL33" s="756">
        <f t="shared" ca="1" si="33"/>
        <v>1</v>
      </c>
      <c r="DM33" s="750" t="str">
        <f t="shared" ca="1" si="34"/>
        <v>4.1</v>
      </c>
      <c r="DN33" s="756" cm="1">
        <f t="array" aca="1" ref="DN33" ca="1">OFFSET(Horarios!$P$3,DJ33-1,0,DL33,1)</f>
        <v>4</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7</v>
      </c>
      <c r="BF34" s="760">
        <f t="shared" ca="1" si="26"/>
        <v>3</v>
      </c>
      <c r="BG34" s="760">
        <f t="shared" ca="1" si="17"/>
        <v>2</v>
      </c>
      <c r="BH34" s="760">
        <f t="shared" ca="1" si="18"/>
        <v>1</v>
      </c>
      <c r="BI34" s="760">
        <f t="shared" ca="1" si="19"/>
        <v>0</v>
      </c>
      <c r="BJ34" s="760">
        <f t="shared" ca="1" si="20"/>
        <v>5</v>
      </c>
      <c r="BK34" s="760">
        <f t="shared" ca="1" si="21"/>
        <v>0</v>
      </c>
      <c r="BL34" s="760">
        <f t="shared" ca="1" si="27"/>
        <v>5</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7</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v>
      </c>
      <c r="BU34" s="770" t="str">
        <f t="shared" ca="1" si="36"/>
        <v>-</v>
      </c>
      <c r="BV34" s="770" t="str">
        <f t="shared" ca="1" si="37"/>
        <v>-</v>
      </c>
      <c r="BW34" s="770" t="str">
        <f t="shared" ca="1" si="38"/>
        <v>-</v>
      </c>
      <c r="BX34" s="770" t="str">
        <f t="shared" ca="1" si="39"/>
        <v>-</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v>
      </c>
      <c r="CA34" s="770" t="str">
        <f t="shared" ca="1" si="40"/>
        <v>-</v>
      </c>
      <c r="CB34" s="770" t="str">
        <f t="shared" ca="1" si="41"/>
        <v>-</v>
      </c>
      <c r="CC34" s="770" t="str">
        <f t="shared" ca="1" si="42"/>
        <v>-</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v>
      </c>
      <c r="CF34" s="770" t="str">
        <f t="shared" ca="1" si="43"/>
        <v>-</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v>
      </c>
      <c r="CI34" s="770" t="str">
        <f t="shared" ca="1" si="44"/>
        <v>-</v>
      </c>
      <c r="CJ34" s="770" t="str">
        <f t="shared" ca="1" si="45"/>
        <v>-</v>
      </c>
      <c r="CK34" s="770" t="str">
        <f t="shared" ca="1" si="46"/>
        <v>-</v>
      </c>
      <c r="CL34" s="770" t="str">
        <f t="shared" ca="1" si="47"/>
        <v>-</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v>
      </c>
      <c r="CO34" s="770" t="str">
        <f t="shared" ca="1" si="48"/>
        <v>-</v>
      </c>
      <c r="CP34" s="770" t="str">
        <f t="shared" ca="1" si="49"/>
        <v>-</v>
      </c>
      <c r="CQ34" s="770" t="str">
        <f t="shared" ca="1" si="50"/>
        <v>-</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v>
      </c>
      <c r="CT34" s="770" t="str">
        <f t="shared" ca="1" si="51"/>
        <v>-</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v>
      </c>
      <c r="CW34" s="769" t="str">
        <f t="shared" ca="1" si="30"/>
        <v>-</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v>
      </c>
      <c r="CZ34" s="769" t="str">
        <f t="shared" ca="1" si="31"/>
        <v>-</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v>
      </c>
      <c r="DC34" s="768" t="str">
        <f ca="1">IF(DB34="-","-",COUNTIFS(T_Equipos[Rank],"&lt;"&amp;INDEX(T_Equipos[Rank],MATCH(BD34,T_Equipos[NombreEquipo],0)),$BC$6:$BC$53,INDEX(T_Equipos[Grupo],MATCH(BD34,T_Equipos[NombreEquipo],0)))+1)</f>
        <v>-</v>
      </c>
      <c r="DD34" s="768">
        <f ca="1">DA34+COUNTIFS($DB$6:$DB$53,DB34,$DC$6:DC$53,"&lt;"&amp;DC34,$BC$6:$BC$53,INDEX(T_Equipos[Grupo],MATCH(BD34,T_Equipos[NombreEquipo],0)))</f>
        <v>1</v>
      </c>
      <c r="DE34" s="768"/>
      <c r="DF34" s="768">
        <f t="shared" ca="1" si="52"/>
        <v>1</v>
      </c>
      <c r="DG34" s="768" t="str">
        <f ca="1">IF(DB34="-","-",COUNTIFS(DF$6:DF$53,"&lt;"&amp;DF34,$BC$6:$BC$53,INDEX(T_Equipos[Grupo],MATCH(BD34,T_Equipos[NombreEquipo],0))))</f>
        <v>-</v>
      </c>
      <c r="DH34" s="768">
        <f ca="1">DA34+COUNTIFS(DB$6:DB$53,DB34,DG$6:DG$53,"&lt;"&amp;DG34,$BC$6:$BC$53,INDEX(T_Equipos[Grupo],MATCH(BD34,T_Equipos[NombreEquipo],0)))</f>
        <v>1</v>
      </c>
      <c r="DI34" s="756"/>
      <c r="DJ34" s="756">
        <f t="shared" ca="1" si="53"/>
        <v>1</v>
      </c>
      <c r="DK34" s="756">
        <f t="shared" ca="1" si="24"/>
        <v>12</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3</v>
      </c>
      <c r="BF35" s="760">
        <f t="shared" ca="1" si="26"/>
        <v>3</v>
      </c>
      <c r="BG35" s="760">
        <f t="shared" ca="1" si="17"/>
        <v>0</v>
      </c>
      <c r="BH35" s="760">
        <f t="shared" ca="1" si="18"/>
        <v>3</v>
      </c>
      <c r="BI35" s="760">
        <f t="shared" ca="1" si="19"/>
        <v>0</v>
      </c>
      <c r="BJ35" s="760">
        <f t="shared" ca="1" si="20"/>
        <v>2</v>
      </c>
      <c r="BK35" s="760">
        <f t="shared" ca="1" si="21"/>
        <v>2</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3</v>
      </c>
      <c r="BS35" s="769">
        <f ca="1">BP35+COUNTIFS($BQ$6:$BQ$53,BQ35,$BR$6:BR$53,"&gt;"&amp;BR35,$BC$6:$BC$53,INDEX(T_Equipos[Grupo],MATCH(BD35,T_Equipos[NombreEquipo],0)))</f>
        <v>2</v>
      </c>
      <c r="BT35" s="769" t="str">
        <f ca="1">IF(COUNTIFS($BS$6:$BS$53,BS35,$BC$6:$BC$53,INDEX(T_Equipos[Grupo],MATCH(BD35,T_Equipos[NombreEquipo],0)))=1,"-","P."&amp;BS35&amp;" ("&amp;COUNTIFS($BS$6:$BS$53,BS35,$BC$6:$BC$53,INDEX(T_Equipos[Grupo],MATCH(BD35,T_Equipos[NombreEquipo],0)))&amp;")")</f>
        <v>-</v>
      </c>
      <c r="BU35" s="770" t="str">
        <f t="shared" ca="1" si="36"/>
        <v>-</v>
      </c>
      <c r="BV35" s="770" t="str">
        <f t="shared" ca="1" si="37"/>
        <v>-</v>
      </c>
      <c r="BW35" s="770" t="str">
        <f t="shared" ca="1" si="38"/>
        <v>-</v>
      </c>
      <c r="BX35" s="770" t="str">
        <f t="shared" ca="1" si="39"/>
        <v>-</v>
      </c>
      <c r="BY35" s="770">
        <f ca="1">BS35+COUNTIFS($BT$6:$BT$53,BT35,$BX$6:BX$53,"&gt;"&amp;BX35,$BC$6:$BC$53,INDEX(T_Equipos[Grupo],MATCH(BD35,T_Equipos[NombreEquipo],0)))</f>
        <v>2</v>
      </c>
      <c r="BZ35" s="769" t="str">
        <f ca="1">IF(COUNTIFS($BY$6:$BY$53,BY35,$BC$6:$BC$53,INDEX(T_Equipos[Grupo],MATCH(BD35,T_Equipos[NombreEquipo],0)))=1,"-","P."&amp;BY35&amp;" ("&amp;COUNTIFS($BY$6:$BY$53,BY35,$BC$6:$BC$53,INDEX(T_Equipos[Grupo],MATCH(BD35,T_Equipos[NombreEquipo],0)))&amp;")")</f>
        <v>-</v>
      </c>
      <c r="CA35" s="770" t="str">
        <f t="shared" ca="1" si="40"/>
        <v>-</v>
      </c>
      <c r="CB35" s="770" t="str">
        <f t="shared" ca="1" si="41"/>
        <v>-</v>
      </c>
      <c r="CC35" s="770" t="str">
        <f t="shared" ca="1" si="42"/>
        <v>-</v>
      </c>
      <c r="CD35" s="770">
        <f ca="1">BY35+COUNTIFS($BZ$6:$BZ$53,BZ35,$CC$6:CC$53,"&gt;"&amp;CC35,$BC$6:$BC$53,INDEX(T_Equipos[Grupo],MATCH(BD35,T_Equipos[NombreEquipo],0)))</f>
        <v>2</v>
      </c>
      <c r="CE35" s="769" t="str">
        <f ca="1">IF(COUNTIFS($CD$6:$CD$53,CD35,$BC$6:$BC$53,INDEX(T_Equipos[Grupo],MATCH(BD35,T_Equipos[NombreEquipo],0)))=1,"-","P."&amp;CD35&amp;" ("&amp;COUNTIFS($CD$6:$CD$53,CD35,$BC$6:$BC$53,INDEX(T_Equipos[Grupo],MATCH(BD35,T_Equipos[NombreEquipo],0)))&amp;")")</f>
        <v>-</v>
      </c>
      <c r="CF35" s="770" t="str">
        <f t="shared" ca="1" si="43"/>
        <v>-</v>
      </c>
      <c r="CG35" s="770">
        <f ca="1">CD35+COUNTIFS($CE$6:$CE$53,CE35,$CF$6:CF$53,"&gt;"&amp;CF35,$BC$6:$BC$53,INDEX(T_Equipos[Grupo],MATCH(BD35,T_Equipos[NombreEquipo],0)))</f>
        <v>2</v>
      </c>
      <c r="CH35" s="769" t="str">
        <f ca="1">IF(COUNTIFS($CG$6:$CG$53,CG35,$BC$6:$BC$53,INDEX(T_Equipos[Grupo],MATCH(BD35,T_Equipos[NombreEquipo],0)))=1,"-","P."&amp;CG35&amp;" ("&amp;COUNTIFS($CG$6:$CG$53,CG35,$BC$6:$BC$53,INDEX(T_Equipos[Grupo],MATCH(BD35,T_Equipos[NombreEquipo],0)))&amp;")")</f>
        <v>-</v>
      </c>
      <c r="CI35" s="770" t="str">
        <f t="shared" ca="1" si="44"/>
        <v>-</v>
      </c>
      <c r="CJ35" s="770" t="str">
        <f t="shared" ca="1" si="45"/>
        <v>-</v>
      </c>
      <c r="CK35" s="770" t="str">
        <f t="shared" ca="1" si="46"/>
        <v>-</v>
      </c>
      <c r="CL35" s="770" t="str">
        <f t="shared" ca="1" si="47"/>
        <v>-</v>
      </c>
      <c r="CM35" s="770">
        <f ca="1">CG35+COUNTIFS($CH$6:$CH$53,CH35,$CL$6:CL$53,"&gt;"&amp;CL35,$BC$6:$BC$53,INDEX(T_Equipos[Grupo],MATCH(BD35,T_Equipos[NombreEquipo],0)))</f>
        <v>2</v>
      </c>
      <c r="CN35" s="769" t="str">
        <f ca="1">IF(COUNTIFS($CM$6:$CM$53,CM35,$BC$6:$BC$53,INDEX(T_Equipos[Grupo],MATCH(BD35,T_Equipos[NombreEquipo],0)))=1,"-","P."&amp;CM35&amp;" ("&amp;COUNTIFS($CM$6:$CM$53,CM35,$BC$6:$BC$53,INDEX(T_Equipos[Grupo],MATCH(BD35,T_Equipos[NombreEquipo],0)))&amp;")")</f>
        <v>-</v>
      </c>
      <c r="CO35" s="770" t="str">
        <f t="shared" ca="1" si="48"/>
        <v>-</v>
      </c>
      <c r="CP35" s="770" t="str">
        <f t="shared" ca="1" si="49"/>
        <v>-</v>
      </c>
      <c r="CQ35" s="770" t="str">
        <f t="shared" ca="1" si="50"/>
        <v>-</v>
      </c>
      <c r="CR35" s="770">
        <f ca="1">CM35+COUNTIFS($CN$6:$CN$53,CN35,$CQ$6:CQ$53,"&gt;"&amp;CQ35,$BC$6:$BC$53,INDEX(T_Equipos[Grupo],MATCH(BD35,T_Equipos[NombreEquipo],0)))</f>
        <v>2</v>
      </c>
      <c r="CS35" s="769" t="str">
        <f ca="1">IF(COUNTIFS($CR$6:$CR$53,CR35,$BC$6:$BC$53,INDEX(T_Equipos[Grupo],MATCH(BD35,T_Equipos[NombreEquipo],0)))=1,"-","P."&amp;CR35&amp;" ("&amp;COUNTIFS($CR$6:$CR$53,CR35,$BC$6:$BC$53,INDEX(T_Equipos[Grupo],MATCH(BD35,T_Equipos[NombreEquipo],0)))&amp;")")</f>
        <v>-</v>
      </c>
      <c r="CT35" s="770" t="str">
        <f t="shared" ca="1" si="51"/>
        <v>-</v>
      </c>
      <c r="CU35" s="770">
        <f ca="1">CR35+COUNTIFS($CS$6:$CS$53,CS35,$CT$6:CT$53,"&gt;"&amp;CT35,$BC$6:$BC$53,INDEX(T_Equipos[Grupo],MATCH(BD35,T_Equipos[NombreEquipo],0)))</f>
        <v>2</v>
      </c>
      <c r="CV35" s="769" t="str">
        <f ca="1">IF(COUNTIFS($CU$6:$CU$53,CU35,$BC$6:$BC$53,INDEX(T_Equipos[Grupo],MATCH(BD35,T_Equipos[NombreEquipo],0)))=1,"-","P."&amp;CU35&amp;" ("&amp;COUNTIFS($CU$6:$CU$53,CU35,$BC$6:$BC$53,INDEX(T_Equipos[Grupo],MATCH(BD35,T_Equipos[NombreEquipo],0)))&amp;")")</f>
        <v>-</v>
      </c>
      <c r="CW35" s="769" t="str">
        <f t="shared" ca="1" si="30"/>
        <v>-</v>
      </c>
      <c r="CX35" s="769">
        <f ca="1">CU35+COUNTIFS($CV$6:$CV$53,CV35,$CW$6:CW$53,"&gt;"&amp;CW35,$BC$6:$BC$53,INDEX(T_Equipos[Grupo],MATCH(BD35,T_Equipos[NombreEquipo],0)))</f>
        <v>2</v>
      </c>
      <c r="CY35" s="769" t="str">
        <f ca="1">IF(COUNTIFS($CX$6:$CX$53,CX35,$BC$6:$BC$53,INDEX(T_Equipos[Grupo],MATCH(BD35,T_Equipos[NombreEquipo],0)))=1,"-","P."&amp;CX35&amp;" ("&amp;COUNTIFS($CX$6:$CX$53,CX35,$BC$6:$BC$53,INDEX(T_Equipos[Grupo],MATCH(BD35,T_Equipos[NombreEquipo],0)))&amp;")")</f>
        <v>-</v>
      </c>
      <c r="CZ35" s="769" t="str">
        <f t="shared" ca="1" si="31"/>
        <v>-</v>
      </c>
      <c r="DA35" s="770">
        <f ca="1">CX35+COUNTIFS($CY$6:$CY$53,CY35,$CZ$6:CZ$53,"&gt;"&amp;CZ35,$BC$6:$BC$53,INDEX(T_Equipos[Grupo],MATCH(BD35,T_Equipos[NombreEquipo],0)))</f>
        <v>2</v>
      </c>
      <c r="DB35" s="769" t="str">
        <f ca="1">IF(COUNTIFS($DA$6:$DA$53,DA35,$BC$6:$BC$53,INDEX(T_Equipos[Grupo],MATCH(BD35,T_Equipos[NombreEquipo],0)))=1,"-","P."&amp;DA35&amp;" ("&amp;COUNTIFS($DA$6:$DA$53,DA35,$BC$6:$BC$53,INDEX(T_Equipos[Grupo],MATCH(BD35,T_Equipos[NombreEquipo],0)))&amp;")")</f>
        <v>-</v>
      </c>
      <c r="DC35" s="768" t="str">
        <f ca="1">IF(DB35="-","-",COUNTIFS(T_Equipos[Rank],"&lt;"&amp;INDEX(T_Equipos[Rank],MATCH(BD35,T_Equipos[NombreEquipo],0)),$BC$6:$BC$53,INDEX(T_Equipos[Grupo],MATCH(BD35,T_Equipos[NombreEquipo],0)))+1)</f>
        <v>-</v>
      </c>
      <c r="DD35" s="768">
        <f ca="1">DA35+COUNTIFS($DB$6:$DB$53,DB35,$DC$6:DC$53,"&lt;"&amp;DC35,$BC$6:$BC$53,INDEX(T_Equipos[Grupo],MATCH(BD35,T_Equipos[NombreEquipo],0)))</f>
        <v>2</v>
      </c>
      <c r="DE35" s="768"/>
      <c r="DF35" s="768">
        <f t="shared" ca="1" si="52"/>
        <v>2</v>
      </c>
      <c r="DG35" s="768" t="str">
        <f ca="1">IF(DB35="-","-",COUNTIFS(DF$6:DF$53,"&lt;"&amp;DF35,$BC$6:$BC$53,INDEX(T_Equipos[Grupo],MATCH(BD35,T_Equipos[NombreEquipo],0))))</f>
        <v>-</v>
      </c>
      <c r="DH35" s="768">
        <f ca="1">DA35+COUNTIFS(DB$6:DB$53,DB35,DG$6:DG$53,"&lt;"&amp;DG35,$BC$6:$BC$53,INDEX(T_Equipos[Grupo],MATCH(BD35,T_Equipos[NombreEquipo],0)))</f>
        <v>2</v>
      </c>
      <c r="DI35" s="756"/>
      <c r="DJ35" s="756">
        <f t="shared" ca="1" si="53"/>
        <v>2</v>
      </c>
      <c r="DK35" s="756">
        <f t="shared" ca="1" si="24"/>
        <v>12</v>
      </c>
      <c r="DL35" s="756">
        <f t="shared" ca="1" si="33"/>
        <v>1</v>
      </c>
      <c r="DM35" s="750" t="str">
        <f t="shared" ca="1" si="34"/>
        <v>2.1</v>
      </c>
      <c r="DN35" s="756" cm="1">
        <f t="array" aca="1" ref="DN35" ca="1">OFFSET(Horarios!$P$3,DJ35-1,0,DL35,1)</f>
        <v>2</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Local</v>
      </c>
      <c r="E36" s="756" t="str">
        <f t="shared" ref="E36:E41" ca="1" si="116">IF(D36="Pendiente","-",INDEX($BT$6:$BT$53,MATCH($AA36,$BD$6:$BD$53,0)))</f>
        <v>P.1 (2)</v>
      </c>
      <c r="F36" s="756" t="str">
        <f t="shared" ref="F36:F41" ca="1" si="117">IF(D36="Pendiente","-",INDEX($BT$6:$BT$53,MATCH($AF36,$BD$6:$BD$53,0)))</f>
        <v>-</v>
      </c>
      <c r="G36" s="756"/>
      <c r="H36" s="756" t="str">
        <f t="shared" ref="H36:H41" ca="1" si="118">IF(D36="Pendiente","-",INDEX($BZ$6:$BZ$53,MATCH($AA36,$BD$6:$BD$53,0)))</f>
        <v>-</v>
      </c>
      <c r="I36" s="756" t="str">
        <f t="shared" ref="I36:I41" ca="1" si="119">IF(D36="Pendiente","-",INDEX($BZ$6:$BZ$53,MATCH($AF36,$BD$6:$BD$53,0)))</f>
        <v>-</v>
      </c>
      <c r="J36" s="756"/>
      <c r="K36" s="756" t="str">
        <f t="shared" ref="K36:K41" ca="1" si="120">IF(D36="Pendiente","-",INDEX($CE$6:$CE$53,MATCH($AA36,$BD$6:$BD$53,0)))</f>
        <v>-</v>
      </c>
      <c r="L36" s="756" t="str">
        <f t="shared" ref="L36:L41" ca="1" si="121">IF(D36="Pendiente","-",INDEX($CE$6:$CE$53,MATCH($AF36,$BD$6:$BD$53,0)))</f>
        <v>-</v>
      </c>
      <c r="M36" s="756"/>
      <c r="N36" s="756" t="str">
        <f t="shared" ref="N36:N41" ca="1" si="122">IF(D36="Pendiente","-",INDEX($CH$6:$CH$53,MATCH($AA36,$BD$6:$BD$53,0)))</f>
        <v>-</v>
      </c>
      <c r="O36" s="756" t="str">
        <f t="shared" ref="O36:O41" ca="1" si="123">IF(D36="Pendiente","-",INDEX($CH$6:$CH$53,MATCH($AF36,$BD$6:$BD$53,0)))</f>
        <v>-</v>
      </c>
      <c r="P36" s="756"/>
      <c r="Q36" s="756" t="str">
        <f t="shared" ref="Q36:Q41" ca="1" si="124">IF(D36="Pendiente","-",INDEX($CN$6:$CN$53,MATCH($AA36,$BD$6:$BD$53,0)))</f>
        <v>-</v>
      </c>
      <c r="R36" s="756" t="str">
        <f t="shared" ref="R36:R41" ca="1" si="125">IF(D36="Pendiente","-",INDEX($CN$6:$CN$53,MATCH($AF36,$BD$6:$BD$53,0)))</f>
        <v>-</v>
      </c>
      <c r="S36" s="756"/>
      <c r="T36" s="756" t="str">
        <f t="shared" ref="T36:T41" ca="1" si="126">IF(D36="Pendiente","-",INDEX($CS$6:$CS$53,MATCH($AA36,$BD$6:$BD$53,0)))</f>
        <v>-</v>
      </c>
      <c r="U36" s="756" t="str">
        <f t="shared" ref="U36:U41" ca="1" si="127">IF(D36="Pendiente","-",INDEX($CS$6:$CS$53,MATCH($AF36,$BD$6:$BD$53,0)))</f>
        <v>-</v>
      </c>
      <c r="V36" s="178"/>
      <c r="W36" s="81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1</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2</v>
      </c>
      <c r="BF36" s="760">
        <f t="shared" ca="1" si="26"/>
        <v>3</v>
      </c>
      <c r="BG36" s="760">
        <f t="shared" ca="1" si="17"/>
        <v>0</v>
      </c>
      <c r="BH36" s="760">
        <f t="shared" ca="1" si="18"/>
        <v>2</v>
      </c>
      <c r="BI36" s="760">
        <f t="shared" ca="1" si="19"/>
        <v>1</v>
      </c>
      <c r="BJ36" s="760">
        <f t="shared" ca="1" si="20"/>
        <v>1</v>
      </c>
      <c r="BK36" s="760">
        <f t="shared" ca="1" si="21"/>
        <v>5</v>
      </c>
      <c r="BL36" s="760">
        <f t="shared" ca="1" si="27"/>
        <v>-4</v>
      </c>
      <c r="BM36" s="760" t="str">
        <f t="shared" ca="1" si="22"/>
        <v>4H</v>
      </c>
      <c r="BN36" s="760" t="str">
        <f t="shared" ca="1" si="23"/>
        <v>4H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2</v>
      </c>
      <c r="BS36" s="769">
        <f ca="1">BP36+COUNTIFS($BQ$6:$BQ$53,BQ36,$BR$6:BR$53,"&gt;"&amp;BR36,$BC$6:$BC$53,INDEX(T_Equipos[Grupo],MATCH(BD36,T_Equipos[NombreEquipo],0)))</f>
        <v>3</v>
      </c>
      <c r="BT36" s="769" t="str">
        <f ca="1">IF(COUNTIFS($BS$6:$BS$53,BS36,$BC$6:$BC$53,INDEX(T_Equipos[Grupo],MATCH(BD36,T_Equipos[NombreEquipo],0)))=1,"-","P."&amp;BS36&amp;" ("&amp;COUNTIFS($BS$6:$BS$53,BS36,$BC$6:$BC$53,INDEX(T_Equipos[Grupo],MATCH(BD36,T_Equipos[NombreEquipo],0)))&amp;")")</f>
        <v>P.3 (2)</v>
      </c>
      <c r="BU36" s="770">
        <f t="shared" ca="1" si="36"/>
        <v>0</v>
      </c>
      <c r="BV36" s="770">
        <f t="shared" ca="1" si="37"/>
        <v>1</v>
      </c>
      <c r="BW36" s="770">
        <f t="shared" ca="1" si="38"/>
        <v>0</v>
      </c>
      <c r="BX36" s="770">
        <f t="shared" ca="1" si="39"/>
        <v>1</v>
      </c>
      <c r="BY36" s="770">
        <f ca="1">BS36+COUNTIFS($BT$6:$BT$53,BT36,$BX$6:BX$53,"&gt;"&amp;BX36,$BC$6:$BC$53,INDEX(T_Equipos[Grupo],MATCH(BD36,T_Equipos[NombreEquipo],0)))</f>
        <v>3</v>
      </c>
      <c r="BZ36" s="769" t="str">
        <f ca="1">IF(COUNTIFS($BY$6:$BY$53,BY36,$BC$6:$BC$53,INDEX(T_Equipos[Grupo],MATCH(BD36,T_Equipos[NombreEquipo],0)))=1,"-","P."&amp;BY36&amp;" ("&amp;COUNTIFS($BY$6:$BY$53,BY36,$BC$6:$BC$53,INDEX(T_Equipos[Grupo],MATCH(BD36,T_Equipos[NombreEquipo],0)))&amp;")")</f>
        <v>P.3 (2)</v>
      </c>
      <c r="CA36" s="770">
        <f t="shared" ca="1" si="40"/>
        <v>1</v>
      </c>
      <c r="CB36" s="770">
        <f t="shared" ca="1" si="41"/>
        <v>1</v>
      </c>
      <c r="CC36" s="770">
        <f t="shared" ca="1" si="42"/>
        <v>0</v>
      </c>
      <c r="CD36" s="770">
        <f ca="1">BY36+COUNTIFS($BZ$6:$BZ$53,BZ36,$CC$6:CC$53,"&gt;"&amp;CC36,$BC$6:$BC$53,INDEX(T_Equipos[Grupo],MATCH(BD36,T_Equipos[NombreEquipo],0)))</f>
        <v>3</v>
      </c>
      <c r="CE36" s="769" t="str">
        <f ca="1">IF(COUNTIFS($CD$6:$CD$53,CD36,$BC$6:$BC$53,INDEX(T_Equipos[Grupo],MATCH(BD36,T_Equipos[NombreEquipo],0)))=1,"-","P."&amp;CD36&amp;" ("&amp;COUNTIFS($CD$6:$CD$53,CD36,$BC$6:$BC$53,INDEX(T_Equipos[Grupo],MATCH(BD36,T_Equipos[NombreEquipo],0)))&amp;")")</f>
        <v>P.3 (2)</v>
      </c>
      <c r="CF36" s="770">
        <f t="shared" ca="1" si="43"/>
        <v>1</v>
      </c>
      <c r="CG36" s="770">
        <f ca="1">CD36+COUNTIFS($CE$6:$CE$53,CE36,$CF$6:CF$53,"&gt;"&amp;CF36,$BC$6:$BC$53,INDEX(T_Equipos[Grupo],MATCH(BD36,T_Equipos[NombreEquipo],0)))</f>
        <v>3</v>
      </c>
      <c r="CH36" s="769" t="str">
        <f ca="1">IF(COUNTIFS($CG$6:$CG$53,CG36,$BC$6:$BC$53,INDEX(T_Equipos[Grupo],MATCH(BD36,T_Equipos[NombreEquipo],0)))=1,"-","P."&amp;CG36&amp;" ("&amp;COUNTIFS($CG$6:$CG$53,CG36,$BC$6:$BC$53,INDEX(T_Equipos[Grupo],MATCH(BD36,T_Equipos[NombreEquipo],0)))&amp;")")</f>
        <v>P.3 (2)</v>
      </c>
      <c r="CI36" s="770">
        <f t="shared" ca="1" si="44"/>
        <v>0</v>
      </c>
      <c r="CJ36" s="770">
        <f t="shared" ca="1" si="45"/>
        <v>1</v>
      </c>
      <c r="CK36" s="770">
        <f t="shared" ca="1" si="46"/>
        <v>0</v>
      </c>
      <c r="CL36" s="770">
        <f t="shared" ca="1" si="47"/>
        <v>1</v>
      </c>
      <c r="CM36" s="770">
        <f ca="1">CG36+COUNTIFS($CH$6:$CH$53,CH36,$CL$6:CL$53,"&gt;"&amp;CL36,$BC$6:$BC$53,INDEX(T_Equipos[Grupo],MATCH(BD36,T_Equipos[NombreEquipo],0)))</f>
        <v>3</v>
      </c>
      <c r="CN36" s="769" t="str">
        <f ca="1">IF(COUNTIFS($CM$6:$CM$53,CM36,$BC$6:$BC$53,INDEX(T_Equipos[Grupo],MATCH(BD36,T_Equipos[NombreEquipo],0)))=1,"-","P."&amp;CM36&amp;" ("&amp;COUNTIFS($CM$6:$CM$53,CM36,$BC$6:$BC$53,INDEX(T_Equipos[Grupo],MATCH(BD36,T_Equipos[NombreEquipo],0)))&amp;")")</f>
        <v>P.3 (2)</v>
      </c>
      <c r="CO36" s="770">
        <f t="shared" ca="1" si="48"/>
        <v>1</v>
      </c>
      <c r="CP36" s="770">
        <f t="shared" ca="1" si="49"/>
        <v>1</v>
      </c>
      <c r="CQ36" s="770">
        <f t="shared" ca="1" si="50"/>
        <v>0</v>
      </c>
      <c r="CR36" s="770">
        <f ca="1">CM36+COUNTIFS($CN$6:$CN$53,CN36,$CQ$6:CQ$53,"&gt;"&amp;CQ36,$BC$6:$BC$53,INDEX(T_Equipos[Grupo],MATCH(BD36,T_Equipos[NombreEquipo],0)))</f>
        <v>3</v>
      </c>
      <c r="CS36" s="769" t="str">
        <f ca="1">IF(COUNTIFS($CR$6:$CR$53,CR36,$BC$6:$BC$53,INDEX(T_Equipos[Grupo],MATCH(BD36,T_Equipos[NombreEquipo],0)))=1,"-","P."&amp;CR36&amp;" ("&amp;COUNTIFS($CR$6:$CR$53,CR36,$BC$6:$BC$53,INDEX(T_Equipos[Grupo],MATCH(BD36,T_Equipos[NombreEquipo],0)))&amp;")")</f>
        <v>P.3 (2)</v>
      </c>
      <c r="CT36" s="770">
        <f t="shared" ca="1" si="51"/>
        <v>1</v>
      </c>
      <c r="CU36" s="770">
        <f ca="1">CR36+COUNTIFS($CS$6:$CS$53,CS36,$CT$6:CT$53,"&gt;"&amp;CT36,$BC$6:$BC$53,INDEX(T_Equipos[Grupo],MATCH(BD36,T_Equipos[NombreEquipo],0)))</f>
        <v>3</v>
      </c>
      <c r="CV36" s="769" t="str">
        <f ca="1">IF(COUNTIFS($CU$6:$CU$53,CU36,$BC$6:$BC$53,INDEX(T_Equipos[Grupo],MATCH(BD36,T_Equipos[NombreEquipo],0)))=1,"-","P."&amp;CU36&amp;" ("&amp;COUNTIFS($CU$6:$CU$53,CU36,$BC$6:$BC$53,INDEX(T_Equipos[Grupo],MATCH(BD36,T_Equipos[NombreEquipo],0)))&amp;")")</f>
        <v>P.3 (2)</v>
      </c>
      <c r="CW36" s="769">
        <f t="shared" ca="1" si="30"/>
        <v>-4</v>
      </c>
      <c r="CX36" s="769">
        <f ca="1">CU36+COUNTIFS($CV$6:$CV$53,CV36,$CW$6:CW$53,"&gt;"&amp;CW36,$BC$6:$BC$53,INDEX(T_Equipos[Grupo],MATCH(BD36,T_Equipos[NombreEquipo],0)))</f>
        <v>4</v>
      </c>
      <c r="CY36" s="769" t="str">
        <f ca="1">IF(COUNTIFS($CX$6:$CX$53,CX36,$BC$6:$BC$53,INDEX(T_Equipos[Grupo],MATCH(BD36,T_Equipos[NombreEquipo],0)))=1,"-","P."&amp;CX36&amp;" ("&amp;COUNTIFS($CX$6:$CX$53,CX36,$BC$6:$BC$53,INDEX(T_Equipos[Grupo],MATCH(BD36,T_Equipos[NombreEquipo],0)))&amp;")")</f>
        <v>-</v>
      </c>
      <c r="CZ36" s="769" t="str">
        <f t="shared" ca="1" si="31"/>
        <v>-</v>
      </c>
      <c r="DA36" s="770">
        <f ca="1">CX36+COUNTIFS($CY$6:$CY$53,CY36,$CZ$6:CZ$53,"&gt;"&amp;CZ36,$BC$6:$BC$53,INDEX(T_Equipos[Grupo],MATCH(BD36,T_Equipos[NombreEquipo],0)))</f>
        <v>4</v>
      </c>
      <c r="DB36" s="769" t="str">
        <f ca="1">IF(COUNTIFS($DA$6:$DA$53,DA36,$BC$6:$BC$53,INDEX(T_Equipos[Grupo],MATCH(BD36,T_Equipos[NombreEquipo],0)))=1,"-","P."&amp;DA36&amp;" ("&amp;COUNTIFS($DA$6:$DA$53,DA36,$BC$6:$BC$53,INDEX(T_Equipos[Grupo],MATCH(BD36,T_Equipos[NombreEquipo],0)))&amp;")")</f>
        <v>-</v>
      </c>
      <c r="DC36" s="768" t="str">
        <f ca="1">IF(DB36="-","-",COUNTIFS(T_Equipos[Rank],"&lt;"&amp;INDEX(T_Equipos[Rank],MATCH(BD36,T_Equipos[NombreEquipo],0)),$BC$6:$BC$53,INDEX(T_Equipos[Grupo],MATCH(BD36,T_Equipos[NombreEquipo],0)))+1)</f>
        <v>-</v>
      </c>
      <c r="DD36" s="768">
        <f ca="1">DA36+COUNTIFS($DB$6:$DB$53,DB36,$DC$6:DC$53,"&lt;"&amp;DC36,$BC$6:$BC$53,INDEX(T_Equipos[Grupo],MATCH(BD36,T_Equipos[NombreEquipo],0)))</f>
        <v>4</v>
      </c>
      <c r="DE36" s="768"/>
      <c r="DF36" s="768">
        <f t="shared" ca="1" si="52"/>
        <v>4</v>
      </c>
      <c r="DG36" s="768" t="str">
        <f ca="1">IF(DB36="-","-",COUNTIFS(DF$6:DF$53,"&lt;"&amp;DF36,$BC$6:$BC$53,INDEX(T_Equipos[Grupo],MATCH(BD36,T_Equipos[NombreEquipo],0))))</f>
        <v>-</v>
      </c>
      <c r="DH36" s="768">
        <f ca="1">DA36+COUNTIFS(DB$6:DB$53,DB36,DG$6:DG$53,"&lt;"&amp;DG36,$BC$6:$BC$53,INDEX(T_Equipos[Grupo],MATCH(BD36,T_Equipos[NombreEquipo],0)))</f>
        <v>4</v>
      </c>
      <c r="DI36" s="756"/>
      <c r="DJ36" s="756">
        <f t="shared" ca="1" si="53"/>
        <v>3</v>
      </c>
      <c r="DK36" s="756">
        <f t="shared" ca="1" si="24"/>
        <v>12</v>
      </c>
      <c r="DL36" s="756">
        <f t="shared" ca="1" si="33"/>
        <v>1</v>
      </c>
      <c r="DM36" s="750" t="str">
        <f t="shared" ca="1" si="34"/>
        <v>3.1</v>
      </c>
      <c r="DN36" s="756" cm="1">
        <f t="array" aca="1" ref="DN36" ca="1">OFFSET(Horarios!$P$3,DJ36-1,0,DL36,1)</f>
        <v>3</v>
      </c>
      <c r="DO36" s="756"/>
      <c r="DP36" s="756" t="s">
        <v>436</v>
      </c>
      <c r="DQ36" s="756" t="str">
        <f t="shared" ca="1" si="35"/>
        <v>Uruguay</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Local</v>
      </c>
      <c r="E37" s="756" t="str">
        <f t="shared" ca="1" si="116"/>
        <v>P.1 (2)</v>
      </c>
      <c r="F37" s="756" t="str">
        <f t="shared" ca="1" si="117"/>
        <v>-</v>
      </c>
      <c r="G37" s="756"/>
      <c r="H37" s="756" t="str">
        <f t="shared" ca="1" si="118"/>
        <v>-</v>
      </c>
      <c r="I37" s="756" t="str">
        <f t="shared" ca="1" si="119"/>
        <v>-</v>
      </c>
      <c r="J37" s="756"/>
      <c r="K37" s="756" t="str">
        <f t="shared" ca="1" si="120"/>
        <v>-</v>
      </c>
      <c r="L37" s="756" t="str">
        <f t="shared" ca="1" si="121"/>
        <v>-</v>
      </c>
      <c r="M37" s="756"/>
      <c r="N37" s="756" t="str">
        <f t="shared" ca="1" si="122"/>
        <v>-</v>
      </c>
      <c r="O37" s="756" t="str">
        <f t="shared" ca="1" si="123"/>
        <v>-</v>
      </c>
      <c r="P37" s="756"/>
      <c r="Q37" s="756" t="str">
        <f t="shared" ca="1" si="124"/>
        <v>-</v>
      </c>
      <c r="R37" s="756" t="str">
        <f t="shared" ca="1" si="125"/>
        <v>-</v>
      </c>
      <c r="S37" s="756"/>
      <c r="T37" s="756" t="str">
        <f t="shared" ca="1" si="126"/>
        <v>-</v>
      </c>
      <c r="U37" s="756" t="str">
        <f t="shared" ca="1" si="127"/>
        <v>-</v>
      </c>
      <c r="V37" s="178"/>
      <c r="W37" s="81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1</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2</v>
      </c>
      <c r="BF37" s="760">
        <f t="shared" ca="1" si="26"/>
        <v>3</v>
      </c>
      <c r="BG37" s="760">
        <f t="shared" ca="1" si="17"/>
        <v>0</v>
      </c>
      <c r="BH37" s="760">
        <f t="shared" ca="1" si="18"/>
        <v>2</v>
      </c>
      <c r="BI37" s="760">
        <f t="shared" ca="1" si="19"/>
        <v>1</v>
      </c>
      <c r="BJ37" s="760">
        <f t="shared" ca="1" si="20"/>
        <v>3</v>
      </c>
      <c r="BK37" s="760">
        <f t="shared" ca="1" si="21"/>
        <v>4</v>
      </c>
      <c r="BL37" s="760">
        <f t="shared" ca="1" si="27"/>
        <v>-1</v>
      </c>
      <c r="BM37" s="760" t="str">
        <f t="shared" ca="1" si="22"/>
        <v>3H</v>
      </c>
      <c r="BN37" s="760" t="str">
        <f t="shared" ca="1" si="23"/>
        <v>3H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2</v>
      </c>
      <c r="BS37" s="769">
        <f ca="1">BP37+COUNTIFS($BQ$6:$BQ$53,BQ37,$BR$6:BR$53,"&gt;"&amp;BR37,$BC$6:$BC$53,INDEX(T_Equipos[Grupo],MATCH(BD37,T_Equipos[NombreEquipo],0)))</f>
        <v>3</v>
      </c>
      <c r="BT37" s="769" t="str">
        <f ca="1">IF(COUNTIFS($BS$6:$BS$53,BS37,$BC$6:$BC$53,INDEX(T_Equipos[Grupo],MATCH(BD37,T_Equipos[NombreEquipo],0)))=1,"-","P."&amp;BS37&amp;" ("&amp;COUNTIFS($BS$6:$BS$53,BS37,$BC$6:$BC$53,INDEX(T_Equipos[Grupo],MATCH(BD37,T_Equipos[NombreEquipo],0)))&amp;")")</f>
        <v>P.3 (2)</v>
      </c>
      <c r="BU37" s="770">
        <f t="shared" ca="1" si="36"/>
        <v>0</v>
      </c>
      <c r="BV37" s="770">
        <f t="shared" ca="1" si="37"/>
        <v>1</v>
      </c>
      <c r="BW37" s="770">
        <f t="shared" ca="1" si="38"/>
        <v>0</v>
      </c>
      <c r="BX37" s="770">
        <f t="shared" ca="1" si="39"/>
        <v>1</v>
      </c>
      <c r="BY37" s="770">
        <f ca="1">BS37+COUNTIFS($BT$6:$BT$53,BT37,$BX$6:BX$53,"&gt;"&amp;BX37,$BC$6:$BC$53,INDEX(T_Equipos[Grupo],MATCH(BD37,T_Equipos[NombreEquipo],0)))</f>
        <v>3</v>
      </c>
      <c r="BZ37" s="769" t="str">
        <f ca="1">IF(COUNTIFS($BY$6:$BY$53,BY37,$BC$6:$BC$53,INDEX(T_Equipos[Grupo],MATCH(BD37,T_Equipos[NombreEquipo],0)))=1,"-","P."&amp;BY37&amp;" ("&amp;COUNTIFS($BY$6:$BY$53,BY37,$BC$6:$BC$53,INDEX(T_Equipos[Grupo],MATCH(BD37,T_Equipos[NombreEquipo],0)))&amp;")")</f>
        <v>P.3 (2)</v>
      </c>
      <c r="CA37" s="770">
        <f t="shared" ca="1" si="40"/>
        <v>1</v>
      </c>
      <c r="CB37" s="770">
        <f t="shared" ca="1" si="41"/>
        <v>1</v>
      </c>
      <c r="CC37" s="770">
        <f t="shared" ca="1" si="42"/>
        <v>0</v>
      </c>
      <c r="CD37" s="770">
        <f ca="1">BY37+COUNTIFS($BZ$6:$BZ$53,BZ37,$CC$6:CC$53,"&gt;"&amp;CC37,$BC$6:$BC$53,INDEX(T_Equipos[Grupo],MATCH(BD37,T_Equipos[NombreEquipo],0)))</f>
        <v>3</v>
      </c>
      <c r="CE37" s="769" t="str">
        <f ca="1">IF(COUNTIFS($CD$6:$CD$53,CD37,$BC$6:$BC$53,INDEX(T_Equipos[Grupo],MATCH(BD37,T_Equipos[NombreEquipo],0)))=1,"-","P."&amp;CD37&amp;" ("&amp;COUNTIFS($CD$6:$CD$53,CD37,$BC$6:$BC$53,INDEX(T_Equipos[Grupo],MATCH(BD37,T_Equipos[NombreEquipo],0)))&amp;")")</f>
        <v>P.3 (2)</v>
      </c>
      <c r="CF37" s="770">
        <f t="shared" ca="1" si="43"/>
        <v>1</v>
      </c>
      <c r="CG37" s="770">
        <f ca="1">CD37+COUNTIFS($CE$6:$CE$53,CE37,$CF$6:CF$53,"&gt;"&amp;CF37,$BC$6:$BC$53,INDEX(T_Equipos[Grupo],MATCH(BD37,T_Equipos[NombreEquipo],0)))</f>
        <v>3</v>
      </c>
      <c r="CH37" s="769" t="str">
        <f ca="1">IF(COUNTIFS($CG$6:$CG$53,CG37,$BC$6:$BC$53,INDEX(T_Equipos[Grupo],MATCH(BD37,T_Equipos[NombreEquipo],0)))=1,"-","P."&amp;CG37&amp;" ("&amp;COUNTIFS($CG$6:$CG$53,CG37,$BC$6:$BC$53,INDEX(T_Equipos[Grupo],MATCH(BD37,T_Equipos[NombreEquipo],0)))&amp;")")</f>
        <v>P.3 (2)</v>
      </c>
      <c r="CI37" s="770">
        <f t="shared" ca="1" si="44"/>
        <v>0</v>
      </c>
      <c r="CJ37" s="770">
        <f t="shared" ca="1" si="45"/>
        <v>1</v>
      </c>
      <c r="CK37" s="770">
        <f t="shared" ca="1" si="46"/>
        <v>0</v>
      </c>
      <c r="CL37" s="770">
        <f t="shared" ca="1" si="47"/>
        <v>1</v>
      </c>
      <c r="CM37" s="770">
        <f ca="1">CG37+COUNTIFS($CH$6:$CH$53,CH37,$CL$6:CL$53,"&gt;"&amp;CL37,$BC$6:$BC$53,INDEX(T_Equipos[Grupo],MATCH(BD37,T_Equipos[NombreEquipo],0)))</f>
        <v>3</v>
      </c>
      <c r="CN37" s="769" t="str">
        <f ca="1">IF(COUNTIFS($CM$6:$CM$53,CM37,$BC$6:$BC$53,INDEX(T_Equipos[Grupo],MATCH(BD37,T_Equipos[NombreEquipo],0)))=1,"-","P."&amp;CM37&amp;" ("&amp;COUNTIFS($CM$6:$CM$53,CM37,$BC$6:$BC$53,INDEX(T_Equipos[Grupo],MATCH(BD37,T_Equipos[NombreEquipo],0)))&amp;")")</f>
        <v>P.3 (2)</v>
      </c>
      <c r="CO37" s="770">
        <f t="shared" ca="1" si="48"/>
        <v>1</v>
      </c>
      <c r="CP37" s="770">
        <f t="shared" ca="1" si="49"/>
        <v>1</v>
      </c>
      <c r="CQ37" s="770">
        <f t="shared" ca="1" si="50"/>
        <v>0</v>
      </c>
      <c r="CR37" s="770">
        <f ca="1">CM37+COUNTIFS($CN$6:$CN$53,CN37,$CQ$6:CQ$53,"&gt;"&amp;CQ37,$BC$6:$BC$53,INDEX(T_Equipos[Grupo],MATCH(BD37,T_Equipos[NombreEquipo],0)))</f>
        <v>3</v>
      </c>
      <c r="CS37" s="769" t="str">
        <f ca="1">IF(COUNTIFS($CR$6:$CR$53,CR37,$BC$6:$BC$53,INDEX(T_Equipos[Grupo],MATCH(BD37,T_Equipos[NombreEquipo],0)))=1,"-","P."&amp;CR37&amp;" ("&amp;COUNTIFS($CR$6:$CR$53,CR37,$BC$6:$BC$53,INDEX(T_Equipos[Grupo],MATCH(BD37,T_Equipos[NombreEquipo],0)))&amp;")")</f>
        <v>P.3 (2)</v>
      </c>
      <c r="CT37" s="770">
        <f t="shared" ca="1" si="51"/>
        <v>1</v>
      </c>
      <c r="CU37" s="770">
        <f ca="1">CR37+COUNTIFS($CS$6:$CS$53,CS37,$CT$6:CT$53,"&gt;"&amp;CT37,$BC$6:$BC$53,INDEX(T_Equipos[Grupo],MATCH(BD37,T_Equipos[NombreEquipo],0)))</f>
        <v>3</v>
      </c>
      <c r="CV37" s="769" t="str">
        <f ca="1">IF(COUNTIFS($CU$6:$CU$53,CU37,$BC$6:$BC$53,INDEX(T_Equipos[Grupo],MATCH(BD37,T_Equipos[NombreEquipo],0)))=1,"-","P."&amp;CU37&amp;" ("&amp;COUNTIFS($CU$6:$CU$53,CU37,$BC$6:$BC$53,INDEX(T_Equipos[Grupo],MATCH(BD37,T_Equipos[NombreEquipo],0)))&amp;")")</f>
        <v>P.3 (2)</v>
      </c>
      <c r="CW37" s="769">
        <f t="shared" ca="1" si="30"/>
        <v>-1</v>
      </c>
      <c r="CX37" s="769">
        <f ca="1">CU37+COUNTIFS($CV$6:$CV$53,CV37,$CW$6:CW$53,"&gt;"&amp;CW37,$BC$6:$BC$53,INDEX(T_Equipos[Grupo],MATCH(BD37,T_Equipos[NombreEquipo],0)))</f>
        <v>3</v>
      </c>
      <c r="CY37" s="769" t="str">
        <f ca="1">IF(COUNTIFS($CX$6:$CX$53,CX37,$BC$6:$BC$53,INDEX(T_Equipos[Grupo],MATCH(BD37,T_Equipos[NombreEquipo],0)))=1,"-","P."&amp;CX37&amp;" ("&amp;COUNTIFS($CX$6:$CX$53,CX37,$BC$6:$BC$53,INDEX(T_Equipos[Grupo],MATCH(BD37,T_Equipos[NombreEquipo],0)))&amp;")")</f>
        <v>-</v>
      </c>
      <c r="CZ37" s="769" t="str">
        <f t="shared" ca="1" si="31"/>
        <v>-</v>
      </c>
      <c r="DA37" s="770">
        <f ca="1">CX37+COUNTIFS($CY$6:$CY$53,CY37,$CZ$6:CZ$53,"&gt;"&amp;CZ37,$BC$6:$BC$53,INDEX(T_Equipos[Grupo],MATCH(BD37,T_Equipos[NombreEquipo],0)))</f>
        <v>3</v>
      </c>
      <c r="DB37" s="769" t="str">
        <f ca="1">IF(COUNTIFS($DA$6:$DA$53,DA37,$BC$6:$BC$53,INDEX(T_Equipos[Grupo],MATCH(BD37,T_Equipos[NombreEquipo],0)))=1,"-","P."&amp;DA37&amp;" ("&amp;COUNTIFS($DA$6:$DA$53,DA37,$BC$6:$BC$53,INDEX(T_Equipos[Grupo],MATCH(BD37,T_Equipos[NombreEquipo],0)))&amp;")")</f>
        <v>-</v>
      </c>
      <c r="DC37" s="768" t="str">
        <f ca="1">IF(DB37="-","-",COUNTIFS(T_Equipos[Rank],"&lt;"&amp;INDEX(T_Equipos[Rank],MATCH(BD37,T_Equipos[NombreEquipo],0)),$BC$6:$BC$53,INDEX(T_Equipos[Grupo],MATCH(BD37,T_Equipos[NombreEquipo],0)))+1)</f>
        <v>-</v>
      </c>
      <c r="DD37" s="768">
        <f ca="1">DA37+COUNTIFS($DB$6:$DB$53,DB37,$DC$6:DC$53,"&lt;"&amp;DC37,$BC$6:$BC$53,INDEX(T_Equipos[Grupo],MATCH(BD37,T_Equipos[NombreEquipo],0)))</f>
        <v>3</v>
      </c>
      <c r="DE37" s="768"/>
      <c r="DF37" s="768">
        <f t="shared" ca="1" si="52"/>
        <v>3</v>
      </c>
      <c r="DG37" s="768" t="str">
        <f ca="1">IF(DB37="-","-",COUNTIFS(DF$6:DF$53,"&lt;"&amp;DF37,$BC$6:$BC$53,INDEX(T_Equipos[Grupo],MATCH(BD37,T_Equipos[NombreEquipo],0))))</f>
        <v>-</v>
      </c>
      <c r="DH37" s="768">
        <f ca="1">DA37+COUNTIFS(DB$6:DB$53,DB37,DG$6:DG$53,"&lt;"&amp;DG37,$BC$6:$BC$53,INDEX(T_Equipos[Grupo],MATCH(BD37,T_Equipos[NombreEquipo],0)))</f>
        <v>3</v>
      </c>
      <c r="DI37" s="756"/>
      <c r="DJ37" s="756">
        <f t="shared" ca="1" si="53"/>
        <v>4</v>
      </c>
      <c r="DK37" s="756">
        <f t="shared" ca="1" si="24"/>
        <v>12</v>
      </c>
      <c r="DL37" s="756">
        <f t="shared" ca="1" si="33"/>
        <v>1</v>
      </c>
      <c r="DM37" s="750" t="str">
        <f t="shared" ca="1" si="34"/>
        <v>4.1</v>
      </c>
      <c r="DN37" s="756" cm="1">
        <f t="array" aca="1" ref="DN37" ca="1">OFFSET(Horarios!$P$3,DJ37-1,0,DL37,1)</f>
        <v>4</v>
      </c>
      <c r="DO37" s="756"/>
      <c r="DP37" s="756" t="s">
        <v>672</v>
      </c>
      <c r="DQ37" s="756" t="str">
        <f t="shared" ca="1" si="35"/>
        <v>Arabia Saudita</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Local</v>
      </c>
      <c r="E38" s="756" t="str">
        <f t="shared" ca="1" si="116"/>
        <v>P.1 (2)</v>
      </c>
      <c r="F38" s="756" t="str">
        <f t="shared" ca="1" si="117"/>
        <v>P.1 (2)</v>
      </c>
      <c r="G38" s="756"/>
      <c r="H38" s="756" t="str">
        <f t="shared" ca="1" si="118"/>
        <v>-</v>
      </c>
      <c r="I38" s="756" t="str">
        <f t="shared" ca="1" si="119"/>
        <v>-</v>
      </c>
      <c r="J38" s="756"/>
      <c r="K38" s="756" t="str">
        <f t="shared" ca="1" si="120"/>
        <v>-</v>
      </c>
      <c r="L38" s="756" t="str">
        <f t="shared" ca="1" si="121"/>
        <v>-</v>
      </c>
      <c r="M38" s="756"/>
      <c r="N38" s="756" t="str">
        <f t="shared" ca="1" si="122"/>
        <v>-</v>
      </c>
      <c r="O38" s="756" t="str">
        <f t="shared" ca="1" si="123"/>
        <v>-</v>
      </c>
      <c r="P38" s="756"/>
      <c r="Q38" s="756" t="str">
        <f t="shared" ca="1" si="124"/>
        <v>-</v>
      </c>
      <c r="R38" s="756" t="str">
        <f t="shared" ca="1" si="125"/>
        <v>-</v>
      </c>
      <c r="S38" s="756"/>
      <c r="T38" s="756" t="str">
        <f t="shared" ca="1" si="126"/>
        <v>-</v>
      </c>
      <c r="U38" s="756" t="str">
        <f t="shared" ca="1" si="127"/>
        <v>-</v>
      </c>
      <c r="V38" s="178"/>
      <c r="W38" s="81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1</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6</v>
      </c>
      <c r="AN38" s="220">
        <f t="shared" ca="1" si="132"/>
        <v>3</v>
      </c>
      <c r="AO38" s="220">
        <f t="shared" ca="1" si="132"/>
        <v>2</v>
      </c>
      <c r="AP38" s="220">
        <f t="shared" ca="1" si="132"/>
        <v>0</v>
      </c>
      <c r="AQ38" s="220">
        <f t="shared" ca="1" si="132"/>
        <v>1</v>
      </c>
      <c r="AR38" s="220">
        <f t="shared" ca="1" si="132"/>
        <v>10</v>
      </c>
      <c r="AS38" s="220">
        <f t="shared" ca="1" si="132"/>
        <v>4</v>
      </c>
      <c r="AT38" s="221">
        <f t="shared" ca="1" si="132"/>
        <v>6</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9</v>
      </c>
      <c r="BF38" s="760">
        <f t="shared" ca="1" si="26"/>
        <v>3</v>
      </c>
      <c r="BG38" s="760">
        <f t="shared" ca="1" si="17"/>
        <v>3</v>
      </c>
      <c r="BH38" s="760">
        <f t="shared" ca="1" si="18"/>
        <v>0</v>
      </c>
      <c r="BI38" s="760">
        <f t="shared" ca="1" si="19"/>
        <v>0</v>
      </c>
      <c r="BJ38" s="760">
        <f t="shared" ca="1" si="20"/>
        <v>10</v>
      </c>
      <c r="BK38" s="760">
        <f t="shared" ca="1" si="21"/>
        <v>2</v>
      </c>
      <c r="BL38" s="760">
        <f t="shared" ca="1" si="27"/>
        <v>8</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9</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v>
      </c>
      <c r="BU38" s="770" t="str">
        <f t="shared" ca="1" si="36"/>
        <v>-</v>
      </c>
      <c r="BV38" s="770" t="str">
        <f t="shared" ca="1" si="37"/>
        <v>-</v>
      </c>
      <c r="BW38" s="770" t="str">
        <f t="shared" ca="1" si="38"/>
        <v>-</v>
      </c>
      <c r="BX38" s="770" t="str">
        <f t="shared" ca="1" si="39"/>
        <v>-</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v>
      </c>
      <c r="CA38" s="770" t="str">
        <f t="shared" ca="1" si="40"/>
        <v>-</v>
      </c>
      <c r="CB38" s="770" t="str">
        <f t="shared" ca="1" si="41"/>
        <v>-</v>
      </c>
      <c r="CC38" s="770" t="str">
        <f t="shared" ca="1" si="42"/>
        <v>-</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v>
      </c>
      <c r="CF38" s="770" t="str">
        <f t="shared" ca="1" si="43"/>
        <v>-</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v>
      </c>
      <c r="CI38" s="770" t="str">
        <f t="shared" ca="1" si="44"/>
        <v>-</v>
      </c>
      <c r="CJ38" s="770" t="str">
        <f t="shared" ca="1" si="45"/>
        <v>-</v>
      </c>
      <c r="CK38" s="770" t="str">
        <f t="shared" ca="1" si="46"/>
        <v>-</v>
      </c>
      <c r="CL38" s="770" t="str">
        <f t="shared" ca="1" si="47"/>
        <v>-</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v>
      </c>
      <c r="CO38" s="770" t="str">
        <f t="shared" ca="1" si="48"/>
        <v>-</v>
      </c>
      <c r="CP38" s="770" t="str">
        <f t="shared" ca="1" si="49"/>
        <v>-</v>
      </c>
      <c r="CQ38" s="770" t="str">
        <f t="shared" ca="1" si="50"/>
        <v>-</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v>
      </c>
      <c r="CT38" s="770" t="str">
        <f t="shared" ca="1" si="51"/>
        <v>-</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v>
      </c>
      <c r="CW38" s="769" t="str">
        <f t="shared" ca="1" si="30"/>
        <v>-</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v>
      </c>
      <c r="CZ38" s="769" t="str">
        <f t="shared" ca="1" si="31"/>
        <v>-</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v>
      </c>
      <c r="DC38" s="768" t="str">
        <f ca="1">IF(DB38="-","-",COUNTIFS(T_Equipos[Rank],"&lt;"&amp;INDEX(T_Equipos[Rank],MATCH(BD38,T_Equipos[NombreEquipo],0)),$BC$6:$BC$53,INDEX(T_Equipos[Grupo],MATCH(BD38,T_Equipos[NombreEquipo],0)))+1)</f>
        <v>-</v>
      </c>
      <c r="DD38" s="768">
        <f ca="1">DA38+COUNTIFS($DB$6:$DB$53,DB38,$DC$6:DC$53,"&lt;"&amp;DC38,$BC$6:$BC$53,INDEX(T_Equipos[Grupo],MATCH(BD38,T_Equipos[NombreEquipo],0)))</f>
        <v>1</v>
      </c>
      <c r="DE38" s="768"/>
      <c r="DF38" s="768">
        <f t="shared" ca="1" si="52"/>
        <v>1</v>
      </c>
      <c r="DG38" s="768" t="str">
        <f ca="1">IF(DB38="-","-",COUNTIFS(DF$6:DF$53,"&lt;"&amp;DF38,$BC$6:$BC$53,INDEX(T_Equipos[Grupo],MATCH(BD38,T_Equipos[NombreEquipo],0))))</f>
        <v>-</v>
      </c>
      <c r="DH38" s="768">
        <f ca="1">DA38+COUNTIFS(DB$6:DB$53,DB38,DG$6:DG$53,"&lt;"&amp;DG38,$BC$6:$BC$53,INDEX(T_Equipos[Grupo],MATCH(BD38,T_Equipos[NombreEquipo],0)))</f>
        <v>1</v>
      </c>
      <c r="DI38" s="756"/>
      <c r="DJ38" s="756">
        <f t="shared" ca="1" si="53"/>
        <v>1</v>
      </c>
      <c r="DK38" s="756">
        <f t="shared" ca="1" si="24"/>
        <v>12</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Empate</v>
      </c>
      <c r="E39" s="756" t="str">
        <f t="shared" ca="1" si="116"/>
        <v>-</v>
      </c>
      <c r="F39" s="756" t="str">
        <f t="shared" ca="1" si="117"/>
        <v>-</v>
      </c>
      <c r="G39" s="756"/>
      <c r="H39" s="756" t="str">
        <f t="shared" ca="1" si="118"/>
        <v>-</v>
      </c>
      <c r="I39" s="756" t="str">
        <f t="shared" ca="1" si="119"/>
        <v>-</v>
      </c>
      <c r="J39" s="756"/>
      <c r="K39" s="756" t="str">
        <f t="shared" ca="1" si="120"/>
        <v>-</v>
      </c>
      <c r="L39" s="756" t="str">
        <f t="shared" ca="1" si="121"/>
        <v>-</v>
      </c>
      <c r="M39" s="756"/>
      <c r="N39" s="756" t="str">
        <f t="shared" ca="1" si="122"/>
        <v>-</v>
      </c>
      <c r="O39" s="756" t="str">
        <f t="shared" ca="1" si="123"/>
        <v>-</v>
      </c>
      <c r="P39" s="756"/>
      <c r="Q39" s="756" t="str">
        <f t="shared" ca="1" si="124"/>
        <v>-</v>
      </c>
      <c r="R39" s="756" t="str">
        <f t="shared" ca="1" si="125"/>
        <v>-</v>
      </c>
      <c r="S39" s="756"/>
      <c r="T39" s="756" t="str">
        <f t="shared" ca="1" si="126"/>
        <v>-</v>
      </c>
      <c r="U39" s="756" t="str">
        <f t="shared" ca="1" si="127"/>
        <v>-</v>
      </c>
      <c r="V39" s="178"/>
      <c r="W39" s="81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1</v>
      </c>
      <c r="AH39" s="202">
        <v>34</v>
      </c>
      <c r="AI39" s="19" t="str">
        <f t="shared" ref="AI39:AI41" si="133">AJ39&amp;$B$36</f>
        <v>2E</v>
      </c>
      <c r="AJ39" s="227">
        <v>2</v>
      </c>
      <c r="AK39" s="494" t="str" cm="1">
        <f t="array" aca="1" ref="AK39" ca="1">Ver_flag_visit</f>
        <v>🇨🇮</v>
      </c>
      <c r="AL39" s="228" t="str">
        <f ca="1">IFERROR(INDEX($BD$6:$BD$53,MATCH(AI39,$BN$6:$BN$53,0)),"")</f>
        <v>Costa de Marfil</v>
      </c>
      <c r="AM39" s="229">
        <f t="shared" ca="1" si="132"/>
        <v>6</v>
      </c>
      <c r="AN39" s="230">
        <f t="shared" ca="1" si="132"/>
        <v>3</v>
      </c>
      <c r="AO39" s="230">
        <f t="shared" ca="1" si="132"/>
        <v>2</v>
      </c>
      <c r="AP39" s="230">
        <f t="shared" ca="1" si="132"/>
        <v>0</v>
      </c>
      <c r="AQ39" s="230">
        <f t="shared" ca="1" si="132"/>
        <v>1</v>
      </c>
      <c r="AR39" s="230">
        <f t="shared" ca="1" si="132"/>
        <v>4</v>
      </c>
      <c r="AS39" s="230">
        <f t="shared" ca="1" si="132"/>
        <v>2</v>
      </c>
      <c r="AT39" s="231">
        <f t="shared" ca="1" si="132"/>
        <v>2</v>
      </c>
      <c r="AU39" s="428">
        <f ca="1">INDEX($DL$6:$DL$53,MATCH(AI39,$DP$6:$DP$53,0))</f>
        <v>1</v>
      </c>
      <c r="AV39" s="223" t="str">
        <f ca="1">INDEX($BD$6:$BD$53,MATCH(AI39,$BM$6:$BM$53,0))</f>
        <v>Costa de Marfil</v>
      </c>
      <c r="AW39" s="435"/>
      <c r="AX39" s="224"/>
      <c r="AY39" s="232" t="str">
        <f ca="1">+A38</f>
        <v>Curazao</v>
      </c>
      <c r="AZ39" s="233"/>
      <c r="BA39" s="181"/>
      <c r="BB39" s="756"/>
      <c r="BC39" s="768" t="str">
        <f ca="1">+INDEX(T_Equipos[Grupo],MATCH(WORLDCUP!BD39,T_Equipos[NombreEquipo],0))</f>
        <v>I</v>
      </c>
      <c r="BD39" s="756" t="str">
        <f ca="1">+Equipos!B35</f>
        <v>Senegal</v>
      </c>
      <c r="BE39" s="760">
        <f t="shared" ca="1" si="25"/>
        <v>3</v>
      </c>
      <c r="BF39" s="760">
        <f t="shared" ca="1" si="26"/>
        <v>3</v>
      </c>
      <c r="BG39" s="760">
        <f t="shared" ca="1" si="17"/>
        <v>1</v>
      </c>
      <c r="BH39" s="760">
        <f t="shared" ca="1" si="18"/>
        <v>0</v>
      </c>
      <c r="BI39" s="760">
        <f t="shared" ca="1" si="19"/>
        <v>2</v>
      </c>
      <c r="BJ39" s="760">
        <f t="shared" ca="1" si="20"/>
        <v>8</v>
      </c>
      <c r="BK39" s="760">
        <f t="shared" ca="1" si="21"/>
        <v>6</v>
      </c>
      <c r="BL39" s="760">
        <f t="shared" ca="1" si="27"/>
        <v>2</v>
      </c>
      <c r="BM39" s="760" t="str">
        <f t="shared" ca="1" si="22"/>
        <v>3I</v>
      </c>
      <c r="BN39" s="760" t="str">
        <f t="shared" ca="1" si="23"/>
        <v>3I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3</v>
      </c>
      <c r="BS39" s="769">
        <f ca="1">BP39+COUNTIFS($BQ$6:$BQ$53,BQ39,$BR$6:BR$53,"&gt;"&amp;BR39,$BC$6:$BC$53,INDEX(T_Equipos[Grupo],MATCH(BD39,T_Equipos[NombreEquipo],0)))</f>
        <v>3</v>
      </c>
      <c r="BT39" s="769" t="str">
        <f ca="1">IF(COUNTIFS($BS$6:$BS$53,BS39,$BC$6:$BC$53,INDEX(T_Equipos[Grupo],MATCH(BD39,T_Equipos[NombreEquipo],0)))=1,"-","P."&amp;BS39&amp;" ("&amp;COUNTIFS($BS$6:$BS$53,BS39,$BC$6:$BC$53,INDEX(T_Equipos[Grupo],MATCH(BD39,T_Equipos[NombreEquipo],0)))&amp;")")</f>
        <v>-</v>
      </c>
      <c r="BU39" s="770" t="str">
        <f t="shared" ca="1" si="36"/>
        <v>-</v>
      </c>
      <c r="BV39" s="770" t="str">
        <f t="shared" ca="1" si="37"/>
        <v>-</v>
      </c>
      <c r="BW39" s="770" t="str">
        <f t="shared" ca="1" si="38"/>
        <v>-</v>
      </c>
      <c r="BX39" s="770" t="str">
        <f t="shared" ca="1" si="39"/>
        <v>-</v>
      </c>
      <c r="BY39" s="770">
        <f ca="1">BS39+COUNTIFS($BT$6:$BT$53,BT39,$BX$6:BX$53,"&gt;"&amp;BX39,$BC$6:$BC$53,INDEX(T_Equipos[Grupo],MATCH(BD39,T_Equipos[NombreEquipo],0)))</f>
        <v>3</v>
      </c>
      <c r="BZ39" s="769" t="str">
        <f ca="1">IF(COUNTIFS($BY$6:$BY$53,BY39,$BC$6:$BC$53,INDEX(T_Equipos[Grupo],MATCH(BD39,T_Equipos[NombreEquipo],0)))=1,"-","P."&amp;BY39&amp;" ("&amp;COUNTIFS($BY$6:$BY$53,BY39,$BC$6:$BC$53,INDEX(T_Equipos[Grupo],MATCH(BD39,T_Equipos[NombreEquipo],0)))&amp;")")</f>
        <v>-</v>
      </c>
      <c r="CA39" s="770" t="str">
        <f t="shared" ca="1" si="40"/>
        <v>-</v>
      </c>
      <c r="CB39" s="770" t="str">
        <f t="shared" ca="1" si="41"/>
        <v>-</v>
      </c>
      <c r="CC39" s="770" t="str">
        <f t="shared" ca="1" si="42"/>
        <v>-</v>
      </c>
      <c r="CD39" s="770">
        <f ca="1">BY39+COUNTIFS($BZ$6:$BZ$53,BZ39,$CC$6:CC$53,"&gt;"&amp;CC39,$BC$6:$BC$53,INDEX(T_Equipos[Grupo],MATCH(BD39,T_Equipos[NombreEquipo],0)))</f>
        <v>3</v>
      </c>
      <c r="CE39" s="769" t="str">
        <f ca="1">IF(COUNTIFS($CD$6:$CD$53,CD39,$BC$6:$BC$53,INDEX(T_Equipos[Grupo],MATCH(BD39,T_Equipos[NombreEquipo],0)))=1,"-","P."&amp;CD39&amp;" ("&amp;COUNTIFS($CD$6:$CD$53,CD39,$BC$6:$BC$53,INDEX(T_Equipos[Grupo],MATCH(BD39,T_Equipos[NombreEquipo],0)))&amp;")")</f>
        <v>-</v>
      </c>
      <c r="CF39" s="770" t="str">
        <f t="shared" ca="1" si="43"/>
        <v>-</v>
      </c>
      <c r="CG39" s="770">
        <f ca="1">CD39+COUNTIFS($CE$6:$CE$53,CE39,$CF$6:CF$53,"&gt;"&amp;CF39,$BC$6:$BC$53,INDEX(T_Equipos[Grupo],MATCH(BD39,T_Equipos[NombreEquipo],0)))</f>
        <v>3</v>
      </c>
      <c r="CH39" s="769" t="str">
        <f ca="1">IF(COUNTIFS($CG$6:$CG$53,CG39,$BC$6:$BC$53,INDEX(T_Equipos[Grupo],MATCH(BD39,T_Equipos[NombreEquipo],0)))=1,"-","P."&amp;CG39&amp;" ("&amp;COUNTIFS($CG$6:$CG$53,CG39,$BC$6:$BC$53,INDEX(T_Equipos[Grupo],MATCH(BD39,T_Equipos[NombreEquipo],0)))&amp;")")</f>
        <v>-</v>
      </c>
      <c r="CI39" s="770" t="str">
        <f t="shared" ca="1" si="44"/>
        <v>-</v>
      </c>
      <c r="CJ39" s="770" t="str">
        <f t="shared" ca="1" si="45"/>
        <v>-</v>
      </c>
      <c r="CK39" s="770" t="str">
        <f t="shared" ca="1" si="46"/>
        <v>-</v>
      </c>
      <c r="CL39" s="770" t="str">
        <f t="shared" ca="1" si="47"/>
        <v>-</v>
      </c>
      <c r="CM39" s="770">
        <f ca="1">CG39+COUNTIFS($CH$6:$CH$53,CH39,$CL$6:CL$53,"&gt;"&amp;CL39,$BC$6:$BC$53,INDEX(T_Equipos[Grupo],MATCH(BD39,T_Equipos[NombreEquipo],0)))</f>
        <v>3</v>
      </c>
      <c r="CN39" s="769" t="str">
        <f ca="1">IF(COUNTIFS($CM$6:$CM$53,CM39,$BC$6:$BC$53,INDEX(T_Equipos[Grupo],MATCH(BD39,T_Equipos[NombreEquipo],0)))=1,"-","P."&amp;CM39&amp;" ("&amp;COUNTIFS($CM$6:$CM$53,CM39,$BC$6:$BC$53,INDEX(T_Equipos[Grupo],MATCH(BD39,T_Equipos[NombreEquipo],0)))&amp;")")</f>
        <v>-</v>
      </c>
      <c r="CO39" s="770" t="str">
        <f t="shared" ca="1" si="48"/>
        <v>-</v>
      </c>
      <c r="CP39" s="770" t="str">
        <f t="shared" ca="1" si="49"/>
        <v>-</v>
      </c>
      <c r="CQ39" s="770" t="str">
        <f t="shared" ca="1" si="50"/>
        <v>-</v>
      </c>
      <c r="CR39" s="770">
        <f ca="1">CM39+COUNTIFS($CN$6:$CN$53,CN39,$CQ$6:CQ$53,"&gt;"&amp;CQ39,$BC$6:$BC$53,INDEX(T_Equipos[Grupo],MATCH(BD39,T_Equipos[NombreEquipo],0)))</f>
        <v>3</v>
      </c>
      <c r="CS39" s="769" t="str">
        <f ca="1">IF(COUNTIFS($CR$6:$CR$53,CR39,$BC$6:$BC$53,INDEX(T_Equipos[Grupo],MATCH(BD39,T_Equipos[NombreEquipo],0)))=1,"-","P."&amp;CR39&amp;" ("&amp;COUNTIFS($CR$6:$CR$53,CR39,$BC$6:$BC$53,INDEX(T_Equipos[Grupo],MATCH(BD39,T_Equipos[NombreEquipo],0)))&amp;")")</f>
        <v>-</v>
      </c>
      <c r="CT39" s="770" t="str">
        <f t="shared" ca="1" si="51"/>
        <v>-</v>
      </c>
      <c r="CU39" s="770">
        <f ca="1">CR39+COUNTIFS($CS$6:$CS$53,CS39,$CT$6:CT$53,"&gt;"&amp;CT39,$BC$6:$BC$53,INDEX(T_Equipos[Grupo],MATCH(BD39,T_Equipos[NombreEquipo],0)))</f>
        <v>3</v>
      </c>
      <c r="CV39" s="769" t="str">
        <f ca="1">IF(COUNTIFS($CU$6:$CU$53,CU39,$BC$6:$BC$53,INDEX(T_Equipos[Grupo],MATCH(BD39,T_Equipos[NombreEquipo],0)))=1,"-","P."&amp;CU39&amp;" ("&amp;COUNTIFS($CU$6:$CU$53,CU39,$BC$6:$BC$53,INDEX(T_Equipos[Grupo],MATCH(BD39,T_Equipos[NombreEquipo],0)))&amp;")")</f>
        <v>-</v>
      </c>
      <c r="CW39" s="769" t="str">
        <f t="shared" ca="1" si="30"/>
        <v>-</v>
      </c>
      <c r="CX39" s="769">
        <f ca="1">CU39+COUNTIFS($CV$6:$CV$53,CV39,$CW$6:CW$53,"&gt;"&amp;CW39,$BC$6:$BC$53,INDEX(T_Equipos[Grupo],MATCH(BD39,T_Equipos[NombreEquipo],0)))</f>
        <v>3</v>
      </c>
      <c r="CY39" s="769" t="str">
        <f ca="1">IF(COUNTIFS($CX$6:$CX$53,CX39,$BC$6:$BC$53,INDEX(T_Equipos[Grupo],MATCH(BD39,T_Equipos[NombreEquipo],0)))=1,"-","P."&amp;CX39&amp;" ("&amp;COUNTIFS($CX$6:$CX$53,CX39,$BC$6:$BC$53,INDEX(T_Equipos[Grupo],MATCH(BD39,T_Equipos[NombreEquipo],0)))&amp;")")</f>
        <v>-</v>
      </c>
      <c r="CZ39" s="769" t="str">
        <f t="shared" ca="1" si="31"/>
        <v>-</v>
      </c>
      <c r="DA39" s="770">
        <f ca="1">CX39+COUNTIFS($CY$6:$CY$53,CY39,$CZ$6:CZ$53,"&gt;"&amp;CZ39,$BC$6:$BC$53,INDEX(T_Equipos[Grupo],MATCH(BD39,T_Equipos[NombreEquipo],0)))</f>
        <v>3</v>
      </c>
      <c r="DB39" s="769" t="str">
        <f ca="1">IF(COUNTIFS($DA$6:$DA$53,DA39,$BC$6:$BC$53,INDEX(T_Equipos[Grupo],MATCH(BD39,T_Equipos[NombreEquipo],0)))=1,"-","P."&amp;DA39&amp;" ("&amp;COUNTIFS($DA$6:$DA$53,DA39,$BC$6:$BC$53,INDEX(T_Equipos[Grupo],MATCH(BD39,T_Equipos[NombreEquipo],0)))&amp;")")</f>
        <v>-</v>
      </c>
      <c r="DC39" s="768" t="str">
        <f ca="1">IF(DB39="-","-",COUNTIFS(T_Equipos[Rank],"&lt;"&amp;INDEX(T_Equipos[Rank],MATCH(BD39,T_Equipos[NombreEquipo],0)),$BC$6:$BC$53,INDEX(T_Equipos[Grupo],MATCH(BD39,T_Equipos[NombreEquipo],0)))+1)</f>
        <v>-</v>
      </c>
      <c r="DD39" s="768">
        <f ca="1">DA39+COUNTIFS($DB$6:$DB$53,DB39,$DC$6:DC$53,"&lt;"&amp;DC39,$BC$6:$BC$53,INDEX(T_Equipos[Grupo],MATCH(BD39,T_Equipos[NombreEquipo],0)))</f>
        <v>3</v>
      </c>
      <c r="DE39" s="768"/>
      <c r="DF39" s="768">
        <f t="shared" ca="1" si="52"/>
        <v>3</v>
      </c>
      <c r="DG39" s="768" t="str">
        <f ca="1">IF(DB39="-","-",COUNTIFS(DF$6:DF$53,"&lt;"&amp;DF39,$BC$6:$BC$53,INDEX(T_Equipos[Grupo],MATCH(BD39,T_Equipos[NombreEquipo],0))))</f>
        <v>-</v>
      </c>
      <c r="DH39" s="768">
        <f ca="1">DA39+COUNTIFS(DB$6:DB$53,DB39,DG$6:DG$53,"&lt;"&amp;DG39,$BC$6:$BC$53,INDEX(T_Equipos[Grupo],MATCH(BD39,T_Equipos[NombreEquipo],0)))</f>
        <v>3</v>
      </c>
      <c r="DI39" s="756"/>
      <c r="DJ39" s="756">
        <f t="shared" ca="1" si="53"/>
        <v>2</v>
      </c>
      <c r="DK39" s="756">
        <f t="shared" ca="1" si="24"/>
        <v>12</v>
      </c>
      <c r="DL39" s="756">
        <f t="shared" ca="1" si="33"/>
        <v>1</v>
      </c>
      <c r="DM39" s="750" t="str">
        <f t="shared" ca="1" si="34"/>
        <v>2.1</v>
      </c>
      <c r="DN39" s="756" cm="1">
        <f t="array" aca="1" ref="DN39" ca="1">OFFSET(Horarios!$P$3,DJ39-1,0,DL39,1)</f>
        <v>2</v>
      </c>
      <c r="DO39" s="756"/>
      <c r="DP39" s="756" t="s">
        <v>674</v>
      </c>
      <c r="DQ39" s="756" t="str">
        <f t="shared" ca="1" si="35"/>
        <v>Noruega</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Visitante</v>
      </c>
      <c r="E40" s="756" t="str">
        <f t="shared" ca="1" si="116"/>
        <v>-</v>
      </c>
      <c r="F40" s="756" t="str">
        <f t="shared" ca="1" si="117"/>
        <v>P.1 (2)</v>
      </c>
      <c r="G40" s="756"/>
      <c r="H40" s="756" t="str">
        <f t="shared" ca="1" si="118"/>
        <v>-</v>
      </c>
      <c r="I40" s="756" t="str">
        <f t="shared" ca="1" si="119"/>
        <v>-</v>
      </c>
      <c r="J40" s="756"/>
      <c r="K40" s="756" t="str">
        <f t="shared" ca="1" si="120"/>
        <v>-</v>
      </c>
      <c r="L40" s="756" t="str">
        <f t="shared" ca="1" si="121"/>
        <v>-</v>
      </c>
      <c r="M40" s="756"/>
      <c r="N40" s="756" t="str">
        <f t="shared" ca="1" si="122"/>
        <v>-</v>
      </c>
      <c r="O40" s="756" t="str">
        <f t="shared" ca="1" si="123"/>
        <v>-</v>
      </c>
      <c r="P40" s="756"/>
      <c r="Q40" s="756" t="str">
        <f t="shared" ca="1" si="124"/>
        <v>-</v>
      </c>
      <c r="R40" s="756" t="str">
        <f t="shared" ca="1" si="125"/>
        <v>-</v>
      </c>
      <c r="S40" s="756"/>
      <c r="T40" s="756" t="str">
        <f t="shared" ca="1" si="126"/>
        <v>-</v>
      </c>
      <c r="U40" s="756" t="str">
        <f t="shared" ca="1" si="127"/>
        <v>-</v>
      </c>
      <c r="V40" s="178"/>
      <c r="W40" s="81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1</v>
      </c>
      <c r="AH40" s="202">
        <v>55</v>
      </c>
      <c r="AI40" s="19" t="str">
        <f t="shared" si="133"/>
        <v>3E</v>
      </c>
      <c r="AJ40" s="227">
        <v>3</v>
      </c>
      <c r="AK40" s="494" t="str" cm="1">
        <f t="array" aca="1" ref="AK40" ca="1">Ver_flag_visit</f>
        <v>🇪🇨</v>
      </c>
      <c r="AL40" s="228" t="str">
        <f ca="1">IFERROR(INDEX($BD$6:$BD$53,MATCH(AI40,$BN$6:$BN$53,0)),"")</f>
        <v>Ecuador</v>
      </c>
      <c r="AM40" s="229">
        <f t="shared" ca="1" si="132"/>
        <v>4</v>
      </c>
      <c r="AN40" s="230">
        <f t="shared" ca="1" si="132"/>
        <v>3</v>
      </c>
      <c r="AO40" s="230">
        <f t="shared" ca="1" si="132"/>
        <v>1</v>
      </c>
      <c r="AP40" s="230">
        <f t="shared" ca="1" si="132"/>
        <v>1</v>
      </c>
      <c r="AQ40" s="230">
        <f t="shared" ca="1" si="132"/>
        <v>1</v>
      </c>
      <c r="AR40" s="230">
        <f t="shared" ca="1" si="132"/>
        <v>2</v>
      </c>
      <c r="AS40" s="230">
        <f t="shared" ca="1" si="132"/>
        <v>2</v>
      </c>
      <c r="AT40" s="231">
        <f t="shared" ca="1" si="132"/>
        <v>0</v>
      </c>
      <c r="AU40" s="428">
        <f ca="1">INDEX($DL$6:$DL$53,MATCH(AI40,$DP$6:$DP$53,0))</f>
        <v>1</v>
      </c>
      <c r="AV40" s="223" t="str">
        <f ca="1">INDEX($BD$6:$BD$53,MATCH(AI40,$BM$6:$BM$53,0))</f>
        <v>Ecuador</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3</v>
      </c>
      <c r="BG40" s="760">
        <f t="shared" ca="1" si="17"/>
        <v>0</v>
      </c>
      <c r="BH40" s="760">
        <f t="shared" ca="1" si="18"/>
        <v>0</v>
      </c>
      <c r="BI40" s="760">
        <f t="shared" ca="1" si="19"/>
        <v>3</v>
      </c>
      <c r="BJ40" s="760">
        <f t="shared" ca="1" si="20"/>
        <v>1</v>
      </c>
      <c r="BK40" s="760">
        <f t="shared" ca="1" si="21"/>
        <v>12</v>
      </c>
      <c r="BL40" s="760">
        <f t="shared" ca="1" si="27"/>
        <v>-11</v>
      </c>
      <c r="BM40" s="760" t="str">
        <f t="shared" ca="1" si="22"/>
        <v>4I</v>
      </c>
      <c r="BN40" s="760" t="str">
        <f t="shared" ca="1" si="23"/>
        <v>4I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4</v>
      </c>
      <c r="BT40" s="769" t="str">
        <f ca="1">IF(COUNTIFS($BS$6:$BS$53,BS40,$BC$6:$BC$53,INDEX(T_Equipos[Grupo],MATCH(BD40,T_Equipos[NombreEquipo],0)))=1,"-","P."&amp;BS40&amp;" ("&amp;COUNTIFS($BS$6:$BS$53,BS40,$BC$6:$BC$53,INDEX(T_Equipos[Grupo],MATCH(BD40,T_Equipos[NombreEquipo],0)))&amp;")")</f>
        <v>-</v>
      </c>
      <c r="BU40" s="770" t="str">
        <f t="shared" ca="1" si="36"/>
        <v>-</v>
      </c>
      <c r="BV40" s="770" t="str">
        <f t="shared" ca="1" si="37"/>
        <v>-</v>
      </c>
      <c r="BW40" s="770" t="str">
        <f t="shared" ca="1" si="38"/>
        <v>-</v>
      </c>
      <c r="BX40" s="770" t="str">
        <f t="shared" ca="1" si="39"/>
        <v>-</v>
      </c>
      <c r="BY40" s="770">
        <f ca="1">BS40+COUNTIFS($BT$6:$BT$53,BT40,$BX$6:BX$53,"&gt;"&amp;BX40,$BC$6:$BC$53,INDEX(T_Equipos[Grupo],MATCH(BD40,T_Equipos[NombreEquipo],0)))</f>
        <v>4</v>
      </c>
      <c r="BZ40" s="769" t="str">
        <f ca="1">IF(COUNTIFS($BY$6:$BY$53,BY40,$BC$6:$BC$53,INDEX(T_Equipos[Grupo],MATCH(BD40,T_Equipos[NombreEquipo],0)))=1,"-","P."&amp;BY40&amp;" ("&amp;COUNTIFS($BY$6:$BY$53,BY40,$BC$6:$BC$53,INDEX(T_Equipos[Grupo],MATCH(BD40,T_Equipos[NombreEquipo],0)))&amp;")")</f>
        <v>-</v>
      </c>
      <c r="CA40" s="770" t="str">
        <f t="shared" ca="1" si="40"/>
        <v>-</v>
      </c>
      <c r="CB40" s="770" t="str">
        <f t="shared" ca="1" si="41"/>
        <v>-</v>
      </c>
      <c r="CC40" s="770" t="str">
        <f t="shared" ca="1" si="42"/>
        <v>-</v>
      </c>
      <c r="CD40" s="770">
        <f ca="1">BY40+COUNTIFS($BZ$6:$BZ$53,BZ40,$CC$6:CC$53,"&gt;"&amp;CC40,$BC$6:$BC$53,INDEX(T_Equipos[Grupo],MATCH(BD40,T_Equipos[NombreEquipo],0)))</f>
        <v>4</v>
      </c>
      <c r="CE40" s="769" t="str">
        <f ca="1">IF(COUNTIFS($CD$6:$CD$53,CD40,$BC$6:$BC$53,INDEX(T_Equipos[Grupo],MATCH(BD40,T_Equipos[NombreEquipo],0)))=1,"-","P."&amp;CD40&amp;" ("&amp;COUNTIFS($CD$6:$CD$53,CD40,$BC$6:$BC$53,INDEX(T_Equipos[Grupo],MATCH(BD40,T_Equipos[NombreEquipo],0)))&amp;")")</f>
        <v>-</v>
      </c>
      <c r="CF40" s="770" t="str">
        <f t="shared" ca="1" si="43"/>
        <v>-</v>
      </c>
      <c r="CG40" s="770">
        <f ca="1">CD40+COUNTIFS($CE$6:$CE$53,CE40,$CF$6:CF$53,"&gt;"&amp;CF40,$BC$6:$BC$53,INDEX(T_Equipos[Grupo],MATCH(BD40,T_Equipos[NombreEquipo],0)))</f>
        <v>4</v>
      </c>
      <c r="CH40" s="769" t="str">
        <f ca="1">IF(COUNTIFS($CG$6:$CG$53,CG40,$BC$6:$BC$53,INDEX(T_Equipos[Grupo],MATCH(BD40,T_Equipos[NombreEquipo],0)))=1,"-","P."&amp;CG40&amp;" ("&amp;COUNTIFS($CG$6:$CG$53,CG40,$BC$6:$BC$53,INDEX(T_Equipos[Grupo],MATCH(BD40,T_Equipos[NombreEquipo],0)))&amp;")")</f>
        <v>-</v>
      </c>
      <c r="CI40" s="770" t="str">
        <f t="shared" ca="1" si="44"/>
        <v>-</v>
      </c>
      <c r="CJ40" s="770" t="str">
        <f t="shared" ca="1" si="45"/>
        <v>-</v>
      </c>
      <c r="CK40" s="770" t="str">
        <f t="shared" ca="1" si="46"/>
        <v>-</v>
      </c>
      <c r="CL40" s="770" t="str">
        <f t="shared" ca="1" si="47"/>
        <v>-</v>
      </c>
      <c r="CM40" s="770">
        <f ca="1">CG40+COUNTIFS($CH$6:$CH$53,CH40,$CL$6:CL$53,"&gt;"&amp;CL40,$BC$6:$BC$53,INDEX(T_Equipos[Grupo],MATCH(BD40,T_Equipos[NombreEquipo],0)))</f>
        <v>4</v>
      </c>
      <c r="CN40" s="769" t="str">
        <f ca="1">IF(COUNTIFS($CM$6:$CM$53,CM40,$BC$6:$BC$53,INDEX(T_Equipos[Grupo],MATCH(BD40,T_Equipos[NombreEquipo],0)))=1,"-","P."&amp;CM40&amp;" ("&amp;COUNTIFS($CM$6:$CM$53,CM40,$BC$6:$BC$53,INDEX(T_Equipos[Grupo],MATCH(BD40,T_Equipos[NombreEquipo],0)))&amp;")")</f>
        <v>-</v>
      </c>
      <c r="CO40" s="770" t="str">
        <f t="shared" ca="1" si="48"/>
        <v>-</v>
      </c>
      <c r="CP40" s="770" t="str">
        <f t="shared" ca="1" si="49"/>
        <v>-</v>
      </c>
      <c r="CQ40" s="770" t="str">
        <f t="shared" ca="1" si="50"/>
        <v>-</v>
      </c>
      <c r="CR40" s="770">
        <f ca="1">CM40+COUNTIFS($CN$6:$CN$53,CN40,$CQ$6:CQ$53,"&gt;"&amp;CQ40,$BC$6:$BC$53,INDEX(T_Equipos[Grupo],MATCH(BD40,T_Equipos[NombreEquipo],0)))</f>
        <v>4</v>
      </c>
      <c r="CS40" s="769" t="str">
        <f ca="1">IF(COUNTIFS($CR$6:$CR$53,CR40,$BC$6:$BC$53,INDEX(T_Equipos[Grupo],MATCH(BD40,T_Equipos[NombreEquipo],0)))=1,"-","P."&amp;CR40&amp;" ("&amp;COUNTIFS($CR$6:$CR$53,CR40,$BC$6:$BC$53,INDEX(T_Equipos[Grupo],MATCH(BD40,T_Equipos[NombreEquipo],0)))&amp;")")</f>
        <v>-</v>
      </c>
      <c r="CT40" s="770" t="str">
        <f t="shared" ca="1" si="51"/>
        <v>-</v>
      </c>
      <c r="CU40" s="770">
        <f ca="1">CR40+COUNTIFS($CS$6:$CS$53,CS40,$CT$6:CT$53,"&gt;"&amp;CT40,$BC$6:$BC$53,INDEX(T_Equipos[Grupo],MATCH(BD40,T_Equipos[NombreEquipo],0)))</f>
        <v>4</v>
      </c>
      <c r="CV40" s="769" t="str">
        <f ca="1">IF(COUNTIFS($CU$6:$CU$53,CU40,$BC$6:$BC$53,INDEX(T_Equipos[Grupo],MATCH(BD40,T_Equipos[NombreEquipo],0)))=1,"-","P."&amp;CU40&amp;" ("&amp;COUNTIFS($CU$6:$CU$53,CU40,$BC$6:$BC$53,INDEX(T_Equipos[Grupo],MATCH(BD40,T_Equipos[NombreEquipo],0)))&amp;")")</f>
        <v>-</v>
      </c>
      <c r="CW40" s="769" t="str">
        <f t="shared" ca="1" si="30"/>
        <v>-</v>
      </c>
      <c r="CX40" s="769">
        <f ca="1">CU40+COUNTIFS($CV$6:$CV$53,CV40,$CW$6:CW$53,"&gt;"&amp;CW40,$BC$6:$BC$53,INDEX(T_Equipos[Grupo],MATCH(BD40,T_Equipos[NombreEquipo],0)))</f>
        <v>4</v>
      </c>
      <c r="CY40" s="769" t="str">
        <f ca="1">IF(COUNTIFS($CX$6:$CX$53,CX40,$BC$6:$BC$53,INDEX(T_Equipos[Grupo],MATCH(BD40,T_Equipos[NombreEquipo],0)))=1,"-","P."&amp;CX40&amp;" ("&amp;COUNTIFS($CX$6:$CX$53,CX40,$BC$6:$BC$53,INDEX(T_Equipos[Grupo],MATCH(BD40,T_Equipos[NombreEquipo],0)))&amp;")")</f>
        <v>-</v>
      </c>
      <c r="CZ40" s="769" t="str">
        <f t="shared" ca="1" si="31"/>
        <v>-</v>
      </c>
      <c r="DA40" s="770">
        <f ca="1">CX40+COUNTIFS($CY$6:$CY$53,CY40,$CZ$6:CZ$53,"&gt;"&amp;CZ40,$BC$6:$BC$53,INDEX(T_Equipos[Grupo],MATCH(BD40,T_Equipos[NombreEquipo],0)))</f>
        <v>4</v>
      </c>
      <c r="DB40" s="769" t="str">
        <f ca="1">IF(COUNTIFS($DA$6:$DA$53,DA40,$BC$6:$BC$53,INDEX(T_Equipos[Grupo],MATCH(BD40,T_Equipos[NombreEquipo],0)))=1,"-","P."&amp;DA40&amp;" ("&amp;COUNTIFS($DA$6:$DA$53,DA40,$BC$6:$BC$53,INDEX(T_Equipos[Grupo],MATCH(BD40,T_Equipos[NombreEquipo],0)))&amp;")")</f>
        <v>-</v>
      </c>
      <c r="DC40" s="768" t="str">
        <f ca="1">IF(DB40="-","-",COUNTIFS(T_Equipos[Rank],"&lt;"&amp;INDEX(T_Equipos[Rank],MATCH(BD40,T_Equipos[NombreEquipo],0)),$BC$6:$BC$53,INDEX(T_Equipos[Grupo],MATCH(BD40,T_Equipos[NombreEquipo],0)))+1)</f>
        <v>-</v>
      </c>
      <c r="DD40" s="768">
        <f ca="1">DA40+COUNTIFS($DB$6:$DB$53,DB40,$DC$6:DC$53,"&lt;"&amp;DC40,$BC$6:$BC$53,INDEX(T_Equipos[Grupo],MATCH(BD40,T_Equipos[NombreEquipo],0)))</f>
        <v>4</v>
      </c>
      <c r="DE40" s="768"/>
      <c r="DF40" s="768">
        <f t="shared" ca="1" si="52"/>
        <v>4</v>
      </c>
      <c r="DG40" s="768" t="str">
        <f ca="1">IF(DB40="-","-",COUNTIFS(DF$6:DF$53,"&lt;"&amp;DF40,$BC$6:$BC$53,INDEX(T_Equipos[Grupo],MATCH(BD40,T_Equipos[NombreEquipo],0))))</f>
        <v>-</v>
      </c>
      <c r="DH40" s="768">
        <f ca="1">DA40+COUNTIFS(DB$6:DB$53,DB40,DG$6:DG$53,"&lt;"&amp;DG40,$BC$6:$BC$53,INDEX(T_Equipos[Grupo],MATCH(BD40,T_Equipos[NombreEquipo],0)))</f>
        <v>4</v>
      </c>
      <c r="DI40" s="756"/>
      <c r="DJ40" s="756">
        <f t="shared" ca="1" si="53"/>
        <v>3</v>
      </c>
      <c r="DK40" s="756">
        <f t="shared" ca="1" si="24"/>
        <v>12</v>
      </c>
      <c r="DL40" s="756">
        <f t="shared" ca="1" si="33"/>
        <v>1</v>
      </c>
      <c r="DM40" s="750" t="str">
        <f t="shared" ca="1" si="34"/>
        <v>3.1</v>
      </c>
      <c r="DN40" s="756" cm="1">
        <f t="array" aca="1" ref="DN40" ca="1">OFFSET(Horarios!$P$3,DJ40-1,0,DL40,1)</f>
        <v>3</v>
      </c>
      <c r="DO40" s="756"/>
      <c r="DP40" s="756" t="s">
        <v>440</v>
      </c>
      <c r="DQ40" s="756" t="str">
        <f t="shared" ca="1" si="35"/>
        <v>Senegal</v>
      </c>
      <c r="DR40" s="756"/>
      <c r="DS40" s="756"/>
      <c r="DT40" s="756" t="str">
        <f t="shared" ca="1" si="15"/>
        <v>Curazao-Costa de Marfil</v>
      </c>
      <c r="DU40" s="756"/>
      <c r="DV40" s="756"/>
      <c r="DW40" s="8"/>
    </row>
    <row r="41" spans="1:127" ht="17" customHeight="1" thickBot="1" x14ac:dyDescent="0.25">
      <c r="A41" s="751"/>
      <c r="B41" s="751"/>
      <c r="C41" s="751"/>
      <c r="D41" s="756" t="str">
        <f t="shared" si="115"/>
        <v>Local</v>
      </c>
      <c r="E41" s="756" t="str">
        <f t="shared" ca="1" si="116"/>
        <v>-</v>
      </c>
      <c r="F41" s="756" t="str">
        <f t="shared" ca="1" si="117"/>
        <v>P.1 (2)</v>
      </c>
      <c r="G41" s="756"/>
      <c r="H41" s="756" t="str">
        <f t="shared" ca="1" si="118"/>
        <v>-</v>
      </c>
      <c r="I41" s="756" t="str">
        <f t="shared" ca="1" si="119"/>
        <v>-</v>
      </c>
      <c r="J41" s="756"/>
      <c r="K41" s="756" t="str">
        <f t="shared" ca="1" si="120"/>
        <v>-</v>
      </c>
      <c r="L41" s="756" t="str">
        <f t="shared" ca="1" si="121"/>
        <v>-</v>
      </c>
      <c r="M41" s="756"/>
      <c r="N41" s="756" t="str">
        <f t="shared" ca="1" si="122"/>
        <v>-</v>
      </c>
      <c r="O41" s="756" t="str">
        <f t="shared" ca="1" si="123"/>
        <v>-</v>
      </c>
      <c r="P41" s="756"/>
      <c r="Q41" s="756" t="str">
        <f t="shared" ca="1" si="124"/>
        <v>-</v>
      </c>
      <c r="R41" s="756" t="str">
        <f t="shared" ca="1" si="125"/>
        <v>-</v>
      </c>
      <c r="S41" s="756"/>
      <c r="T41" s="756" t="str">
        <f t="shared" ca="1" si="126"/>
        <v>-</v>
      </c>
      <c r="U41" s="756" t="str">
        <f t="shared" ca="1" si="127"/>
        <v>-</v>
      </c>
      <c r="V41" s="178"/>
      <c r="W41" s="82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1</v>
      </c>
      <c r="AH41" s="202">
        <v>56</v>
      </c>
      <c r="AI41" s="19" t="str">
        <f t="shared" si="133"/>
        <v>4E</v>
      </c>
      <c r="AJ41" s="241">
        <v>4</v>
      </c>
      <c r="AK41" s="495" t="str" cm="1">
        <f t="array" aca="1" ref="AK41" ca="1">Ver_flag_visit</f>
        <v>🇨🇼</v>
      </c>
      <c r="AL41" s="242" t="str">
        <f ca="1">IFERROR(INDEX($BD$6:$BD$53,MATCH(AI41,$BN$6:$BN$53,0)),"")</f>
        <v>Curazao</v>
      </c>
      <c r="AM41" s="243">
        <f t="shared" ca="1" si="132"/>
        <v>1</v>
      </c>
      <c r="AN41" s="244">
        <f t="shared" ca="1" si="132"/>
        <v>3</v>
      </c>
      <c r="AO41" s="244">
        <f t="shared" ca="1" si="132"/>
        <v>0</v>
      </c>
      <c r="AP41" s="244">
        <f t="shared" ca="1" si="132"/>
        <v>1</v>
      </c>
      <c r="AQ41" s="244">
        <f t="shared" ca="1" si="132"/>
        <v>2</v>
      </c>
      <c r="AR41" s="244">
        <f t="shared" ca="1" si="132"/>
        <v>1</v>
      </c>
      <c r="AS41" s="244">
        <f t="shared" ca="1" si="132"/>
        <v>9</v>
      </c>
      <c r="AT41" s="245">
        <f t="shared" ca="1" si="132"/>
        <v>-8</v>
      </c>
      <c r="AU41" s="428">
        <f ca="1">INDEX($DL$6:$DL$53,MATCH(AI41,$DP$6:$DP$53,0))</f>
        <v>1</v>
      </c>
      <c r="AV41" s="223" t="str">
        <f ca="1">INDEX($BD$6:$BD$53,MATCH(AI41,$BM$6:$BM$53,0))</f>
        <v>Curazao</v>
      </c>
      <c r="AW41" s="435"/>
      <c r="AX41" s="224"/>
      <c r="AY41" s="246" t="str">
        <f ca="1">+A40</f>
        <v>Ecuador</v>
      </c>
      <c r="AZ41" s="247"/>
      <c r="BA41" s="181"/>
      <c r="BB41" s="756"/>
      <c r="BC41" s="768" t="str">
        <f ca="1">+INDEX(T_Equipos[Grupo],MATCH(WORLDCUP!BD41,T_Equipos[NombreEquipo],0))</f>
        <v>I</v>
      </c>
      <c r="BD41" s="756" t="str">
        <f ca="1">+Equipos!B37</f>
        <v>Noruega</v>
      </c>
      <c r="BE41" s="760">
        <f t="shared" ca="1" si="25"/>
        <v>6</v>
      </c>
      <c r="BF41" s="760">
        <f t="shared" ca="1" si="26"/>
        <v>3</v>
      </c>
      <c r="BG41" s="760">
        <f t="shared" ca="1" si="17"/>
        <v>2</v>
      </c>
      <c r="BH41" s="760">
        <f t="shared" ca="1" si="18"/>
        <v>0</v>
      </c>
      <c r="BI41" s="760">
        <f t="shared" ca="1" si="19"/>
        <v>1</v>
      </c>
      <c r="BJ41" s="760">
        <f t="shared" ca="1" si="20"/>
        <v>8</v>
      </c>
      <c r="BK41" s="760">
        <f t="shared" ca="1" si="21"/>
        <v>7</v>
      </c>
      <c r="BL41" s="760">
        <f t="shared" ca="1" si="27"/>
        <v>1</v>
      </c>
      <c r="BM41" s="760" t="str">
        <f t="shared" ca="1" si="22"/>
        <v>2I</v>
      </c>
      <c r="BN41" s="760" t="str">
        <f t="shared" ca="1" si="23"/>
        <v>2I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6</v>
      </c>
      <c r="BS41" s="769">
        <f ca="1">BP41+COUNTIFS($BQ$6:$BQ$53,BQ41,$BR$6:BR$53,"&gt;"&amp;BR41,$BC$6:$BC$53,INDEX(T_Equipos[Grupo],MATCH(BD41,T_Equipos[NombreEquipo],0)))</f>
        <v>2</v>
      </c>
      <c r="BT41" s="769" t="str">
        <f ca="1">IF(COUNTIFS($BS$6:$BS$53,BS41,$BC$6:$BC$53,INDEX(T_Equipos[Grupo],MATCH(BD41,T_Equipos[NombreEquipo],0)))=1,"-","P."&amp;BS41&amp;" ("&amp;COUNTIFS($BS$6:$BS$53,BS41,$BC$6:$BC$53,INDEX(T_Equipos[Grupo],MATCH(BD41,T_Equipos[NombreEquipo],0)))&amp;")")</f>
        <v>-</v>
      </c>
      <c r="BU41" s="770" t="str">
        <f t="shared" ca="1" si="36"/>
        <v>-</v>
      </c>
      <c r="BV41" s="770" t="str">
        <f t="shared" ca="1" si="37"/>
        <v>-</v>
      </c>
      <c r="BW41" s="770" t="str">
        <f t="shared" ca="1" si="38"/>
        <v>-</v>
      </c>
      <c r="BX41" s="770" t="str">
        <f t="shared" ca="1" si="39"/>
        <v>-</v>
      </c>
      <c r="BY41" s="770">
        <f ca="1">BS41+COUNTIFS($BT$6:$BT$53,BT41,$BX$6:BX$53,"&gt;"&amp;BX41,$BC$6:$BC$53,INDEX(T_Equipos[Grupo],MATCH(BD41,T_Equipos[NombreEquipo],0)))</f>
        <v>2</v>
      </c>
      <c r="BZ41" s="769" t="str">
        <f ca="1">IF(COUNTIFS($BY$6:$BY$53,BY41,$BC$6:$BC$53,INDEX(T_Equipos[Grupo],MATCH(BD41,T_Equipos[NombreEquipo],0)))=1,"-","P."&amp;BY41&amp;" ("&amp;COUNTIFS($BY$6:$BY$53,BY41,$BC$6:$BC$53,INDEX(T_Equipos[Grupo],MATCH(BD41,T_Equipos[NombreEquipo],0)))&amp;")")</f>
        <v>-</v>
      </c>
      <c r="CA41" s="770" t="str">
        <f t="shared" ca="1" si="40"/>
        <v>-</v>
      </c>
      <c r="CB41" s="770" t="str">
        <f t="shared" ca="1" si="41"/>
        <v>-</v>
      </c>
      <c r="CC41" s="770" t="str">
        <f t="shared" ca="1" si="42"/>
        <v>-</v>
      </c>
      <c r="CD41" s="770">
        <f ca="1">BY41+COUNTIFS($BZ$6:$BZ$53,BZ41,$CC$6:CC$53,"&gt;"&amp;CC41,$BC$6:$BC$53,INDEX(T_Equipos[Grupo],MATCH(BD41,T_Equipos[NombreEquipo],0)))</f>
        <v>2</v>
      </c>
      <c r="CE41" s="769" t="str">
        <f ca="1">IF(COUNTIFS($CD$6:$CD$53,CD41,$BC$6:$BC$53,INDEX(T_Equipos[Grupo],MATCH(BD41,T_Equipos[NombreEquipo],0)))=1,"-","P."&amp;CD41&amp;" ("&amp;COUNTIFS($CD$6:$CD$53,CD41,$BC$6:$BC$53,INDEX(T_Equipos[Grupo],MATCH(BD41,T_Equipos[NombreEquipo],0)))&amp;")")</f>
        <v>-</v>
      </c>
      <c r="CF41" s="770" t="str">
        <f t="shared" ca="1" si="43"/>
        <v>-</v>
      </c>
      <c r="CG41" s="770">
        <f ca="1">CD41+COUNTIFS($CE$6:$CE$53,CE41,$CF$6:CF$53,"&gt;"&amp;CF41,$BC$6:$BC$53,INDEX(T_Equipos[Grupo],MATCH(BD41,T_Equipos[NombreEquipo],0)))</f>
        <v>2</v>
      </c>
      <c r="CH41" s="769" t="str">
        <f ca="1">IF(COUNTIFS($CG$6:$CG$53,CG41,$BC$6:$BC$53,INDEX(T_Equipos[Grupo],MATCH(BD41,T_Equipos[NombreEquipo],0)))=1,"-","P."&amp;CG41&amp;" ("&amp;COUNTIFS($CG$6:$CG$53,CG41,$BC$6:$BC$53,INDEX(T_Equipos[Grupo],MATCH(BD41,T_Equipos[NombreEquipo],0)))&amp;")")</f>
        <v>-</v>
      </c>
      <c r="CI41" s="770" t="str">
        <f t="shared" ca="1" si="44"/>
        <v>-</v>
      </c>
      <c r="CJ41" s="770" t="str">
        <f t="shared" ca="1" si="45"/>
        <v>-</v>
      </c>
      <c r="CK41" s="770" t="str">
        <f t="shared" ca="1" si="46"/>
        <v>-</v>
      </c>
      <c r="CL41" s="770" t="str">
        <f t="shared" ca="1" si="47"/>
        <v>-</v>
      </c>
      <c r="CM41" s="770">
        <f ca="1">CG41+COUNTIFS($CH$6:$CH$53,CH41,$CL$6:CL$53,"&gt;"&amp;CL41,$BC$6:$BC$53,INDEX(T_Equipos[Grupo],MATCH(BD41,T_Equipos[NombreEquipo],0)))</f>
        <v>2</v>
      </c>
      <c r="CN41" s="769" t="str">
        <f ca="1">IF(COUNTIFS($CM$6:$CM$53,CM41,$BC$6:$BC$53,INDEX(T_Equipos[Grupo],MATCH(BD41,T_Equipos[NombreEquipo],0)))=1,"-","P."&amp;CM41&amp;" ("&amp;COUNTIFS($CM$6:$CM$53,CM41,$BC$6:$BC$53,INDEX(T_Equipos[Grupo],MATCH(BD41,T_Equipos[NombreEquipo],0)))&amp;")")</f>
        <v>-</v>
      </c>
      <c r="CO41" s="770" t="str">
        <f t="shared" ca="1" si="48"/>
        <v>-</v>
      </c>
      <c r="CP41" s="770" t="str">
        <f t="shared" ca="1" si="49"/>
        <v>-</v>
      </c>
      <c r="CQ41" s="770" t="str">
        <f t="shared" ca="1" si="50"/>
        <v>-</v>
      </c>
      <c r="CR41" s="770">
        <f ca="1">CM41+COUNTIFS($CN$6:$CN$53,CN41,$CQ$6:CQ$53,"&gt;"&amp;CQ41,$BC$6:$BC$53,INDEX(T_Equipos[Grupo],MATCH(BD41,T_Equipos[NombreEquipo],0)))</f>
        <v>2</v>
      </c>
      <c r="CS41" s="769" t="str">
        <f ca="1">IF(COUNTIFS($CR$6:$CR$53,CR41,$BC$6:$BC$53,INDEX(T_Equipos[Grupo],MATCH(BD41,T_Equipos[NombreEquipo],0)))=1,"-","P."&amp;CR41&amp;" ("&amp;COUNTIFS($CR$6:$CR$53,CR41,$BC$6:$BC$53,INDEX(T_Equipos[Grupo],MATCH(BD41,T_Equipos[NombreEquipo],0)))&amp;")")</f>
        <v>-</v>
      </c>
      <c r="CT41" s="770" t="str">
        <f t="shared" ca="1" si="51"/>
        <v>-</v>
      </c>
      <c r="CU41" s="770">
        <f ca="1">CR41+COUNTIFS($CS$6:$CS$53,CS41,$CT$6:CT$53,"&gt;"&amp;CT41,$BC$6:$BC$53,INDEX(T_Equipos[Grupo],MATCH(BD41,T_Equipos[NombreEquipo],0)))</f>
        <v>2</v>
      </c>
      <c r="CV41" s="769" t="str">
        <f ca="1">IF(COUNTIFS($CU$6:$CU$53,CU41,$BC$6:$BC$53,INDEX(T_Equipos[Grupo],MATCH(BD41,T_Equipos[NombreEquipo],0)))=1,"-","P."&amp;CU41&amp;" ("&amp;COUNTIFS($CU$6:$CU$53,CU41,$BC$6:$BC$53,INDEX(T_Equipos[Grupo],MATCH(BD41,T_Equipos[NombreEquipo],0)))&amp;")")</f>
        <v>-</v>
      </c>
      <c r="CW41" s="769" t="str">
        <f t="shared" ca="1" si="30"/>
        <v>-</v>
      </c>
      <c r="CX41" s="769">
        <f ca="1">CU41+COUNTIFS($CV$6:$CV$53,CV41,$CW$6:CW$53,"&gt;"&amp;CW41,$BC$6:$BC$53,INDEX(T_Equipos[Grupo],MATCH(BD41,T_Equipos[NombreEquipo],0)))</f>
        <v>2</v>
      </c>
      <c r="CY41" s="769" t="str">
        <f ca="1">IF(COUNTIFS($CX$6:$CX$53,CX41,$BC$6:$BC$53,INDEX(T_Equipos[Grupo],MATCH(BD41,T_Equipos[NombreEquipo],0)))=1,"-","P."&amp;CX41&amp;" ("&amp;COUNTIFS($CX$6:$CX$53,CX41,$BC$6:$BC$53,INDEX(T_Equipos[Grupo],MATCH(BD41,T_Equipos[NombreEquipo],0)))&amp;")")</f>
        <v>-</v>
      </c>
      <c r="CZ41" s="769" t="str">
        <f t="shared" ca="1" si="31"/>
        <v>-</v>
      </c>
      <c r="DA41" s="770">
        <f ca="1">CX41+COUNTIFS($CY$6:$CY$53,CY41,$CZ$6:CZ$53,"&gt;"&amp;CZ41,$BC$6:$BC$53,INDEX(T_Equipos[Grupo],MATCH(BD41,T_Equipos[NombreEquipo],0)))</f>
        <v>2</v>
      </c>
      <c r="DB41" s="769" t="str">
        <f ca="1">IF(COUNTIFS($DA$6:$DA$53,DA41,$BC$6:$BC$53,INDEX(T_Equipos[Grupo],MATCH(BD41,T_Equipos[NombreEquipo],0)))=1,"-","P."&amp;DA41&amp;" ("&amp;COUNTIFS($DA$6:$DA$53,DA41,$BC$6:$BC$53,INDEX(T_Equipos[Grupo],MATCH(BD41,T_Equipos[NombreEquipo],0)))&amp;")")</f>
        <v>-</v>
      </c>
      <c r="DC41" s="768" t="str">
        <f ca="1">IF(DB41="-","-",COUNTIFS(T_Equipos[Rank],"&lt;"&amp;INDEX(T_Equipos[Rank],MATCH(BD41,T_Equipos[NombreEquipo],0)),$BC$6:$BC$53,INDEX(T_Equipos[Grupo],MATCH(BD41,T_Equipos[NombreEquipo],0)))+1)</f>
        <v>-</v>
      </c>
      <c r="DD41" s="768">
        <f ca="1">DA41+COUNTIFS($DB$6:$DB$53,DB41,$DC$6:DC$53,"&lt;"&amp;DC41,$BC$6:$BC$53,INDEX(T_Equipos[Grupo],MATCH(BD41,T_Equipos[NombreEquipo],0)))</f>
        <v>2</v>
      </c>
      <c r="DE41" s="768"/>
      <c r="DF41" s="768">
        <f t="shared" ca="1" si="52"/>
        <v>2</v>
      </c>
      <c r="DG41" s="768" t="str">
        <f ca="1">IF(DB41="-","-",COUNTIFS(DF$6:DF$53,"&lt;"&amp;DF41,$BC$6:$BC$53,INDEX(T_Equipos[Grupo],MATCH(BD41,T_Equipos[NombreEquipo],0))))</f>
        <v>-</v>
      </c>
      <c r="DH41" s="768">
        <f ca="1">DA41+COUNTIFS(DB$6:DB$53,DB41,DG$6:DG$53,"&lt;"&amp;DG41,$BC$6:$BC$53,INDEX(T_Equipos[Grupo],MATCH(BD41,T_Equipos[NombreEquipo],0)))</f>
        <v>2</v>
      </c>
      <c r="DI41" s="756"/>
      <c r="DJ41" s="756">
        <f t="shared" ca="1" si="53"/>
        <v>4</v>
      </c>
      <c r="DK41" s="756">
        <f t="shared" ca="1" si="24"/>
        <v>12</v>
      </c>
      <c r="DL41" s="756">
        <f t="shared" ca="1" si="33"/>
        <v>1</v>
      </c>
      <c r="DM41" s="750" t="str">
        <f t="shared" ca="1" si="34"/>
        <v>4.1</v>
      </c>
      <c r="DN41" s="756" cm="1">
        <f t="array" aca="1" ref="DN41" ca="1">OFFSET(Horarios!$P$3,DJ41-1,0,DL41,1)</f>
        <v>4</v>
      </c>
      <c r="DO41" s="756"/>
      <c r="DP41" s="756" t="s">
        <v>675</v>
      </c>
      <c r="DQ41" s="756" t="str">
        <f t="shared" ca="1" si="35"/>
        <v>Irak</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9</v>
      </c>
      <c r="BF42" s="760">
        <f t="shared" ca="1" si="26"/>
        <v>3</v>
      </c>
      <c r="BG42" s="760">
        <f t="shared" ca="1" si="17"/>
        <v>3</v>
      </c>
      <c r="BH42" s="760">
        <f t="shared" ca="1" si="18"/>
        <v>0</v>
      </c>
      <c r="BI42" s="760">
        <f t="shared" ca="1" si="19"/>
        <v>0</v>
      </c>
      <c r="BJ42" s="760">
        <f t="shared" ca="1" si="20"/>
        <v>8</v>
      </c>
      <c r="BK42" s="760">
        <f t="shared" ca="1" si="21"/>
        <v>1</v>
      </c>
      <c r="BL42" s="760">
        <f t="shared" ca="1" si="27"/>
        <v>7</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9</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v>
      </c>
      <c r="BU42" s="770" t="str">
        <f t="shared" ca="1" si="36"/>
        <v>-</v>
      </c>
      <c r="BV42" s="770" t="str">
        <f t="shared" ca="1" si="37"/>
        <v>-</v>
      </c>
      <c r="BW42" s="770" t="str">
        <f t="shared" ca="1" si="38"/>
        <v>-</v>
      </c>
      <c r="BX42" s="770" t="str">
        <f t="shared" ca="1" si="39"/>
        <v>-</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v>
      </c>
      <c r="CA42" s="770" t="str">
        <f t="shared" ca="1" si="40"/>
        <v>-</v>
      </c>
      <c r="CB42" s="770" t="str">
        <f t="shared" ca="1" si="41"/>
        <v>-</v>
      </c>
      <c r="CC42" s="770" t="str">
        <f t="shared" ca="1" si="42"/>
        <v>-</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v>
      </c>
      <c r="CF42" s="770" t="str">
        <f t="shared" ca="1" si="43"/>
        <v>-</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v>
      </c>
      <c r="CI42" s="770" t="str">
        <f t="shared" ca="1" si="44"/>
        <v>-</v>
      </c>
      <c r="CJ42" s="770" t="str">
        <f t="shared" ca="1" si="45"/>
        <v>-</v>
      </c>
      <c r="CK42" s="770" t="str">
        <f t="shared" ca="1" si="46"/>
        <v>-</v>
      </c>
      <c r="CL42" s="770" t="str">
        <f t="shared" ca="1" si="47"/>
        <v>-</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v>
      </c>
      <c r="CO42" s="770" t="str">
        <f t="shared" ca="1" si="48"/>
        <v>-</v>
      </c>
      <c r="CP42" s="770" t="str">
        <f t="shared" ca="1" si="49"/>
        <v>-</v>
      </c>
      <c r="CQ42" s="770" t="str">
        <f t="shared" ca="1" si="50"/>
        <v>-</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v>
      </c>
      <c r="CT42" s="770" t="str">
        <f t="shared" ca="1" si="51"/>
        <v>-</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v>
      </c>
      <c r="CW42" s="769" t="str">
        <f t="shared" ca="1" si="30"/>
        <v>-</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v>
      </c>
      <c r="CZ42" s="769" t="str">
        <f t="shared" ca="1" si="31"/>
        <v>-</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v>
      </c>
      <c r="DC42" s="768" t="str">
        <f ca="1">IF(DB42="-","-",COUNTIFS(T_Equipos[Rank],"&lt;"&amp;INDEX(T_Equipos[Rank],MATCH(BD42,T_Equipos[NombreEquipo],0)),$BC$6:$BC$53,INDEX(T_Equipos[Grupo],MATCH(BD42,T_Equipos[NombreEquipo],0)))+1)</f>
        <v>-</v>
      </c>
      <c r="DD42" s="768">
        <f ca="1">DA42+COUNTIFS($DB$6:$DB$53,DB42,$DC$6:DC$53,"&lt;"&amp;DC42,$BC$6:$BC$53,INDEX(T_Equipos[Grupo],MATCH(BD42,T_Equipos[NombreEquipo],0)))</f>
        <v>1</v>
      </c>
      <c r="DE42" s="768"/>
      <c r="DF42" s="768">
        <f t="shared" ca="1" si="52"/>
        <v>1</v>
      </c>
      <c r="DG42" s="768" t="str">
        <f ca="1">IF(DB42="-","-",COUNTIFS(DF$6:DF$53,"&lt;"&amp;DF42,$BC$6:$BC$53,INDEX(T_Equipos[Grupo],MATCH(BD42,T_Equipos[NombreEquipo],0))))</f>
        <v>-</v>
      </c>
      <c r="DH42" s="768">
        <f ca="1">DA42+COUNTIFS(DB$6:DB$53,DB42,DG$6:DG$53,"&lt;"&amp;DG42,$BC$6:$BC$53,INDEX(T_Equipos[Grupo],MATCH(BD42,T_Equipos[NombreEquipo],0)))</f>
        <v>1</v>
      </c>
      <c r="DI42" s="756"/>
      <c r="DJ42" s="756">
        <f t="shared" ca="1" si="53"/>
        <v>1</v>
      </c>
      <c r="DK42" s="756">
        <f t="shared" ca="1" si="24"/>
        <v>12</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4</v>
      </c>
      <c r="BF43" s="760">
        <f t="shared" ca="1" si="26"/>
        <v>3</v>
      </c>
      <c r="BG43" s="760">
        <f t="shared" ca="1" si="17"/>
        <v>1</v>
      </c>
      <c r="BH43" s="760">
        <f t="shared" ca="1" si="18"/>
        <v>1</v>
      </c>
      <c r="BI43" s="760">
        <f t="shared" ca="1" si="19"/>
        <v>1</v>
      </c>
      <c r="BJ43" s="760">
        <f t="shared" ca="1" si="20"/>
        <v>5</v>
      </c>
      <c r="BK43" s="760">
        <f t="shared" ca="1" si="21"/>
        <v>7</v>
      </c>
      <c r="BL43" s="760">
        <f t="shared" ca="1" si="27"/>
        <v>-2</v>
      </c>
      <c r="BM43" s="760" t="str">
        <f t="shared" ca="1" si="22"/>
        <v>3J</v>
      </c>
      <c r="BN43" s="760" t="str">
        <f t="shared" ca="1" si="23"/>
        <v>3J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4</v>
      </c>
      <c r="BS43" s="769">
        <f ca="1">BP43+COUNTIFS($BQ$6:$BQ$53,BQ43,$BR$6:BR$53,"&gt;"&amp;BR43,$BC$6:$BC$53,INDEX(T_Equipos[Grupo],MATCH(BD43,T_Equipos[NombreEquipo],0)))</f>
        <v>2</v>
      </c>
      <c r="BT43" s="769" t="str">
        <f ca="1">IF(COUNTIFS($BS$6:$BS$53,BS43,$BC$6:$BC$53,INDEX(T_Equipos[Grupo],MATCH(BD43,T_Equipos[NombreEquipo],0)))=1,"-","P."&amp;BS43&amp;" ("&amp;COUNTIFS($BS$6:$BS$53,BS43,$BC$6:$BC$53,INDEX(T_Equipos[Grupo],MATCH(BD43,T_Equipos[NombreEquipo],0)))&amp;")")</f>
        <v>P.2 (2)</v>
      </c>
      <c r="BU43" s="770">
        <f t="shared" ca="1" si="36"/>
        <v>0</v>
      </c>
      <c r="BV43" s="770">
        <f t="shared" ca="1" si="37"/>
        <v>1</v>
      </c>
      <c r="BW43" s="770">
        <f t="shared" ca="1" si="38"/>
        <v>0</v>
      </c>
      <c r="BX43" s="770">
        <f t="shared" ca="1" si="39"/>
        <v>1</v>
      </c>
      <c r="BY43" s="770">
        <f ca="1">BS43+COUNTIFS($BT$6:$BT$53,BT43,$BX$6:BX$53,"&gt;"&amp;BX43,$BC$6:$BC$53,INDEX(T_Equipos[Grupo],MATCH(BD43,T_Equipos[NombreEquipo],0)))</f>
        <v>2</v>
      </c>
      <c r="BZ43" s="769" t="str">
        <f ca="1">IF(COUNTIFS($BY$6:$BY$53,BY43,$BC$6:$BC$53,INDEX(T_Equipos[Grupo],MATCH(BD43,T_Equipos[NombreEquipo],0)))=1,"-","P."&amp;BY43&amp;" ("&amp;COUNTIFS($BY$6:$BY$53,BY43,$BC$6:$BC$53,INDEX(T_Equipos[Grupo],MATCH(BD43,T_Equipos[NombreEquipo],0)))&amp;")")</f>
        <v>P.2 (2)</v>
      </c>
      <c r="CA43" s="770">
        <f t="shared" ca="1" si="40"/>
        <v>3</v>
      </c>
      <c r="CB43" s="770">
        <f t="shared" ca="1" si="41"/>
        <v>3</v>
      </c>
      <c r="CC43" s="770">
        <f t="shared" ca="1" si="42"/>
        <v>0</v>
      </c>
      <c r="CD43" s="770">
        <f ca="1">BY43+COUNTIFS($BZ$6:$BZ$53,BZ43,$CC$6:CC$53,"&gt;"&amp;CC43,$BC$6:$BC$53,INDEX(T_Equipos[Grupo],MATCH(BD43,T_Equipos[NombreEquipo],0)))</f>
        <v>2</v>
      </c>
      <c r="CE43" s="769" t="str">
        <f ca="1">IF(COUNTIFS($CD$6:$CD$53,CD43,$BC$6:$BC$53,INDEX(T_Equipos[Grupo],MATCH(BD43,T_Equipos[NombreEquipo],0)))=1,"-","P."&amp;CD43&amp;" ("&amp;COUNTIFS($CD$6:$CD$53,CD43,$BC$6:$BC$53,INDEX(T_Equipos[Grupo],MATCH(BD43,T_Equipos[NombreEquipo],0)))&amp;")")</f>
        <v>P.2 (2)</v>
      </c>
      <c r="CF43" s="770">
        <f t="shared" ca="1" si="43"/>
        <v>3</v>
      </c>
      <c r="CG43" s="770">
        <f ca="1">CD43+COUNTIFS($CE$6:$CE$53,CE43,$CF$6:CF$53,"&gt;"&amp;CF43,$BC$6:$BC$53,INDEX(T_Equipos[Grupo],MATCH(BD43,T_Equipos[NombreEquipo],0)))</f>
        <v>2</v>
      </c>
      <c r="CH43" s="769" t="str">
        <f ca="1">IF(COUNTIFS($CG$6:$CG$53,CG43,$BC$6:$BC$53,INDEX(T_Equipos[Grupo],MATCH(BD43,T_Equipos[NombreEquipo],0)))=1,"-","P."&amp;CG43&amp;" ("&amp;COUNTIFS($CG$6:$CG$53,CG43,$BC$6:$BC$53,INDEX(T_Equipos[Grupo],MATCH(BD43,T_Equipos[NombreEquipo],0)))&amp;")")</f>
        <v>P.2 (2)</v>
      </c>
      <c r="CI43" s="770">
        <f t="shared" ca="1" si="44"/>
        <v>0</v>
      </c>
      <c r="CJ43" s="770">
        <f t="shared" ca="1" si="45"/>
        <v>1</v>
      </c>
      <c r="CK43" s="770">
        <f t="shared" ca="1" si="46"/>
        <v>0</v>
      </c>
      <c r="CL43" s="770">
        <f t="shared" ca="1" si="47"/>
        <v>1</v>
      </c>
      <c r="CM43" s="770">
        <f ca="1">CG43+COUNTIFS($CH$6:$CH$53,CH43,$CL$6:CL$53,"&gt;"&amp;CL43,$BC$6:$BC$53,INDEX(T_Equipos[Grupo],MATCH(BD43,T_Equipos[NombreEquipo],0)))</f>
        <v>2</v>
      </c>
      <c r="CN43" s="769" t="str">
        <f ca="1">IF(COUNTIFS($CM$6:$CM$53,CM43,$BC$6:$BC$53,INDEX(T_Equipos[Grupo],MATCH(BD43,T_Equipos[NombreEquipo],0)))=1,"-","P."&amp;CM43&amp;" ("&amp;COUNTIFS($CM$6:$CM$53,CM43,$BC$6:$BC$53,INDEX(T_Equipos[Grupo],MATCH(BD43,T_Equipos[NombreEquipo],0)))&amp;")")</f>
        <v>P.2 (2)</v>
      </c>
      <c r="CO43" s="770">
        <f t="shared" ca="1" si="48"/>
        <v>3</v>
      </c>
      <c r="CP43" s="770">
        <f t="shared" ca="1" si="49"/>
        <v>3</v>
      </c>
      <c r="CQ43" s="770">
        <f t="shared" ca="1" si="50"/>
        <v>0</v>
      </c>
      <c r="CR43" s="770">
        <f ca="1">CM43+COUNTIFS($CN$6:$CN$53,CN43,$CQ$6:CQ$53,"&gt;"&amp;CQ43,$BC$6:$BC$53,INDEX(T_Equipos[Grupo],MATCH(BD43,T_Equipos[NombreEquipo],0)))</f>
        <v>2</v>
      </c>
      <c r="CS43" s="769" t="str">
        <f ca="1">IF(COUNTIFS($CR$6:$CR$53,CR43,$BC$6:$BC$53,INDEX(T_Equipos[Grupo],MATCH(BD43,T_Equipos[NombreEquipo],0)))=1,"-","P."&amp;CR43&amp;" ("&amp;COUNTIFS($CR$6:$CR$53,CR43,$BC$6:$BC$53,INDEX(T_Equipos[Grupo],MATCH(BD43,T_Equipos[NombreEquipo],0)))&amp;")")</f>
        <v>P.2 (2)</v>
      </c>
      <c r="CT43" s="770">
        <f t="shared" ca="1" si="51"/>
        <v>3</v>
      </c>
      <c r="CU43" s="770">
        <f ca="1">CR43+COUNTIFS($CS$6:$CS$53,CS43,$CT$6:CT$53,"&gt;"&amp;CT43,$BC$6:$BC$53,INDEX(T_Equipos[Grupo],MATCH(BD43,T_Equipos[NombreEquipo],0)))</f>
        <v>2</v>
      </c>
      <c r="CV43" s="769" t="str">
        <f ca="1">IF(COUNTIFS($CU$6:$CU$53,CU43,$BC$6:$BC$53,INDEX(T_Equipos[Grupo],MATCH(BD43,T_Equipos[NombreEquipo],0)))=1,"-","P."&amp;CU43&amp;" ("&amp;COUNTIFS($CU$6:$CU$53,CU43,$BC$6:$BC$53,INDEX(T_Equipos[Grupo],MATCH(BD43,T_Equipos[NombreEquipo],0)))&amp;")")</f>
        <v>P.2 (2)</v>
      </c>
      <c r="CW43" s="769">
        <f t="shared" ca="1" si="30"/>
        <v>-2</v>
      </c>
      <c r="CX43" s="769">
        <f ca="1">CU43+COUNTIFS($CV$6:$CV$53,CV43,$CW$6:CW$53,"&gt;"&amp;CW43,$BC$6:$BC$53,INDEX(T_Equipos[Grupo],MATCH(BD43,T_Equipos[NombreEquipo],0)))</f>
        <v>3</v>
      </c>
      <c r="CY43" s="769" t="str">
        <f ca="1">IF(COUNTIFS($CX$6:$CX$53,CX43,$BC$6:$BC$53,INDEX(T_Equipos[Grupo],MATCH(BD43,T_Equipos[NombreEquipo],0)))=1,"-","P."&amp;CX43&amp;" ("&amp;COUNTIFS($CX$6:$CX$53,CX43,$BC$6:$BC$53,INDEX(T_Equipos[Grupo],MATCH(BD43,T_Equipos[NombreEquipo],0)))&amp;")")</f>
        <v>-</v>
      </c>
      <c r="CZ43" s="769" t="str">
        <f t="shared" ca="1" si="31"/>
        <v>-</v>
      </c>
      <c r="DA43" s="770">
        <f ca="1">CX43+COUNTIFS($CY$6:$CY$53,CY43,$CZ$6:CZ$53,"&gt;"&amp;CZ43,$BC$6:$BC$53,INDEX(T_Equipos[Grupo],MATCH(BD43,T_Equipos[NombreEquipo],0)))</f>
        <v>3</v>
      </c>
      <c r="DB43" s="769" t="str">
        <f ca="1">IF(COUNTIFS($DA$6:$DA$53,DA43,$BC$6:$BC$53,INDEX(T_Equipos[Grupo],MATCH(BD43,T_Equipos[NombreEquipo],0)))=1,"-","P."&amp;DA43&amp;" ("&amp;COUNTIFS($DA$6:$DA$53,DA43,$BC$6:$BC$53,INDEX(T_Equipos[Grupo],MATCH(BD43,T_Equipos[NombreEquipo],0)))&amp;")")</f>
        <v>-</v>
      </c>
      <c r="DC43" s="768" t="str">
        <f ca="1">IF(DB43="-","-",COUNTIFS(T_Equipos[Rank],"&lt;"&amp;INDEX(T_Equipos[Rank],MATCH(BD43,T_Equipos[NombreEquipo],0)),$BC$6:$BC$53,INDEX(T_Equipos[Grupo],MATCH(BD43,T_Equipos[NombreEquipo],0)))+1)</f>
        <v>-</v>
      </c>
      <c r="DD43" s="768">
        <f ca="1">DA43+COUNTIFS($DB$6:$DB$53,DB43,$DC$6:DC$53,"&lt;"&amp;DC43,$BC$6:$BC$53,INDEX(T_Equipos[Grupo],MATCH(BD43,T_Equipos[NombreEquipo],0)))</f>
        <v>3</v>
      </c>
      <c r="DE43" s="768"/>
      <c r="DF43" s="768">
        <f t="shared" ca="1" si="52"/>
        <v>3</v>
      </c>
      <c r="DG43" s="768" t="str">
        <f ca="1">IF(DB43="-","-",COUNTIFS(DF$6:DF$53,"&lt;"&amp;DF43,$BC$6:$BC$53,INDEX(T_Equipos[Grupo],MATCH(BD43,T_Equipos[NombreEquipo],0))))</f>
        <v>-</v>
      </c>
      <c r="DH43" s="768">
        <f ca="1">DA43+COUNTIFS(DB$6:DB$53,DB43,DG$6:DG$53,"&lt;"&amp;DG43,$BC$6:$BC$53,INDEX(T_Equipos[Grupo],MATCH(BD43,T_Equipos[NombreEquipo],0)))</f>
        <v>3</v>
      </c>
      <c r="DI43" s="756"/>
      <c r="DJ43" s="756">
        <f t="shared" ca="1" si="53"/>
        <v>2</v>
      </c>
      <c r="DK43" s="756">
        <f t="shared" ca="1" si="24"/>
        <v>12</v>
      </c>
      <c r="DL43" s="756">
        <f t="shared" ca="1" si="33"/>
        <v>1</v>
      </c>
      <c r="DM43" s="750" t="str">
        <f t="shared" ca="1" si="34"/>
        <v>2.1</v>
      </c>
      <c r="DN43" s="756" cm="1">
        <f t="array" aca="1" ref="DN43" ca="1">OFFSET(Horarios!$P$3,DJ43-1,0,DL43,1)</f>
        <v>2</v>
      </c>
      <c r="DO43" s="756"/>
      <c r="DP43" s="756" t="s">
        <v>677</v>
      </c>
      <c r="DQ43" s="756" t="str">
        <f t="shared" ca="1" si="35"/>
        <v>Austria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Empate</v>
      </c>
      <c r="E44" s="756" t="str">
        <f t="shared" ref="E44:E49" ca="1" si="137">IF(D44="Pendiente","-",INDEX($BT$6:$BT$53,MATCH($AA44,$BD$6:$BD$53,0)))</f>
        <v>-</v>
      </c>
      <c r="F44" s="756" t="str">
        <f t="shared" ref="F44:F49" ca="1" si="138">IF(D44="Pendiente","-",INDEX($BT$6:$BT$53,MATCH($AF44,$BD$6:$BD$53,0)))</f>
        <v>-</v>
      </c>
      <c r="G44" s="756"/>
      <c r="H44" s="756" t="str">
        <f t="shared" ref="H44:H49" ca="1" si="139">IF(D44="Pendiente","-",INDEX($BZ$6:$BZ$53,MATCH($AA44,$BD$6:$BD$53,0)))</f>
        <v>-</v>
      </c>
      <c r="I44" s="756" t="str">
        <f t="shared" ref="I44:I49" ca="1" si="140">IF(D44="Pendiente","-",INDEX($BZ$6:$BZ$53,MATCH($AF44,$BD$6:$BD$53,0)))</f>
        <v>-</v>
      </c>
      <c r="J44" s="756"/>
      <c r="K44" s="756" t="str">
        <f t="shared" ref="K44:K49" ca="1" si="141">IF(D44="Pendiente","-",INDEX($CE$6:$CE$53,MATCH($AA44,$BD$6:$BD$53,0)))</f>
        <v>-</v>
      </c>
      <c r="L44" s="756" t="str">
        <f t="shared" ref="L44:L49" ca="1" si="142">IF(D44="Pendiente","-",INDEX($CE$6:$CE$53,MATCH($AF44,$BD$6:$BD$53,0)))</f>
        <v>-</v>
      </c>
      <c r="M44" s="756"/>
      <c r="N44" s="756" t="str">
        <f t="shared" ref="N44:N49" ca="1" si="143">IF(D44="Pendiente","-",INDEX($CH$6:$CH$53,MATCH($AA44,$BD$6:$BD$53,0)))</f>
        <v>-</v>
      </c>
      <c r="O44" s="756" t="str">
        <f t="shared" ref="O44:O49" ca="1" si="144">IF(D44="Pendiente","-",INDEX($CH$6:$CH$53,MATCH($AF44,$BD$6:$BD$53,0)))</f>
        <v>-</v>
      </c>
      <c r="P44" s="756"/>
      <c r="Q44" s="756" t="str">
        <f t="shared" ref="Q44:Q49" ca="1" si="145">IF(D44="Pendiente","-",INDEX($CN$6:$CN$53,MATCH($AA44,$BD$6:$BD$53,0)))</f>
        <v>-</v>
      </c>
      <c r="R44" s="756" t="str">
        <f t="shared" ref="R44:R49" ca="1" si="146">IF(D44="Pendiente","-",INDEX($CN$6:$CN$53,MATCH($AF44,$BD$6:$BD$53,0)))</f>
        <v>-</v>
      </c>
      <c r="S44" s="756"/>
      <c r="T44" s="756" t="str">
        <f t="shared" ref="T44:T49" ca="1" si="147">IF(D44="Pendiente","-",INDEX($CS$6:$CS$53,MATCH($AA44,$BD$6:$BD$53,0)))</f>
        <v>-</v>
      </c>
      <c r="U44" s="756" t="str">
        <f t="shared" ref="U44:U49" ca="1" si="148">IF(D44="Pendiente","-",INDEX($CS$6:$CS$53,MATCH($AF44,$BD$6:$BD$53,0)))</f>
        <v>-</v>
      </c>
      <c r="V44" s="178"/>
      <c r="W44" s="829"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1</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4</v>
      </c>
      <c r="BF44" s="760">
        <f t="shared" ca="1" si="26"/>
        <v>3</v>
      </c>
      <c r="BG44" s="760">
        <f t="shared" ca="1" si="17"/>
        <v>1</v>
      </c>
      <c r="BH44" s="760">
        <f t="shared" ca="1" si="18"/>
        <v>1</v>
      </c>
      <c r="BI44" s="760">
        <f t="shared" ca="1" si="19"/>
        <v>1</v>
      </c>
      <c r="BJ44" s="760">
        <f t="shared" ca="1" si="20"/>
        <v>6</v>
      </c>
      <c r="BK44" s="760">
        <f t="shared" ca="1" si="21"/>
        <v>6</v>
      </c>
      <c r="BL44" s="760">
        <f t="shared" ca="1" si="27"/>
        <v>0</v>
      </c>
      <c r="BM44" s="760" t="str">
        <f t="shared" ca="1" si="22"/>
        <v>2J</v>
      </c>
      <c r="BN44" s="760" t="str">
        <f t="shared" ca="1" si="23"/>
        <v>2J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4</v>
      </c>
      <c r="BS44" s="769">
        <f ca="1">BP44+COUNTIFS($BQ$6:$BQ$53,BQ44,$BR$6:BR$53,"&gt;"&amp;BR44,$BC$6:$BC$53,INDEX(T_Equipos[Grupo],MATCH(BD44,T_Equipos[NombreEquipo],0)))</f>
        <v>2</v>
      </c>
      <c r="BT44" s="769" t="str">
        <f ca="1">IF(COUNTIFS($BS$6:$BS$53,BS44,$BC$6:$BC$53,INDEX(T_Equipos[Grupo],MATCH(BD44,T_Equipos[NombreEquipo],0)))=1,"-","P."&amp;BS44&amp;" ("&amp;COUNTIFS($BS$6:$BS$53,BS44,$BC$6:$BC$53,INDEX(T_Equipos[Grupo],MATCH(BD44,T_Equipos[NombreEquipo],0)))&amp;")")</f>
        <v>P.2 (2)</v>
      </c>
      <c r="BU44" s="770">
        <f t="shared" ca="1" si="36"/>
        <v>0</v>
      </c>
      <c r="BV44" s="770">
        <f t="shared" ca="1" si="37"/>
        <v>1</v>
      </c>
      <c r="BW44" s="770">
        <f t="shared" ca="1" si="38"/>
        <v>0</v>
      </c>
      <c r="BX44" s="770">
        <f t="shared" ca="1" si="39"/>
        <v>1</v>
      </c>
      <c r="BY44" s="770">
        <f ca="1">BS44+COUNTIFS($BT$6:$BT$53,BT44,$BX$6:BX$53,"&gt;"&amp;BX44,$BC$6:$BC$53,INDEX(T_Equipos[Grupo],MATCH(BD44,T_Equipos[NombreEquipo],0)))</f>
        <v>2</v>
      </c>
      <c r="BZ44" s="769" t="str">
        <f ca="1">IF(COUNTIFS($BY$6:$BY$53,BY44,$BC$6:$BC$53,INDEX(T_Equipos[Grupo],MATCH(BD44,T_Equipos[NombreEquipo],0)))=1,"-","P."&amp;BY44&amp;" ("&amp;COUNTIFS($BY$6:$BY$53,BY44,$BC$6:$BC$53,INDEX(T_Equipos[Grupo],MATCH(BD44,T_Equipos[NombreEquipo],0)))&amp;")")</f>
        <v>P.2 (2)</v>
      </c>
      <c r="CA44" s="770">
        <f t="shared" ca="1" si="40"/>
        <v>3</v>
      </c>
      <c r="CB44" s="770">
        <f t="shared" ca="1" si="41"/>
        <v>3</v>
      </c>
      <c r="CC44" s="770">
        <f t="shared" ca="1" si="42"/>
        <v>0</v>
      </c>
      <c r="CD44" s="770">
        <f ca="1">BY44+COUNTIFS($BZ$6:$BZ$53,BZ44,$CC$6:CC$53,"&gt;"&amp;CC44,$BC$6:$BC$53,INDEX(T_Equipos[Grupo],MATCH(BD44,T_Equipos[NombreEquipo],0)))</f>
        <v>2</v>
      </c>
      <c r="CE44" s="769" t="str">
        <f ca="1">IF(COUNTIFS($CD$6:$CD$53,CD44,$BC$6:$BC$53,INDEX(T_Equipos[Grupo],MATCH(BD44,T_Equipos[NombreEquipo],0)))=1,"-","P."&amp;CD44&amp;" ("&amp;COUNTIFS($CD$6:$CD$53,CD44,$BC$6:$BC$53,INDEX(T_Equipos[Grupo],MATCH(BD44,T_Equipos[NombreEquipo],0)))&amp;")")</f>
        <v>P.2 (2)</v>
      </c>
      <c r="CF44" s="770">
        <f t="shared" ca="1" si="43"/>
        <v>3</v>
      </c>
      <c r="CG44" s="770">
        <f ca="1">CD44+COUNTIFS($CE$6:$CE$53,CE44,$CF$6:CF$53,"&gt;"&amp;CF44,$BC$6:$BC$53,INDEX(T_Equipos[Grupo],MATCH(BD44,T_Equipos[NombreEquipo],0)))</f>
        <v>2</v>
      </c>
      <c r="CH44" s="769" t="str">
        <f ca="1">IF(COUNTIFS($CG$6:$CG$53,CG44,$BC$6:$BC$53,INDEX(T_Equipos[Grupo],MATCH(BD44,T_Equipos[NombreEquipo],0)))=1,"-","P."&amp;CG44&amp;" ("&amp;COUNTIFS($CG$6:$CG$53,CG44,$BC$6:$BC$53,INDEX(T_Equipos[Grupo],MATCH(BD44,T_Equipos[NombreEquipo],0)))&amp;")")</f>
        <v>P.2 (2)</v>
      </c>
      <c r="CI44" s="770">
        <f t="shared" ca="1" si="44"/>
        <v>0</v>
      </c>
      <c r="CJ44" s="770">
        <f t="shared" ca="1" si="45"/>
        <v>1</v>
      </c>
      <c r="CK44" s="770">
        <f t="shared" ca="1" si="46"/>
        <v>0</v>
      </c>
      <c r="CL44" s="770">
        <f t="shared" ca="1" si="47"/>
        <v>1</v>
      </c>
      <c r="CM44" s="770">
        <f ca="1">CG44+COUNTIFS($CH$6:$CH$53,CH44,$CL$6:CL$53,"&gt;"&amp;CL44,$BC$6:$BC$53,INDEX(T_Equipos[Grupo],MATCH(BD44,T_Equipos[NombreEquipo],0)))</f>
        <v>2</v>
      </c>
      <c r="CN44" s="769" t="str">
        <f ca="1">IF(COUNTIFS($CM$6:$CM$53,CM44,$BC$6:$BC$53,INDEX(T_Equipos[Grupo],MATCH(BD44,T_Equipos[NombreEquipo],0)))=1,"-","P."&amp;CM44&amp;" ("&amp;COUNTIFS($CM$6:$CM$53,CM44,$BC$6:$BC$53,INDEX(T_Equipos[Grupo],MATCH(BD44,T_Equipos[NombreEquipo],0)))&amp;")")</f>
        <v>P.2 (2)</v>
      </c>
      <c r="CO44" s="770">
        <f t="shared" ca="1" si="48"/>
        <v>3</v>
      </c>
      <c r="CP44" s="770">
        <f t="shared" ca="1" si="49"/>
        <v>3</v>
      </c>
      <c r="CQ44" s="770">
        <f t="shared" ca="1" si="50"/>
        <v>0</v>
      </c>
      <c r="CR44" s="770">
        <f ca="1">CM44+COUNTIFS($CN$6:$CN$53,CN44,$CQ$6:CQ$53,"&gt;"&amp;CQ44,$BC$6:$BC$53,INDEX(T_Equipos[Grupo],MATCH(BD44,T_Equipos[NombreEquipo],0)))</f>
        <v>2</v>
      </c>
      <c r="CS44" s="769" t="str">
        <f ca="1">IF(COUNTIFS($CR$6:$CR$53,CR44,$BC$6:$BC$53,INDEX(T_Equipos[Grupo],MATCH(BD44,T_Equipos[NombreEquipo],0)))=1,"-","P."&amp;CR44&amp;" ("&amp;COUNTIFS($CR$6:$CR$53,CR44,$BC$6:$BC$53,INDEX(T_Equipos[Grupo],MATCH(BD44,T_Equipos[NombreEquipo],0)))&amp;")")</f>
        <v>P.2 (2)</v>
      </c>
      <c r="CT44" s="770">
        <f t="shared" ca="1" si="51"/>
        <v>3</v>
      </c>
      <c r="CU44" s="770">
        <f ca="1">CR44+COUNTIFS($CS$6:$CS$53,CS44,$CT$6:CT$53,"&gt;"&amp;CT44,$BC$6:$BC$53,INDEX(T_Equipos[Grupo],MATCH(BD44,T_Equipos[NombreEquipo],0)))</f>
        <v>2</v>
      </c>
      <c r="CV44" s="769" t="str">
        <f ca="1">IF(COUNTIFS($CU$6:$CU$53,CU44,$BC$6:$BC$53,INDEX(T_Equipos[Grupo],MATCH(BD44,T_Equipos[NombreEquipo],0)))=1,"-","P."&amp;CU44&amp;" ("&amp;COUNTIFS($CU$6:$CU$53,CU44,$BC$6:$BC$53,INDEX(T_Equipos[Grupo],MATCH(BD44,T_Equipos[NombreEquipo],0)))&amp;")")</f>
        <v>P.2 (2)</v>
      </c>
      <c r="CW44" s="769">
        <f t="shared" ca="1" si="30"/>
        <v>0</v>
      </c>
      <c r="CX44" s="769">
        <f ca="1">CU44+COUNTIFS($CV$6:$CV$53,CV44,$CW$6:CW$53,"&gt;"&amp;CW44,$BC$6:$BC$53,INDEX(T_Equipos[Grupo],MATCH(BD44,T_Equipos[NombreEquipo],0)))</f>
        <v>2</v>
      </c>
      <c r="CY44" s="769" t="str">
        <f ca="1">IF(COUNTIFS($CX$6:$CX$53,CX44,$BC$6:$BC$53,INDEX(T_Equipos[Grupo],MATCH(BD44,T_Equipos[NombreEquipo],0)))=1,"-","P."&amp;CX44&amp;" ("&amp;COUNTIFS($CX$6:$CX$53,CX44,$BC$6:$BC$53,INDEX(T_Equipos[Grupo],MATCH(BD44,T_Equipos[NombreEquipo],0)))&amp;")")</f>
        <v>-</v>
      </c>
      <c r="CZ44" s="769" t="str">
        <f t="shared" ca="1" si="31"/>
        <v>-</v>
      </c>
      <c r="DA44" s="770">
        <f ca="1">CX44+COUNTIFS($CY$6:$CY$53,CY44,$CZ$6:CZ$53,"&gt;"&amp;CZ44,$BC$6:$BC$53,INDEX(T_Equipos[Grupo],MATCH(BD44,T_Equipos[NombreEquipo],0)))</f>
        <v>2</v>
      </c>
      <c r="DB44" s="769" t="str">
        <f ca="1">IF(COUNTIFS($DA$6:$DA$53,DA44,$BC$6:$BC$53,INDEX(T_Equipos[Grupo],MATCH(BD44,T_Equipos[NombreEquipo],0)))=1,"-","P."&amp;DA44&amp;" ("&amp;COUNTIFS($DA$6:$DA$53,DA44,$BC$6:$BC$53,INDEX(T_Equipos[Grupo],MATCH(BD44,T_Equipos[NombreEquipo],0)))&amp;")")</f>
        <v>-</v>
      </c>
      <c r="DC44" s="768" t="str">
        <f ca="1">IF(DB44="-","-",COUNTIFS(T_Equipos[Rank],"&lt;"&amp;INDEX(T_Equipos[Rank],MATCH(BD44,T_Equipos[NombreEquipo],0)),$BC$6:$BC$53,INDEX(T_Equipos[Grupo],MATCH(BD44,T_Equipos[NombreEquipo],0)))+1)</f>
        <v>-</v>
      </c>
      <c r="DD44" s="768">
        <f ca="1">DA44+COUNTIFS($DB$6:$DB$53,DB44,$DC$6:DC$53,"&lt;"&amp;DC44,$BC$6:$BC$53,INDEX(T_Equipos[Grupo],MATCH(BD44,T_Equipos[NombreEquipo],0)))</f>
        <v>2</v>
      </c>
      <c r="DE44" s="768"/>
      <c r="DF44" s="768">
        <f t="shared" ca="1" si="52"/>
        <v>2</v>
      </c>
      <c r="DG44" s="768" t="str">
        <f ca="1">IF(DB44="-","-",COUNTIFS(DF$6:DF$53,"&lt;"&amp;DF44,$BC$6:$BC$53,INDEX(T_Equipos[Grupo],MATCH(BD44,T_Equipos[NombreEquipo],0))))</f>
        <v>-</v>
      </c>
      <c r="DH44" s="768">
        <f ca="1">DA44+COUNTIFS(DB$6:DB$53,DB44,DG$6:DG$53,"&lt;"&amp;DG44,$BC$6:$BC$53,INDEX(T_Equipos[Grupo],MATCH(BD44,T_Equipos[NombreEquipo],0)))</f>
        <v>2</v>
      </c>
      <c r="DI44" s="756"/>
      <c r="DJ44" s="756">
        <f t="shared" ca="1" si="53"/>
        <v>3</v>
      </c>
      <c r="DK44" s="756">
        <f t="shared" ca="1" si="24"/>
        <v>12</v>
      </c>
      <c r="DL44" s="756">
        <f t="shared" ca="1" si="33"/>
        <v>1</v>
      </c>
      <c r="DM44" s="750" t="str">
        <f t="shared" ca="1" si="34"/>
        <v>3.1</v>
      </c>
      <c r="DN44" s="756" cm="1">
        <f t="array" aca="1" ref="DN44" ca="1">OFFSET(Horarios!$P$3,DJ44-1,0,DL44,1)</f>
        <v>3</v>
      </c>
      <c r="DO44" s="756"/>
      <c r="DP44" s="756" t="s">
        <v>441</v>
      </c>
      <c r="DQ44" s="756" t="str">
        <f t="shared" ca="1" si="35"/>
        <v>Argelia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Local</v>
      </c>
      <c r="E45" s="756" t="str">
        <f t="shared" ca="1" si="137"/>
        <v>-</v>
      </c>
      <c r="F45" s="756" t="str">
        <f t="shared" ca="1" si="138"/>
        <v>-</v>
      </c>
      <c r="G45" s="756"/>
      <c r="H45" s="756" t="str">
        <f t="shared" ca="1" si="139"/>
        <v>-</v>
      </c>
      <c r="I45" s="756" t="str">
        <f t="shared" ca="1" si="140"/>
        <v>-</v>
      </c>
      <c r="J45" s="756"/>
      <c r="K45" s="756" t="str">
        <f t="shared" ca="1" si="141"/>
        <v>-</v>
      </c>
      <c r="L45" s="756" t="str">
        <f t="shared" ca="1" si="142"/>
        <v>-</v>
      </c>
      <c r="M45" s="756"/>
      <c r="N45" s="756" t="str">
        <f t="shared" ca="1" si="143"/>
        <v>-</v>
      </c>
      <c r="O45" s="756" t="str">
        <f t="shared" ca="1" si="144"/>
        <v>-</v>
      </c>
      <c r="P45" s="756"/>
      <c r="Q45" s="756" t="str">
        <f t="shared" ca="1" si="145"/>
        <v>-</v>
      </c>
      <c r="R45" s="756" t="str">
        <f t="shared" ca="1" si="146"/>
        <v>-</v>
      </c>
      <c r="S45" s="756"/>
      <c r="T45" s="756" t="str">
        <f t="shared" ca="1" si="147"/>
        <v>-</v>
      </c>
      <c r="U45" s="756" t="str">
        <f t="shared" ca="1" si="148"/>
        <v>-</v>
      </c>
      <c r="V45" s="178"/>
      <c r="W45" s="829"/>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1</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3</v>
      </c>
      <c r="BG45" s="760">
        <f t="shared" ca="1" si="17"/>
        <v>0</v>
      </c>
      <c r="BH45" s="760">
        <f t="shared" ca="1" si="18"/>
        <v>0</v>
      </c>
      <c r="BI45" s="760">
        <f t="shared" ca="1" si="19"/>
        <v>3</v>
      </c>
      <c r="BJ45" s="760">
        <f t="shared" ca="1" si="20"/>
        <v>3</v>
      </c>
      <c r="BK45" s="760">
        <f t="shared" ca="1" si="21"/>
        <v>8</v>
      </c>
      <c r="BL45" s="760">
        <f t="shared" ca="1" si="27"/>
        <v>-5</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4</v>
      </c>
      <c r="BT45" s="769" t="str">
        <f ca="1">IF(COUNTIFS($BS$6:$BS$53,BS45,$BC$6:$BC$53,INDEX(T_Equipos[Grupo],MATCH(BD45,T_Equipos[NombreEquipo],0)))=1,"-","P."&amp;BS45&amp;" ("&amp;COUNTIFS($BS$6:$BS$53,BS45,$BC$6:$BC$53,INDEX(T_Equipos[Grupo],MATCH(BD45,T_Equipos[NombreEquipo],0)))&amp;")")</f>
        <v>-</v>
      </c>
      <c r="BU45" s="770" t="str">
        <f t="shared" ca="1" si="36"/>
        <v>-</v>
      </c>
      <c r="BV45" s="770" t="str">
        <f t="shared" ca="1" si="37"/>
        <v>-</v>
      </c>
      <c r="BW45" s="770" t="str">
        <f t="shared" ca="1" si="38"/>
        <v>-</v>
      </c>
      <c r="BX45" s="770" t="str">
        <f t="shared" ca="1" si="39"/>
        <v>-</v>
      </c>
      <c r="BY45" s="770">
        <f ca="1">BS45+COUNTIFS($BT$6:$BT$53,BT45,$BX$6:BX$53,"&gt;"&amp;BX45,$BC$6:$BC$53,INDEX(T_Equipos[Grupo],MATCH(BD45,T_Equipos[NombreEquipo],0)))</f>
        <v>4</v>
      </c>
      <c r="BZ45" s="769" t="str">
        <f ca="1">IF(COUNTIFS($BY$6:$BY$53,BY45,$BC$6:$BC$53,INDEX(T_Equipos[Grupo],MATCH(BD45,T_Equipos[NombreEquipo],0)))=1,"-","P."&amp;BY45&amp;" ("&amp;COUNTIFS($BY$6:$BY$53,BY45,$BC$6:$BC$53,INDEX(T_Equipos[Grupo],MATCH(BD45,T_Equipos[NombreEquipo],0)))&amp;")")</f>
        <v>-</v>
      </c>
      <c r="CA45" s="770" t="str">
        <f t="shared" ca="1" si="40"/>
        <v>-</v>
      </c>
      <c r="CB45" s="770" t="str">
        <f t="shared" ca="1" si="41"/>
        <v>-</v>
      </c>
      <c r="CC45" s="770" t="str">
        <f t="shared" ca="1" si="42"/>
        <v>-</v>
      </c>
      <c r="CD45" s="770">
        <f ca="1">BY45+COUNTIFS($BZ$6:$BZ$53,BZ45,$CC$6:CC$53,"&gt;"&amp;CC45,$BC$6:$BC$53,INDEX(T_Equipos[Grupo],MATCH(BD45,T_Equipos[NombreEquipo],0)))</f>
        <v>4</v>
      </c>
      <c r="CE45" s="769" t="str">
        <f ca="1">IF(COUNTIFS($CD$6:$CD$53,CD45,$BC$6:$BC$53,INDEX(T_Equipos[Grupo],MATCH(BD45,T_Equipos[NombreEquipo],0)))=1,"-","P."&amp;CD45&amp;" ("&amp;COUNTIFS($CD$6:$CD$53,CD45,$BC$6:$BC$53,INDEX(T_Equipos[Grupo],MATCH(BD45,T_Equipos[NombreEquipo],0)))&amp;")")</f>
        <v>-</v>
      </c>
      <c r="CF45" s="770" t="str">
        <f t="shared" ca="1" si="43"/>
        <v>-</v>
      </c>
      <c r="CG45" s="770">
        <f ca="1">CD45+COUNTIFS($CE$6:$CE$53,CE45,$CF$6:CF$53,"&gt;"&amp;CF45,$BC$6:$BC$53,INDEX(T_Equipos[Grupo],MATCH(BD45,T_Equipos[NombreEquipo],0)))</f>
        <v>4</v>
      </c>
      <c r="CH45" s="769" t="str">
        <f ca="1">IF(COUNTIFS($CG$6:$CG$53,CG45,$BC$6:$BC$53,INDEX(T_Equipos[Grupo],MATCH(BD45,T_Equipos[NombreEquipo],0)))=1,"-","P."&amp;CG45&amp;" ("&amp;COUNTIFS($CG$6:$CG$53,CG45,$BC$6:$BC$53,INDEX(T_Equipos[Grupo],MATCH(BD45,T_Equipos[NombreEquipo],0)))&amp;")")</f>
        <v>-</v>
      </c>
      <c r="CI45" s="770" t="str">
        <f t="shared" ca="1" si="44"/>
        <v>-</v>
      </c>
      <c r="CJ45" s="770" t="str">
        <f t="shared" ca="1" si="45"/>
        <v>-</v>
      </c>
      <c r="CK45" s="770" t="str">
        <f t="shared" ca="1" si="46"/>
        <v>-</v>
      </c>
      <c r="CL45" s="770" t="str">
        <f t="shared" ca="1" si="47"/>
        <v>-</v>
      </c>
      <c r="CM45" s="770">
        <f ca="1">CG45+COUNTIFS($CH$6:$CH$53,CH45,$CL$6:CL$53,"&gt;"&amp;CL45,$BC$6:$BC$53,INDEX(T_Equipos[Grupo],MATCH(BD45,T_Equipos[NombreEquipo],0)))</f>
        <v>4</v>
      </c>
      <c r="CN45" s="769" t="str">
        <f ca="1">IF(COUNTIFS($CM$6:$CM$53,CM45,$BC$6:$BC$53,INDEX(T_Equipos[Grupo],MATCH(BD45,T_Equipos[NombreEquipo],0)))=1,"-","P."&amp;CM45&amp;" ("&amp;COUNTIFS($CM$6:$CM$53,CM45,$BC$6:$BC$53,INDEX(T_Equipos[Grupo],MATCH(BD45,T_Equipos[NombreEquipo],0)))&amp;")")</f>
        <v>-</v>
      </c>
      <c r="CO45" s="770" t="str">
        <f t="shared" ca="1" si="48"/>
        <v>-</v>
      </c>
      <c r="CP45" s="770" t="str">
        <f t="shared" ca="1" si="49"/>
        <v>-</v>
      </c>
      <c r="CQ45" s="770" t="str">
        <f t="shared" ca="1" si="50"/>
        <v>-</v>
      </c>
      <c r="CR45" s="770">
        <f ca="1">CM45+COUNTIFS($CN$6:$CN$53,CN45,$CQ$6:CQ$53,"&gt;"&amp;CQ45,$BC$6:$BC$53,INDEX(T_Equipos[Grupo],MATCH(BD45,T_Equipos[NombreEquipo],0)))</f>
        <v>4</v>
      </c>
      <c r="CS45" s="769" t="str">
        <f ca="1">IF(COUNTIFS($CR$6:$CR$53,CR45,$BC$6:$BC$53,INDEX(T_Equipos[Grupo],MATCH(BD45,T_Equipos[NombreEquipo],0)))=1,"-","P."&amp;CR45&amp;" ("&amp;COUNTIFS($CR$6:$CR$53,CR45,$BC$6:$BC$53,INDEX(T_Equipos[Grupo],MATCH(BD45,T_Equipos[NombreEquipo],0)))&amp;")")</f>
        <v>-</v>
      </c>
      <c r="CT45" s="770" t="str">
        <f t="shared" ca="1" si="51"/>
        <v>-</v>
      </c>
      <c r="CU45" s="770">
        <f ca="1">CR45+COUNTIFS($CS$6:$CS$53,CS45,$CT$6:CT$53,"&gt;"&amp;CT45,$BC$6:$BC$53,INDEX(T_Equipos[Grupo],MATCH(BD45,T_Equipos[NombreEquipo],0)))</f>
        <v>4</v>
      </c>
      <c r="CV45" s="769" t="str">
        <f ca="1">IF(COUNTIFS($CU$6:$CU$53,CU45,$BC$6:$BC$53,INDEX(T_Equipos[Grupo],MATCH(BD45,T_Equipos[NombreEquipo],0)))=1,"-","P."&amp;CU45&amp;" ("&amp;COUNTIFS($CU$6:$CU$53,CU45,$BC$6:$BC$53,INDEX(T_Equipos[Grupo],MATCH(BD45,T_Equipos[NombreEquipo],0)))&amp;")")</f>
        <v>-</v>
      </c>
      <c r="CW45" s="769" t="str">
        <f t="shared" ca="1" si="30"/>
        <v>-</v>
      </c>
      <c r="CX45" s="769">
        <f ca="1">CU45+COUNTIFS($CV$6:$CV$53,CV45,$CW$6:CW$53,"&gt;"&amp;CW45,$BC$6:$BC$53,INDEX(T_Equipos[Grupo],MATCH(BD45,T_Equipos[NombreEquipo],0)))</f>
        <v>4</v>
      </c>
      <c r="CY45" s="769" t="str">
        <f ca="1">IF(COUNTIFS($CX$6:$CX$53,CX45,$BC$6:$BC$53,INDEX(T_Equipos[Grupo],MATCH(BD45,T_Equipos[NombreEquipo],0)))=1,"-","P."&amp;CX45&amp;" ("&amp;COUNTIFS($CX$6:$CX$53,CX45,$BC$6:$BC$53,INDEX(T_Equipos[Grupo],MATCH(BD45,T_Equipos[NombreEquipo],0)))&amp;")")</f>
        <v>-</v>
      </c>
      <c r="CZ45" s="769" t="str">
        <f t="shared" ca="1" si="31"/>
        <v>-</v>
      </c>
      <c r="DA45" s="770">
        <f ca="1">CX45+COUNTIFS($CY$6:$CY$53,CY45,$CZ$6:CZ$53,"&gt;"&amp;CZ45,$BC$6:$BC$53,INDEX(T_Equipos[Grupo],MATCH(BD45,T_Equipos[NombreEquipo],0)))</f>
        <v>4</v>
      </c>
      <c r="DB45" s="769" t="str">
        <f ca="1">IF(COUNTIFS($DA$6:$DA$53,DA45,$BC$6:$BC$53,INDEX(T_Equipos[Grupo],MATCH(BD45,T_Equipos[NombreEquipo],0)))=1,"-","P."&amp;DA45&amp;" ("&amp;COUNTIFS($DA$6:$DA$53,DA45,$BC$6:$BC$53,INDEX(T_Equipos[Grupo],MATCH(BD45,T_Equipos[NombreEquipo],0)))&amp;")")</f>
        <v>-</v>
      </c>
      <c r="DC45" s="768" t="str">
        <f ca="1">IF(DB45="-","-",COUNTIFS(T_Equipos[Rank],"&lt;"&amp;INDEX(T_Equipos[Rank],MATCH(BD45,T_Equipos[NombreEquipo],0)),$BC$6:$BC$53,INDEX(T_Equipos[Grupo],MATCH(BD45,T_Equipos[NombreEquipo],0)))+1)</f>
        <v>-</v>
      </c>
      <c r="DD45" s="768">
        <f ca="1">DA45+COUNTIFS($DB$6:$DB$53,DB45,$DC$6:DC$53,"&lt;"&amp;DC45,$BC$6:$BC$53,INDEX(T_Equipos[Grupo],MATCH(BD45,T_Equipos[NombreEquipo],0)))</f>
        <v>4</v>
      </c>
      <c r="DE45" s="768"/>
      <c r="DF45" s="768">
        <f t="shared" ca="1" si="52"/>
        <v>4</v>
      </c>
      <c r="DG45" s="768" t="str">
        <f ca="1">IF(DB45="-","-",COUNTIFS(DF$6:DF$53,"&lt;"&amp;DF45,$BC$6:$BC$53,INDEX(T_Equipos[Grupo],MATCH(BD45,T_Equipos[NombreEquipo],0))))</f>
        <v>-</v>
      </c>
      <c r="DH45" s="768">
        <f ca="1">DA45+COUNTIFS(DB$6:DB$53,DB45,DG$6:DG$53,"&lt;"&amp;DG45,$BC$6:$BC$53,INDEX(T_Equipos[Grupo],MATCH(BD45,T_Equipos[NombreEquipo],0)))</f>
        <v>4</v>
      </c>
      <c r="DI45" s="756"/>
      <c r="DJ45" s="756">
        <f t="shared" ca="1" si="53"/>
        <v>4</v>
      </c>
      <c r="DK45" s="756">
        <f t="shared" ca="1" si="24"/>
        <v>12</v>
      </c>
      <c r="DL45" s="756">
        <f t="shared" ca="1" si="33"/>
        <v>1</v>
      </c>
      <c r="DM45" s="750" t="str">
        <f t="shared" ca="1" si="34"/>
        <v>4.1</v>
      </c>
      <c r="DN45" s="756" cm="1">
        <f t="array" aca="1" ref="DN45" ca="1">OFFSET(Horarios!$P$3,DJ45-1,0,DL45,1)</f>
        <v>4</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Local</v>
      </c>
      <c r="E46" s="756" t="str">
        <f t="shared" ca="1" si="137"/>
        <v>-</v>
      </c>
      <c r="F46" s="756" t="str">
        <f t="shared" ca="1" si="138"/>
        <v>-</v>
      </c>
      <c r="G46" s="756"/>
      <c r="H46" s="756" t="str">
        <f t="shared" ca="1" si="139"/>
        <v>-</v>
      </c>
      <c r="I46" s="756" t="str">
        <f t="shared" ca="1" si="140"/>
        <v>-</v>
      </c>
      <c r="J46" s="756"/>
      <c r="K46" s="756" t="str">
        <f t="shared" ca="1" si="141"/>
        <v>-</v>
      </c>
      <c r="L46" s="756" t="str">
        <f t="shared" ca="1" si="142"/>
        <v>-</v>
      </c>
      <c r="M46" s="756"/>
      <c r="N46" s="756" t="str">
        <f t="shared" ca="1" si="143"/>
        <v>-</v>
      </c>
      <c r="O46" s="756" t="str">
        <f t="shared" ca="1" si="144"/>
        <v>-</v>
      </c>
      <c r="P46" s="756"/>
      <c r="Q46" s="756" t="str">
        <f t="shared" ca="1" si="145"/>
        <v>-</v>
      </c>
      <c r="R46" s="756" t="str">
        <f t="shared" ca="1" si="146"/>
        <v>-</v>
      </c>
      <c r="S46" s="756"/>
      <c r="T46" s="756" t="str">
        <f t="shared" ca="1" si="147"/>
        <v>-</v>
      </c>
      <c r="U46" s="756" t="str">
        <f t="shared" ca="1" si="148"/>
        <v>-</v>
      </c>
      <c r="V46" s="178"/>
      <c r="W46" s="829"/>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1</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7</v>
      </c>
      <c r="AN46" s="220">
        <f t="shared" ca="1" si="153"/>
        <v>3</v>
      </c>
      <c r="AO46" s="220">
        <f t="shared" ca="1" si="153"/>
        <v>2</v>
      </c>
      <c r="AP46" s="220">
        <f t="shared" ca="1" si="153"/>
        <v>1</v>
      </c>
      <c r="AQ46" s="220">
        <f t="shared" ca="1" si="153"/>
        <v>0</v>
      </c>
      <c r="AR46" s="220">
        <f t="shared" ca="1" si="153"/>
        <v>10</v>
      </c>
      <c r="AS46" s="220">
        <f t="shared" ca="1" si="153"/>
        <v>4</v>
      </c>
      <c r="AT46" s="221">
        <f t="shared" ca="1" si="153"/>
        <v>6</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5</v>
      </c>
      <c r="BF46" s="760">
        <f t="shared" ca="1" si="26"/>
        <v>3</v>
      </c>
      <c r="BG46" s="760">
        <f t="shared" ca="1" si="17"/>
        <v>1</v>
      </c>
      <c r="BH46" s="760">
        <f t="shared" ca="1" si="18"/>
        <v>2</v>
      </c>
      <c r="BI46" s="760">
        <f t="shared" ca="1" si="19"/>
        <v>0</v>
      </c>
      <c r="BJ46" s="760">
        <f t="shared" ca="1" si="20"/>
        <v>6</v>
      </c>
      <c r="BK46" s="760">
        <f t="shared" ca="1" si="21"/>
        <v>1</v>
      </c>
      <c r="BL46" s="760">
        <f t="shared" ca="1" si="27"/>
        <v>5</v>
      </c>
      <c r="BM46" s="760" t="str">
        <f t="shared" ca="1" si="22"/>
        <v>2K</v>
      </c>
      <c r="BN46" s="760" t="str">
        <f t="shared" ca="1" si="23"/>
        <v>2K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5</v>
      </c>
      <c r="BS46" s="769">
        <f ca="1">BP46+COUNTIFS($BQ$6:$BQ$53,BQ46,$BR$6:BR$53,"&gt;"&amp;BR46,$BC$6:$BC$53,INDEX(T_Equipos[Grupo],MATCH(BD46,T_Equipos[NombreEquipo],0)))</f>
        <v>2</v>
      </c>
      <c r="BT46" s="769" t="str">
        <f ca="1">IF(COUNTIFS($BS$6:$BS$53,BS46,$BC$6:$BC$53,INDEX(T_Equipos[Grupo],MATCH(BD46,T_Equipos[NombreEquipo],0)))=1,"-","P."&amp;BS46&amp;" ("&amp;COUNTIFS($BS$6:$BS$53,BS46,$BC$6:$BC$53,INDEX(T_Equipos[Grupo],MATCH(BD46,T_Equipos[NombreEquipo],0)))&amp;")")</f>
        <v>-</v>
      </c>
      <c r="BU46" s="770" t="str">
        <f t="shared" ca="1" si="36"/>
        <v>-</v>
      </c>
      <c r="BV46" s="770" t="str">
        <f t="shared" ca="1" si="37"/>
        <v>-</v>
      </c>
      <c r="BW46" s="770" t="str">
        <f t="shared" ca="1" si="38"/>
        <v>-</v>
      </c>
      <c r="BX46" s="770" t="str">
        <f t="shared" ca="1" si="39"/>
        <v>-</v>
      </c>
      <c r="BY46" s="770">
        <f ca="1">BS46+COUNTIFS($BT$6:$BT$53,BT46,$BX$6:BX$53,"&gt;"&amp;BX46,$BC$6:$BC$53,INDEX(T_Equipos[Grupo],MATCH(BD46,T_Equipos[NombreEquipo],0)))</f>
        <v>2</v>
      </c>
      <c r="BZ46" s="769" t="str">
        <f ca="1">IF(COUNTIFS($BY$6:$BY$53,BY46,$BC$6:$BC$53,INDEX(T_Equipos[Grupo],MATCH(BD46,T_Equipos[NombreEquipo],0)))=1,"-","P."&amp;BY46&amp;" ("&amp;COUNTIFS($BY$6:$BY$53,BY46,$BC$6:$BC$53,INDEX(T_Equipos[Grupo],MATCH(BD46,T_Equipos[NombreEquipo],0)))&amp;")")</f>
        <v>-</v>
      </c>
      <c r="CA46" s="770" t="str">
        <f t="shared" ca="1" si="40"/>
        <v>-</v>
      </c>
      <c r="CB46" s="770" t="str">
        <f t="shared" ca="1" si="41"/>
        <v>-</v>
      </c>
      <c r="CC46" s="770" t="str">
        <f t="shared" ca="1" si="42"/>
        <v>-</v>
      </c>
      <c r="CD46" s="770">
        <f ca="1">BY46+COUNTIFS($BZ$6:$BZ$53,BZ46,$CC$6:CC$53,"&gt;"&amp;CC46,$BC$6:$BC$53,INDEX(T_Equipos[Grupo],MATCH(BD46,T_Equipos[NombreEquipo],0)))</f>
        <v>2</v>
      </c>
      <c r="CE46" s="769" t="str">
        <f ca="1">IF(COUNTIFS($CD$6:$CD$53,CD46,$BC$6:$BC$53,INDEX(T_Equipos[Grupo],MATCH(BD46,T_Equipos[NombreEquipo],0)))=1,"-","P."&amp;CD46&amp;" ("&amp;COUNTIFS($CD$6:$CD$53,CD46,$BC$6:$BC$53,INDEX(T_Equipos[Grupo],MATCH(BD46,T_Equipos[NombreEquipo],0)))&amp;")")</f>
        <v>-</v>
      </c>
      <c r="CF46" s="770" t="str">
        <f t="shared" ca="1" si="43"/>
        <v>-</v>
      </c>
      <c r="CG46" s="770">
        <f ca="1">CD46+COUNTIFS($CE$6:$CE$53,CE46,$CF$6:CF$53,"&gt;"&amp;CF46,$BC$6:$BC$53,INDEX(T_Equipos[Grupo],MATCH(BD46,T_Equipos[NombreEquipo],0)))</f>
        <v>2</v>
      </c>
      <c r="CH46" s="769" t="str">
        <f ca="1">IF(COUNTIFS($CG$6:$CG$53,CG46,$BC$6:$BC$53,INDEX(T_Equipos[Grupo],MATCH(BD46,T_Equipos[NombreEquipo],0)))=1,"-","P."&amp;CG46&amp;" ("&amp;COUNTIFS($CG$6:$CG$53,CG46,$BC$6:$BC$53,INDEX(T_Equipos[Grupo],MATCH(BD46,T_Equipos[NombreEquipo],0)))&amp;")")</f>
        <v>-</v>
      </c>
      <c r="CI46" s="770" t="str">
        <f t="shared" ca="1" si="44"/>
        <v>-</v>
      </c>
      <c r="CJ46" s="770" t="str">
        <f t="shared" ca="1" si="45"/>
        <v>-</v>
      </c>
      <c r="CK46" s="770" t="str">
        <f t="shared" ca="1" si="46"/>
        <v>-</v>
      </c>
      <c r="CL46" s="770" t="str">
        <f t="shared" ca="1" si="47"/>
        <v>-</v>
      </c>
      <c r="CM46" s="770">
        <f ca="1">CG46+COUNTIFS($CH$6:$CH$53,CH46,$CL$6:CL$53,"&gt;"&amp;CL46,$BC$6:$BC$53,INDEX(T_Equipos[Grupo],MATCH(BD46,T_Equipos[NombreEquipo],0)))</f>
        <v>2</v>
      </c>
      <c r="CN46" s="769" t="str">
        <f ca="1">IF(COUNTIFS($CM$6:$CM$53,CM46,$BC$6:$BC$53,INDEX(T_Equipos[Grupo],MATCH(BD46,T_Equipos[NombreEquipo],0)))=1,"-","P."&amp;CM46&amp;" ("&amp;COUNTIFS($CM$6:$CM$53,CM46,$BC$6:$BC$53,INDEX(T_Equipos[Grupo],MATCH(BD46,T_Equipos[NombreEquipo],0)))&amp;")")</f>
        <v>-</v>
      </c>
      <c r="CO46" s="770" t="str">
        <f t="shared" ca="1" si="48"/>
        <v>-</v>
      </c>
      <c r="CP46" s="770" t="str">
        <f t="shared" ca="1" si="49"/>
        <v>-</v>
      </c>
      <c r="CQ46" s="770" t="str">
        <f t="shared" ca="1" si="50"/>
        <v>-</v>
      </c>
      <c r="CR46" s="770">
        <f ca="1">CM46+COUNTIFS($CN$6:$CN$53,CN46,$CQ$6:CQ$53,"&gt;"&amp;CQ46,$BC$6:$BC$53,INDEX(T_Equipos[Grupo],MATCH(BD46,T_Equipos[NombreEquipo],0)))</f>
        <v>2</v>
      </c>
      <c r="CS46" s="769" t="str">
        <f ca="1">IF(COUNTIFS($CR$6:$CR$53,CR46,$BC$6:$BC$53,INDEX(T_Equipos[Grupo],MATCH(BD46,T_Equipos[NombreEquipo],0)))=1,"-","P."&amp;CR46&amp;" ("&amp;COUNTIFS($CR$6:$CR$53,CR46,$BC$6:$BC$53,INDEX(T_Equipos[Grupo],MATCH(BD46,T_Equipos[NombreEquipo],0)))&amp;")")</f>
        <v>-</v>
      </c>
      <c r="CT46" s="770" t="str">
        <f t="shared" ca="1" si="51"/>
        <v>-</v>
      </c>
      <c r="CU46" s="770">
        <f ca="1">CR46+COUNTIFS($CS$6:$CS$53,CS46,$CT$6:CT$53,"&gt;"&amp;CT46,$BC$6:$BC$53,INDEX(T_Equipos[Grupo],MATCH(BD46,T_Equipos[NombreEquipo],0)))</f>
        <v>2</v>
      </c>
      <c r="CV46" s="769" t="str">
        <f ca="1">IF(COUNTIFS($CU$6:$CU$53,CU46,$BC$6:$BC$53,INDEX(T_Equipos[Grupo],MATCH(BD46,T_Equipos[NombreEquipo],0)))=1,"-","P."&amp;CU46&amp;" ("&amp;COUNTIFS($CU$6:$CU$53,CU46,$BC$6:$BC$53,INDEX(T_Equipos[Grupo],MATCH(BD46,T_Equipos[NombreEquipo],0)))&amp;")")</f>
        <v>-</v>
      </c>
      <c r="CW46" s="769" t="str">
        <f t="shared" ca="1" si="30"/>
        <v>-</v>
      </c>
      <c r="CX46" s="769">
        <f ca="1">CU46+COUNTIFS($CV$6:$CV$53,CV46,$CW$6:CW$53,"&gt;"&amp;CW46,$BC$6:$BC$53,INDEX(T_Equipos[Grupo],MATCH(BD46,T_Equipos[NombreEquipo],0)))</f>
        <v>2</v>
      </c>
      <c r="CY46" s="769" t="str">
        <f ca="1">IF(COUNTIFS($CX$6:$CX$53,CX46,$BC$6:$BC$53,INDEX(T_Equipos[Grupo],MATCH(BD46,T_Equipos[NombreEquipo],0)))=1,"-","P."&amp;CX46&amp;" ("&amp;COUNTIFS($CX$6:$CX$53,CX46,$BC$6:$BC$53,INDEX(T_Equipos[Grupo],MATCH(BD46,T_Equipos[NombreEquipo],0)))&amp;")")</f>
        <v>-</v>
      </c>
      <c r="CZ46" s="769" t="str">
        <f t="shared" ca="1" si="31"/>
        <v>-</v>
      </c>
      <c r="DA46" s="770">
        <f ca="1">CX46+COUNTIFS($CY$6:$CY$53,CY46,$CZ$6:CZ$53,"&gt;"&amp;CZ46,$BC$6:$BC$53,INDEX(T_Equipos[Grupo],MATCH(BD46,T_Equipos[NombreEquipo],0)))</f>
        <v>2</v>
      </c>
      <c r="DB46" s="769" t="str">
        <f ca="1">IF(COUNTIFS($DA$6:$DA$53,DA46,$BC$6:$BC$53,INDEX(T_Equipos[Grupo],MATCH(BD46,T_Equipos[NombreEquipo],0)))=1,"-","P."&amp;DA46&amp;" ("&amp;COUNTIFS($DA$6:$DA$53,DA46,$BC$6:$BC$53,INDEX(T_Equipos[Grupo],MATCH(BD46,T_Equipos[NombreEquipo],0)))&amp;")")</f>
        <v>-</v>
      </c>
      <c r="DC46" s="768" t="str">
        <f ca="1">IF(DB46="-","-",COUNTIFS(T_Equipos[Rank],"&lt;"&amp;INDEX(T_Equipos[Rank],MATCH(BD46,T_Equipos[NombreEquipo],0)),$BC$6:$BC$53,INDEX(T_Equipos[Grupo],MATCH(BD46,T_Equipos[NombreEquipo],0)))+1)</f>
        <v>-</v>
      </c>
      <c r="DD46" s="768">
        <f ca="1">DA46+COUNTIFS($DB$6:$DB$53,DB46,$DC$6:DC$53,"&lt;"&amp;DC46,$BC$6:$BC$53,INDEX(T_Equipos[Grupo],MATCH(BD46,T_Equipos[NombreEquipo],0)))</f>
        <v>2</v>
      </c>
      <c r="DE46" s="768"/>
      <c r="DF46" s="768">
        <f t="shared" ca="1" si="52"/>
        <v>2</v>
      </c>
      <c r="DG46" s="768" t="str">
        <f ca="1">IF(DB46="-","-",COUNTIFS(DF$6:DF$53,"&lt;"&amp;DF46,$BC$6:$BC$53,INDEX(T_Equipos[Grupo],MATCH(BD46,T_Equipos[NombreEquipo],0))))</f>
        <v>-</v>
      </c>
      <c r="DH46" s="768">
        <f ca="1">DA46+COUNTIFS(DB$6:DB$53,DB46,DG$6:DG$53,"&lt;"&amp;DG46,$BC$6:$BC$53,INDEX(T_Equipos[Grupo],MATCH(BD46,T_Equipos[NombreEquipo],0)))</f>
        <v>2</v>
      </c>
      <c r="DI46" s="756"/>
      <c r="DJ46" s="756">
        <f t="shared" ca="1" si="53"/>
        <v>1</v>
      </c>
      <c r="DK46" s="756">
        <f t="shared" ca="1" si="24"/>
        <v>12</v>
      </c>
      <c r="DL46" s="756">
        <f t="shared" ca="1" si="33"/>
        <v>1</v>
      </c>
      <c r="DM46" s="750" t="str">
        <f t="shared" ca="1" si="34"/>
        <v>1.1</v>
      </c>
      <c r="DN46" s="756" cm="1">
        <f t="array" aca="1" ref="DN46" ca="1">OFFSET(Horarios!$P$3,DJ46-1,0,DL46,1)</f>
        <v>1</v>
      </c>
      <c r="DO46" s="756"/>
      <c r="DP46" s="756" t="s">
        <v>679</v>
      </c>
      <c r="DQ46" s="756" t="str">
        <f t="shared" ca="1" si="35"/>
        <v>Colombia</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Visitante</v>
      </c>
      <c r="E47" s="756" t="str">
        <f t="shared" ca="1" si="137"/>
        <v>-</v>
      </c>
      <c r="F47" s="756" t="str">
        <f t="shared" ca="1" si="138"/>
        <v>-</v>
      </c>
      <c r="G47" s="756"/>
      <c r="H47" s="756" t="str">
        <f t="shared" ca="1" si="139"/>
        <v>-</v>
      </c>
      <c r="I47" s="756" t="str">
        <f t="shared" ca="1" si="140"/>
        <v>-</v>
      </c>
      <c r="J47" s="756"/>
      <c r="K47" s="756" t="str">
        <f t="shared" ca="1" si="141"/>
        <v>-</v>
      </c>
      <c r="L47" s="756" t="str">
        <f t="shared" ca="1" si="142"/>
        <v>-</v>
      </c>
      <c r="M47" s="756"/>
      <c r="N47" s="756" t="str">
        <f t="shared" ca="1" si="143"/>
        <v>-</v>
      </c>
      <c r="O47" s="756" t="str">
        <f t="shared" ca="1" si="144"/>
        <v>-</v>
      </c>
      <c r="P47" s="756"/>
      <c r="Q47" s="756" t="str">
        <f t="shared" ca="1" si="145"/>
        <v>-</v>
      </c>
      <c r="R47" s="756" t="str">
        <f t="shared" ca="1" si="146"/>
        <v>-</v>
      </c>
      <c r="S47" s="756"/>
      <c r="T47" s="756" t="str">
        <f t="shared" ca="1" si="147"/>
        <v>-</v>
      </c>
      <c r="U47" s="756" t="str">
        <f t="shared" ca="1" si="148"/>
        <v>-</v>
      </c>
      <c r="V47" s="178"/>
      <c r="W47" s="829"/>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1</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5</v>
      </c>
      <c r="AN47" s="230">
        <f t="shared" ca="1" si="153"/>
        <v>3</v>
      </c>
      <c r="AO47" s="230">
        <f t="shared" ca="1" si="153"/>
        <v>1</v>
      </c>
      <c r="AP47" s="230">
        <f t="shared" ca="1" si="153"/>
        <v>2</v>
      </c>
      <c r="AQ47" s="230">
        <f t="shared" ca="1" si="153"/>
        <v>0</v>
      </c>
      <c r="AR47" s="230">
        <f t="shared" ca="1" si="153"/>
        <v>7</v>
      </c>
      <c r="AS47" s="230">
        <f t="shared" ca="1" si="153"/>
        <v>3</v>
      </c>
      <c r="AT47" s="231">
        <f t="shared" ca="1" si="153"/>
        <v>4</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4</v>
      </c>
      <c r="BF47" s="760">
        <f t="shared" ca="1" si="26"/>
        <v>3</v>
      </c>
      <c r="BG47" s="760">
        <f t="shared" ca="1" si="17"/>
        <v>1</v>
      </c>
      <c r="BH47" s="760">
        <f t="shared" ca="1" si="18"/>
        <v>1</v>
      </c>
      <c r="BI47" s="760">
        <f t="shared" ca="1" si="19"/>
        <v>1</v>
      </c>
      <c r="BJ47" s="760">
        <f t="shared" ca="1" si="20"/>
        <v>4</v>
      </c>
      <c r="BK47" s="760">
        <f t="shared" ca="1" si="21"/>
        <v>3</v>
      </c>
      <c r="BL47" s="760">
        <f t="shared" ca="1" si="27"/>
        <v>1</v>
      </c>
      <c r="BM47" s="760" t="str">
        <f t="shared" ca="1" si="22"/>
        <v>3K</v>
      </c>
      <c r="BN47" s="760" t="str">
        <f t="shared" ca="1" si="23"/>
        <v>3K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4</v>
      </c>
      <c r="BS47" s="769">
        <f ca="1">BP47+COUNTIFS($BQ$6:$BQ$53,BQ47,$BR$6:BR$53,"&gt;"&amp;BR47,$BC$6:$BC$53,INDEX(T_Equipos[Grupo],MATCH(BD47,T_Equipos[NombreEquipo],0)))</f>
        <v>3</v>
      </c>
      <c r="BT47" s="769" t="str">
        <f ca="1">IF(COUNTIFS($BS$6:$BS$53,BS47,$BC$6:$BC$53,INDEX(T_Equipos[Grupo],MATCH(BD47,T_Equipos[NombreEquipo],0)))=1,"-","P."&amp;BS47&amp;" ("&amp;COUNTIFS($BS$6:$BS$53,BS47,$BC$6:$BC$53,INDEX(T_Equipos[Grupo],MATCH(BD47,T_Equipos[NombreEquipo],0)))&amp;")")</f>
        <v>-</v>
      </c>
      <c r="BU47" s="770" t="str">
        <f t="shared" ca="1" si="36"/>
        <v>-</v>
      </c>
      <c r="BV47" s="770" t="str">
        <f t="shared" ca="1" si="37"/>
        <v>-</v>
      </c>
      <c r="BW47" s="770" t="str">
        <f t="shared" ca="1" si="38"/>
        <v>-</v>
      </c>
      <c r="BX47" s="770" t="str">
        <f t="shared" ca="1" si="39"/>
        <v>-</v>
      </c>
      <c r="BY47" s="770">
        <f ca="1">BS47+COUNTIFS($BT$6:$BT$53,BT47,$BX$6:BX$53,"&gt;"&amp;BX47,$BC$6:$BC$53,INDEX(T_Equipos[Grupo],MATCH(BD47,T_Equipos[NombreEquipo],0)))</f>
        <v>3</v>
      </c>
      <c r="BZ47" s="769" t="str">
        <f ca="1">IF(COUNTIFS($BY$6:$BY$53,BY47,$BC$6:$BC$53,INDEX(T_Equipos[Grupo],MATCH(BD47,T_Equipos[NombreEquipo],0)))=1,"-","P."&amp;BY47&amp;" ("&amp;COUNTIFS($BY$6:$BY$53,BY47,$BC$6:$BC$53,INDEX(T_Equipos[Grupo],MATCH(BD47,T_Equipos[NombreEquipo],0)))&amp;")")</f>
        <v>-</v>
      </c>
      <c r="CA47" s="770" t="str">
        <f t="shared" ca="1" si="40"/>
        <v>-</v>
      </c>
      <c r="CB47" s="770" t="str">
        <f t="shared" ca="1" si="41"/>
        <v>-</v>
      </c>
      <c r="CC47" s="770" t="str">
        <f t="shared" ca="1" si="42"/>
        <v>-</v>
      </c>
      <c r="CD47" s="770">
        <f ca="1">BY47+COUNTIFS($BZ$6:$BZ$53,BZ47,$CC$6:CC$53,"&gt;"&amp;CC47,$BC$6:$BC$53,INDEX(T_Equipos[Grupo],MATCH(BD47,T_Equipos[NombreEquipo],0)))</f>
        <v>3</v>
      </c>
      <c r="CE47" s="769" t="str">
        <f ca="1">IF(COUNTIFS($CD$6:$CD$53,CD47,$BC$6:$BC$53,INDEX(T_Equipos[Grupo],MATCH(BD47,T_Equipos[NombreEquipo],0)))=1,"-","P."&amp;CD47&amp;" ("&amp;COUNTIFS($CD$6:$CD$53,CD47,$BC$6:$BC$53,INDEX(T_Equipos[Grupo],MATCH(BD47,T_Equipos[NombreEquipo],0)))&amp;")")</f>
        <v>-</v>
      </c>
      <c r="CF47" s="770" t="str">
        <f t="shared" ca="1" si="43"/>
        <v>-</v>
      </c>
      <c r="CG47" s="770">
        <f ca="1">CD47+COUNTIFS($CE$6:$CE$53,CE47,$CF$6:CF$53,"&gt;"&amp;CF47,$BC$6:$BC$53,INDEX(T_Equipos[Grupo],MATCH(BD47,T_Equipos[NombreEquipo],0)))</f>
        <v>3</v>
      </c>
      <c r="CH47" s="769" t="str">
        <f ca="1">IF(COUNTIFS($CG$6:$CG$53,CG47,$BC$6:$BC$53,INDEX(T_Equipos[Grupo],MATCH(BD47,T_Equipos[NombreEquipo],0)))=1,"-","P."&amp;CG47&amp;" ("&amp;COUNTIFS($CG$6:$CG$53,CG47,$BC$6:$BC$53,INDEX(T_Equipos[Grupo],MATCH(BD47,T_Equipos[NombreEquipo],0)))&amp;")")</f>
        <v>-</v>
      </c>
      <c r="CI47" s="770" t="str">
        <f t="shared" ca="1" si="44"/>
        <v>-</v>
      </c>
      <c r="CJ47" s="770" t="str">
        <f t="shared" ca="1" si="45"/>
        <v>-</v>
      </c>
      <c r="CK47" s="770" t="str">
        <f t="shared" ca="1" si="46"/>
        <v>-</v>
      </c>
      <c r="CL47" s="770" t="str">
        <f t="shared" ca="1" si="47"/>
        <v>-</v>
      </c>
      <c r="CM47" s="770">
        <f ca="1">CG47+COUNTIFS($CH$6:$CH$53,CH47,$CL$6:CL$53,"&gt;"&amp;CL47,$BC$6:$BC$53,INDEX(T_Equipos[Grupo],MATCH(BD47,T_Equipos[NombreEquipo],0)))</f>
        <v>3</v>
      </c>
      <c r="CN47" s="769" t="str">
        <f ca="1">IF(COUNTIFS($CM$6:$CM$53,CM47,$BC$6:$BC$53,INDEX(T_Equipos[Grupo],MATCH(BD47,T_Equipos[NombreEquipo],0)))=1,"-","P."&amp;CM47&amp;" ("&amp;COUNTIFS($CM$6:$CM$53,CM47,$BC$6:$BC$53,INDEX(T_Equipos[Grupo],MATCH(BD47,T_Equipos[NombreEquipo],0)))&amp;")")</f>
        <v>-</v>
      </c>
      <c r="CO47" s="770" t="str">
        <f t="shared" ca="1" si="48"/>
        <v>-</v>
      </c>
      <c r="CP47" s="770" t="str">
        <f t="shared" ca="1" si="49"/>
        <v>-</v>
      </c>
      <c r="CQ47" s="770" t="str">
        <f t="shared" ca="1" si="50"/>
        <v>-</v>
      </c>
      <c r="CR47" s="770">
        <f ca="1">CM47+COUNTIFS($CN$6:$CN$53,CN47,$CQ$6:CQ$53,"&gt;"&amp;CQ47,$BC$6:$BC$53,INDEX(T_Equipos[Grupo],MATCH(BD47,T_Equipos[NombreEquipo],0)))</f>
        <v>3</v>
      </c>
      <c r="CS47" s="769" t="str">
        <f ca="1">IF(COUNTIFS($CR$6:$CR$53,CR47,$BC$6:$BC$53,INDEX(T_Equipos[Grupo],MATCH(BD47,T_Equipos[NombreEquipo],0)))=1,"-","P."&amp;CR47&amp;" ("&amp;COUNTIFS($CR$6:$CR$53,CR47,$BC$6:$BC$53,INDEX(T_Equipos[Grupo],MATCH(BD47,T_Equipos[NombreEquipo],0)))&amp;")")</f>
        <v>-</v>
      </c>
      <c r="CT47" s="770" t="str">
        <f t="shared" ca="1" si="51"/>
        <v>-</v>
      </c>
      <c r="CU47" s="770">
        <f ca="1">CR47+COUNTIFS($CS$6:$CS$53,CS47,$CT$6:CT$53,"&gt;"&amp;CT47,$BC$6:$BC$53,INDEX(T_Equipos[Grupo],MATCH(BD47,T_Equipos[NombreEquipo],0)))</f>
        <v>3</v>
      </c>
      <c r="CV47" s="769" t="str">
        <f ca="1">IF(COUNTIFS($CU$6:$CU$53,CU47,$BC$6:$BC$53,INDEX(T_Equipos[Grupo],MATCH(BD47,T_Equipos[NombreEquipo],0)))=1,"-","P."&amp;CU47&amp;" ("&amp;COUNTIFS($CU$6:$CU$53,CU47,$BC$6:$BC$53,INDEX(T_Equipos[Grupo],MATCH(BD47,T_Equipos[NombreEquipo],0)))&amp;")")</f>
        <v>-</v>
      </c>
      <c r="CW47" s="769" t="str">
        <f t="shared" ca="1" si="30"/>
        <v>-</v>
      </c>
      <c r="CX47" s="769">
        <f ca="1">CU47+COUNTIFS($CV$6:$CV$53,CV47,$CW$6:CW$53,"&gt;"&amp;CW47,$BC$6:$BC$53,INDEX(T_Equipos[Grupo],MATCH(BD47,T_Equipos[NombreEquipo],0)))</f>
        <v>3</v>
      </c>
      <c r="CY47" s="769" t="str">
        <f ca="1">IF(COUNTIFS($CX$6:$CX$53,CX47,$BC$6:$BC$53,INDEX(T_Equipos[Grupo],MATCH(BD47,T_Equipos[NombreEquipo],0)))=1,"-","P."&amp;CX47&amp;" ("&amp;COUNTIFS($CX$6:$CX$53,CX47,$BC$6:$BC$53,INDEX(T_Equipos[Grupo],MATCH(BD47,T_Equipos[NombreEquipo],0)))&amp;")")</f>
        <v>-</v>
      </c>
      <c r="CZ47" s="769" t="str">
        <f t="shared" ca="1" si="31"/>
        <v>-</v>
      </c>
      <c r="DA47" s="770">
        <f ca="1">CX47+COUNTIFS($CY$6:$CY$53,CY47,$CZ$6:CZ$53,"&gt;"&amp;CZ47,$BC$6:$BC$53,INDEX(T_Equipos[Grupo],MATCH(BD47,T_Equipos[NombreEquipo],0)))</f>
        <v>3</v>
      </c>
      <c r="DB47" s="769" t="str">
        <f ca="1">IF(COUNTIFS($DA$6:$DA$53,DA47,$BC$6:$BC$53,INDEX(T_Equipos[Grupo],MATCH(BD47,T_Equipos[NombreEquipo],0)))=1,"-","P."&amp;DA47&amp;" ("&amp;COUNTIFS($DA$6:$DA$53,DA47,$BC$6:$BC$53,INDEX(T_Equipos[Grupo],MATCH(BD47,T_Equipos[NombreEquipo],0)))&amp;")")</f>
        <v>-</v>
      </c>
      <c r="DC47" s="768" t="str">
        <f ca="1">IF(DB47="-","-",COUNTIFS(T_Equipos[Rank],"&lt;"&amp;INDEX(T_Equipos[Rank],MATCH(BD47,T_Equipos[NombreEquipo],0)),$BC$6:$BC$53,INDEX(T_Equipos[Grupo],MATCH(BD47,T_Equipos[NombreEquipo],0)))+1)</f>
        <v>-</v>
      </c>
      <c r="DD47" s="768">
        <f ca="1">DA47+COUNTIFS($DB$6:$DB$53,DB47,$DC$6:DC$53,"&lt;"&amp;DC47,$BC$6:$BC$53,INDEX(T_Equipos[Grupo],MATCH(BD47,T_Equipos[NombreEquipo],0)))</f>
        <v>3</v>
      </c>
      <c r="DE47" s="768"/>
      <c r="DF47" s="768">
        <f t="shared" ca="1" si="52"/>
        <v>3</v>
      </c>
      <c r="DG47" s="768" t="str">
        <f ca="1">IF(DB47="-","-",COUNTIFS(DF$6:DF$53,"&lt;"&amp;DF47,$BC$6:$BC$53,INDEX(T_Equipos[Grupo],MATCH(BD47,T_Equipos[NombreEquipo],0))))</f>
        <v>-</v>
      </c>
      <c r="DH47" s="768">
        <f ca="1">DA47+COUNTIFS(DB$6:DB$53,DB47,DG$6:DG$53,"&lt;"&amp;DG47,$BC$6:$BC$53,INDEX(T_Equipos[Grupo],MATCH(BD47,T_Equipos[NombreEquipo],0)))</f>
        <v>3</v>
      </c>
      <c r="DI47" s="756"/>
      <c r="DJ47" s="756">
        <f t="shared" ca="1" si="53"/>
        <v>2</v>
      </c>
      <c r="DK47" s="756">
        <f t="shared" ca="1" si="24"/>
        <v>12</v>
      </c>
      <c r="DL47" s="756">
        <f t="shared" ca="1" si="33"/>
        <v>1</v>
      </c>
      <c r="DM47" s="750" t="str">
        <f t="shared" ca="1" si="34"/>
        <v>2.1</v>
      </c>
      <c r="DN47" s="756" cm="1">
        <f t="array" aca="1" ref="DN47" ca="1">OFFSET(Horarios!$P$3,DJ47-1,0,DL47,1)</f>
        <v>2</v>
      </c>
      <c r="DO47" s="756"/>
      <c r="DP47" s="756" t="s">
        <v>680</v>
      </c>
      <c r="DQ47" s="756" t="str">
        <f t="shared" ca="1" si="35"/>
        <v>Portugal</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Empate</v>
      </c>
      <c r="E48" s="756" t="str">
        <f t="shared" ca="1" si="137"/>
        <v>-</v>
      </c>
      <c r="F48" s="756" t="str">
        <f t="shared" ca="1" si="138"/>
        <v>-</v>
      </c>
      <c r="G48" s="756"/>
      <c r="H48" s="756" t="str">
        <f t="shared" ca="1" si="139"/>
        <v>-</v>
      </c>
      <c r="I48" s="756" t="str">
        <f t="shared" ca="1" si="140"/>
        <v>-</v>
      </c>
      <c r="J48" s="756"/>
      <c r="K48" s="756" t="str">
        <f t="shared" ca="1" si="141"/>
        <v>-</v>
      </c>
      <c r="L48" s="756" t="str">
        <f t="shared" ca="1" si="142"/>
        <v>-</v>
      </c>
      <c r="M48" s="756"/>
      <c r="N48" s="756" t="str">
        <f t="shared" ca="1" si="143"/>
        <v>-</v>
      </c>
      <c r="O48" s="756" t="str">
        <f t="shared" ca="1" si="144"/>
        <v>-</v>
      </c>
      <c r="P48" s="756"/>
      <c r="Q48" s="756" t="str">
        <f t="shared" ca="1" si="145"/>
        <v>-</v>
      </c>
      <c r="R48" s="756" t="str">
        <f t="shared" ca="1" si="146"/>
        <v>-</v>
      </c>
      <c r="S48" s="756"/>
      <c r="T48" s="756" t="str">
        <f t="shared" ca="1" si="147"/>
        <v>-</v>
      </c>
      <c r="U48" s="756" t="str">
        <f t="shared" ca="1" si="148"/>
        <v>-</v>
      </c>
      <c r="V48" s="178"/>
      <c r="W48" s="829"/>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1</v>
      </c>
      <c r="AH48" s="202">
        <v>57</v>
      </c>
      <c r="AI48" s="19" t="str">
        <f t="shared" si="154"/>
        <v>3F</v>
      </c>
      <c r="AJ48" s="227">
        <v>3</v>
      </c>
      <c r="AK48" s="494" t="str" cm="1">
        <f t="array" aca="1" ref="AK48" ca="1">Ver_flag_visit</f>
        <v>🇸🇪</v>
      </c>
      <c r="AL48" s="228" t="str">
        <f ca="1">IFERROR(INDEX($BD$6:$BD$53,MATCH(AI48,$BN$6:$BN$53,0)),"")</f>
        <v>Suecia</v>
      </c>
      <c r="AM48" s="229">
        <f t="shared" ca="1" si="153"/>
        <v>4</v>
      </c>
      <c r="AN48" s="230">
        <f t="shared" ca="1" si="153"/>
        <v>3</v>
      </c>
      <c r="AO48" s="230">
        <f t="shared" ca="1" si="153"/>
        <v>1</v>
      </c>
      <c r="AP48" s="230">
        <f t="shared" ca="1" si="153"/>
        <v>1</v>
      </c>
      <c r="AQ48" s="230">
        <f t="shared" ca="1" si="153"/>
        <v>1</v>
      </c>
      <c r="AR48" s="230">
        <f t="shared" ca="1" si="153"/>
        <v>7</v>
      </c>
      <c r="AS48" s="230">
        <f t="shared" ca="1" si="153"/>
        <v>7</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3</v>
      </c>
      <c r="BG48" s="760">
        <f t="shared" ca="1" si="17"/>
        <v>0</v>
      </c>
      <c r="BH48" s="760">
        <f t="shared" ca="1" si="18"/>
        <v>0</v>
      </c>
      <c r="BI48" s="760">
        <f t="shared" ca="1" si="19"/>
        <v>3</v>
      </c>
      <c r="BJ48" s="760">
        <f t="shared" ca="1" si="20"/>
        <v>2</v>
      </c>
      <c r="BK48" s="760">
        <f t="shared" ca="1" si="21"/>
        <v>11</v>
      </c>
      <c r="BL48" s="760">
        <f t="shared" ca="1" si="27"/>
        <v>-9</v>
      </c>
      <c r="BM48" s="760" t="str">
        <f t="shared" ca="1" si="22"/>
        <v>4K</v>
      </c>
      <c r="BN48" s="760" t="str">
        <f t="shared" ca="1" si="23"/>
        <v>4K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4</v>
      </c>
      <c r="BT48" s="769" t="str">
        <f ca="1">IF(COUNTIFS($BS$6:$BS$53,BS48,$BC$6:$BC$53,INDEX(T_Equipos[Grupo],MATCH(BD48,T_Equipos[NombreEquipo],0)))=1,"-","P."&amp;BS48&amp;" ("&amp;COUNTIFS($BS$6:$BS$53,BS48,$BC$6:$BC$53,INDEX(T_Equipos[Grupo],MATCH(BD48,T_Equipos[NombreEquipo],0)))&amp;")")</f>
        <v>-</v>
      </c>
      <c r="BU48" s="770" t="str">
        <f t="shared" ca="1" si="36"/>
        <v>-</v>
      </c>
      <c r="BV48" s="770" t="str">
        <f t="shared" ca="1" si="37"/>
        <v>-</v>
      </c>
      <c r="BW48" s="770" t="str">
        <f t="shared" ca="1" si="38"/>
        <v>-</v>
      </c>
      <c r="BX48" s="770" t="str">
        <f t="shared" ca="1" si="39"/>
        <v>-</v>
      </c>
      <c r="BY48" s="770">
        <f ca="1">BS48+COUNTIFS($BT$6:$BT$53,BT48,$BX$6:BX$53,"&gt;"&amp;BX48,$BC$6:$BC$53,INDEX(T_Equipos[Grupo],MATCH(BD48,T_Equipos[NombreEquipo],0)))</f>
        <v>4</v>
      </c>
      <c r="BZ48" s="769" t="str">
        <f ca="1">IF(COUNTIFS($BY$6:$BY$53,BY48,$BC$6:$BC$53,INDEX(T_Equipos[Grupo],MATCH(BD48,T_Equipos[NombreEquipo],0)))=1,"-","P."&amp;BY48&amp;" ("&amp;COUNTIFS($BY$6:$BY$53,BY48,$BC$6:$BC$53,INDEX(T_Equipos[Grupo],MATCH(BD48,T_Equipos[NombreEquipo],0)))&amp;")")</f>
        <v>-</v>
      </c>
      <c r="CA48" s="770" t="str">
        <f t="shared" ca="1" si="40"/>
        <v>-</v>
      </c>
      <c r="CB48" s="770" t="str">
        <f t="shared" ca="1" si="41"/>
        <v>-</v>
      </c>
      <c r="CC48" s="770" t="str">
        <f t="shared" ca="1" si="42"/>
        <v>-</v>
      </c>
      <c r="CD48" s="770">
        <f ca="1">BY48+COUNTIFS($BZ$6:$BZ$53,BZ48,$CC$6:CC$53,"&gt;"&amp;CC48,$BC$6:$BC$53,INDEX(T_Equipos[Grupo],MATCH(BD48,T_Equipos[NombreEquipo],0)))</f>
        <v>4</v>
      </c>
      <c r="CE48" s="769" t="str">
        <f ca="1">IF(COUNTIFS($CD$6:$CD$53,CD48,$BC$6:$BC$53,INDEX(T_Equipos[Grupo],MATCH(BD48,T_Equipos[NombreEquipo],0)))=1,"-","P."&amp;CD48&amp;" ("&amp;COUNTIFS($CD$6:$CD$53,CD48,$BC$6:$BC$53,INDEX(T_Equipos[Grupo],MATCH(BD48,T_Equipos[NombreEquipo],0)))&amp;")")</f>
        <v>-</v>
      </c>
      <c r="CF48" s="770" t="str">
        <f t="shared" ca="1" si="43"/>
        <v>-</v>
      </c>
      <c r="CG48" s="770">
        <f ca="1">CD48+COUNTIFS($CE$6:$CE$53,CE48,$CF$6:CF$53,"&gt;"&amp;CF48,$BC$6:$BC$53,INDEX(T_Equipos[Grupo],MATCH(BD48,T_Equipos[NombreEquipo],0)))</f>
        <v>4</v>
      </c>
      <c r="CH48" s="769" t="str">
        <f ca="1">IF(COUNTIFS($CG$6:$CG$53,CG48,$BC$6:$BC$53,INDEX(T_Equipos[Grupo],MATCH(BD48,T_Equipos[NombreEquipo],0)))=1,"-","P."&amp;CG48&amp;" ("&amp;COUNTIFS($CG$6:$CG$53,CG48,$BC$6:$BC$53,INDEX(T_Equipos[Grupo],MATCH(BD48,T_Equipos[NombreEquipo],0)))&amp;")")</f>
        <v>-</v>
      </c>
      <c r="CI48" s="770" t="str">
        <f t="shared" ca="1" si="44"/>
        <v>-</v>
      </c>
      <c r="CJ48" s="770" t="str">
        <f t="shared" ca="1" si="45"/>
        <v>-</v>
      </c>
      <c r="CK48" s="770" t="str">
        <f t="shared" ca="1" si="46"/>
        <v>-</v>
      </c>
      <c r="CL48" s="770" t="str">
        <f t="shared" ca="1" si="47"/>
        <v>-</v>
      </c>
      <c r="CM48" s="770">
        <f ca="1">CG48+COUNTIFS($CH$6:$CH$53,CH48,$CL$6:CL$53,"&gt;"&amp;CL48,$BC$6:$BC$53,INDEX(T_Equipos[Grupo],MATCH(BD48,T_Equipos[NombreEquipo],0)))</f>
        <v>4</v>
      </c>
      <c r="CN48" s="769" t="str">
        <f ca="1">IF(COUNTIFS($CM$6:$CM$53,CM48,$BC$6:$BC$53,INDEX(T_Equipos[Grupo],MATCH(BD48,T_Equipos[NombreEquipo],0)))=1,"-","P."&amp;CM48&amp;" ("&amp;COUNTIFS($CM$6:$CM$53,CM48,$BC$6:$BC$53,INDEX(T_Equipos[Grupo],MATCH(BD48,T_Equipos[NombreEquipo],0)))&amp;")")</f>
        <v>-</v>
      </c>
      <c r="CO48" s="770" t="str">
        <f t="shared" ca="1" si="48"/>
        <v>-</v>
      </c>
      <c r="CP48" s="770" t="str">
        <f t="shared" ca="1" si="49"/>
        <v>-</v>
      </c>
      <c r="CQ48" s="770" t="str">
        <f t="shared" ca="1" si="50"/>
        <v>-</v>
      </c>
      <c r="CR48" s="770">
        <f ca="1">CM48+COUNTIFS($CN$6:$CN$53,CN48,$CQ$6:CQ$53,"&gt;"&amp;CQ48,$BC$6:$BC$53,INDEX(T_Equipos[Grupo],MATCH(BD48,T_Equipos[NombreEquipo],0)))</f>
        <v>4</v>
      </c>
      <c r="CS48" s="769" t="str">
        <f ca="1">IF(COUNTIFS($CR$6:$CR$53,CR48,$BC$6:$BC$53,INDEX(T_Equipos[Grupo],MATCH(BD48,T_Equipos[NombreEquipo],0)))=1,"-","P."&amp;CR48&amp;" ("&amp;COUNTIFS($CR$6:$CR$53,CR48,$BC$6:$BC$53,INDEX(T_Equipos[Grupo],MATCH(BD48,T_Equipos[NombreEquipo],0)))&amp;")")</f>
        <v>-</v>
      </c>
      <c r="CT48" s="770" t="str">
        <f t="shared" ca="1" si="51"/>
        <v>-</v>
      </c>
      <c r="CU48" s="770">
        <f ca="1">CR48+COUNTIFS($CS$6:$CS$53,CS48,$CT$6:CT$53,"&gt;"&amp;CT48,$BC$6:$BC$53,INDEX(T_Equipos[Grupo],MATCH(BD48,T_Equipos[NombreEquipo],0)))</f>
        <v>4</v>
      </c>
      <c r="CV48" s="769" t="str">
        <f ca="1">IF(COUNTIFS($CU$6:$CU$53,CU48,$BC$6:$BC$53,INDEX(T_Equipos[Grupo],MATCH(BD48,T_Equipos[NombreEquipo],0)))=1,"-","P."&amp;CU48&amp;" ("&amp;COUNTIFS($CU$6:$CU$53,CU48,$BC$6:$BC$53,INDEX(T_Equipos[Grupo],MATCH(BD48,T_Equipos[NombreEquipo],0)))&amp;")")</f>
        <v>-</v>
      </c>
      <c r="CW48" s="769" t="str">
        <f t="shared" ca="1" si="30"/>
        <v>-</v>
      </c>
      <c r="CX48" s="769">
        <f ca="1">CU48+COUNTIFS($CV$6:$CV$53,CV48,$CW$6:CW$53,"&gt;"&amp;CW48,$BC$6:$BC$53,INDEX(T_Equipos[Grupo],MATCH(BD48,T_Equipos[NombreEquipo],0)))</f>
        <v>4</v>
      </c>
      <c r="CY48" s="769" t="str">
        <f ca="1">IF(COUNTIFS($CX$6:$CX$53,CX48,$BC$6:$BC$53,INDEX(T_Equipos[Grupo],MATCH(BD48,T_Equipos[NombreEquipo],0)))=1,"-","P."&amp;CX48&amp;" ("&amp;COUNTIFS($CX$6:$CX$53,CX48,$BC$6:$BC$53,INDEX(T_Equipos[Grupo],MATCH(BD48,T_Equipos[NombreEquipo],0)))&amp;")")</f>
        <v>-</v>
      </c>
      <c r="CZ48" s="769" t="str">
        <f t="shared" ca="1" si="31"/>
        <v>-</v>
      </c>
      <c r="DA48" s="770">
        <f ca="1">CX48+COUNTIFS($CY$6:$CY$53,CY48,$CZ$6:CZ$53,"&gt;"&amp;CZ48,$BC$6:$BC$53,INDEX(T_Equipos[Grupo],MATCH(BD48,T_Equipos[NombreEquipo],0)))</f>
        <v>4</v>
      </c>
      <c r="DB48" s="769" t="str">
        <f ca="1">IF(COUNTIFS($DA$6:$DA$53,DA48,$BC$6:$BC$53,INDEX(T_Equipos[Grupo],MATCH(BD48,T_Equipos[NombreEquipo],0)))=1,"-","P."&amp;DA48&amp;" ("&amp;COUNTIFS($DA$6:$DA$53,DA48,$BC$6:$BC$53,INDEX(T_Equipos[Grupo],MATCH(BD48,T_Equipos[NombreEquipo],0)))&amp;")")</f>
        <v>-</v>
      </c>
      <c r="DC48" s="768" t="str">
        <f ca="1">IF(DB48="-","-",COUNTIFS(T_Equipos[Rank],"&lt;"&amp;INDEX(T_Equipos[Rank],MATCH(BD48,T_Equipos[NombreEquipo],0)),$BC$6:$BC$53,INDEX(T_Equipos[Grupo],MATCH(BD48,T_Equipos[NombreEquipo],0)))+1)</f>
        <v>-</v>
      </c>
      <c r="DD48" s="768">
        <f ca="1">DA48+COUNTIFS($DB$6:$DB$53,DB48,$DC$6:DC$53,"&lt;"&amp;DC48,$BC$6:$BC$53,INDEX(T_Equipos[Grupo],MATCH(BD48,T_Equipos[NombreEquipo],0)))</f>
        <v>4</v>
      </c>
      <c r="DE48" s="768"/>
      <c r="DF48" s="768">
        <f t="shared" ca="1" si="52"/>
        <v>4</v>
      </c>
      <c r="DG48" s="768" t="str">
        <f ca="1">IF(DB48="-","-",COUNTIFS(DF$6:DF$53,"&lt;"&amp;DF48,$BC$6:$BC$53,INDEX(T_Equipos[Grupo],MATCH(BD48,T_Equipos[NombreEquipo],0))))</f>
        <v>-</v>
      </c>
      <c r="DH48" s="768">
        <f ca="1">DA48+COUNTIFS(DB$6:DB$53,DB48,DG$6:DG$53,"&lt;"&amp;DG48,$BC$6:$BC$53,INDEX(T_Equipos[Grupo],MATCH(BD48,T_Equipos[NombreEquipo],0)))</f>
        <v>4</v>
      </c>
      <c r="DI48" s="756"/>
      <c r="DJ48" s="756">
        <f t="shared" ca="1" si="53"/>
        <v>3</v>
      </c>
      <c r="DK48" s="756">
        <f t="shared" ca="1" si="24"/>
        <v>12</v>
      </c>
      <c r="DL48" s="756">
        <f t="shared" ca="1" si="33"/>
        <v>1</v>
      </c>
      <c r="DM48" s="750" t="str">
        <f t="shared" ca="1" si="34"/>
        <v>3.1</v>
      </c>
      <c r="DN48" s="756" cm="1">
        <f t="array" aca="1" ref="DN48" ca="1">OFFSET(Horarios!$P$3,DJ48-1,0,DL48,1)</f>
        <v>3</v>
      </c>
      <c r="DO48" s="756"/>
      <c r="DP48" s="756" t="s">
        <v>442</v>
      </c>
      <c r="DQ48" s="756" t="str">
        <f t="shared" ca="1" si="35"/>
        <v>RD Congo</v>
      </c>
      <c r="DR48" s="756"/>
      <c r="DS48" s="756"/>
      <c r="DT48" s="756" t="str">
        <f t="shared" ca="1" si="15"/>
        <v>Japón-Suecia</v>
      </c>
      <c r="DU48" s="756"/>
      <c r="DV48" s="756"/>
      <c r="DW48" s="8"/>
    </row>
    <row r="49" spans="1:127" ht="17" customHeight="1" thickBot="1" x14ac:dyDescent="0.25">
      <c r="A49" s="751"/>
      <c r="B49" s="751"/>
      <c r="C49" s="751"/>
      <c r="D49" s="756" t="str">
        <f t="shared" si="136"/>
        <v>Visitante</v>
      </c>
      <c r="E49" s="756" t="str">
        <f t="shared" ca="1" si="137"/>
        <v>-</v>
      </c>
      <c r="F49" s="756" t="str">
        <f t="shared" ca="1" si="138"/>
        <v>-</v>
      </c>
      <c r="G49" s="756"/>
      <c r="H49" s="756" t="str">
        <f t="shared" ca="1" si="139"/>
        <v>-</v>
      </c>
      <c r="I49" s="756" t="str">
        <f t="shared" ca="1" si="140"/>
        <v>-</v>
      </c>
      <c r="J49" s="756"/>
      <c r="K49" s="756" t="str">
        <f t="shared" ca="1" si="141"/>
        <v>-</v>
      </c>
      <c r="L49" s="756" t="str">
        <f t="shared" ca="1" si="142"/>
        <v>-</v>
      </c>
      <c r="M49" s="756"/>
      <c r="N49" s="756" t="str">
        <f t="shared" ca="1" si="143"/>
        <v>-</v>
      </c>
      <c r="O49" s="756" t="str">
        <f t="shared" ca="1" si="144"/>
        <v>-</v>
      </c>
      <c r="P49" s="756"/>
      <c r="Q49" s="756" t="str">
        <f t="shared" ca="1" si="145"/>
        <v>-</v>
      </c>
      <c r="R49" s="756" t="str">
        <f t="shared" ca="1" si="146"/>
        <v>-</v>
      </c>
      <c r="S49" s="756"/>
      <c r="T49" s="756" t="str">
        <f t="shared" ca="1" si="147"/>
        <v>-</v>
      </c>
      <c r="U49" s="756" t="str">
        <f t="shared" ca="1" si="148"/>
        <v>-</v>
      </c>
      <c r="V49" s="178"/>
      <c r="W49" s="830"/>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1</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3</v>
      </c>
      <c r="AO49" s="244">
        <f t="shared" ca="1" si="153"/>
        <v>0</v>
      </c>
      <c r="AP49" s="244">
        <f t="shared" ca="1" si="153"/>
        <v>0</v>
      </c>
      <c r="AQ49" s="244">
        <f t="shared" ca="1" si="153"/>
        <v>3</v>
      </c>
      <c r="AR49" s="244">
        <f t="shared" ca="1" si="153"/>
        <v>2</v>
      </c>
      <c r="AS49" s="244">
        <f t="shared" ca="1" si="153"/>
        <v>12</v>
      </c>
      <c r="AT49" s="245">
        <f t="shared" ca="1" si="153"/>
        <v>-10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7</v>
      </c>
      <c r="BF49" s="760">
        <f t="shared" ca="1" si="26"/>
        <v>3</v>
      </c>
      <c r="BG49" s="760">
        <f t="shared" ca="1" si="17"/>
        <v>2</v>
      </c>
      <c r="BH49" s="760">
        <f t="shared" ca="1" si="18"/>
        <v>1</v>
      </c>
      <c r="BI49" s="760">
        <f t="shared" ca="1" si="19"/>
        <v>0</v>
      </c>
      <c r="BJ49" s="760">
        <f t="shared" ca="1" si="20"/>
        <v>4</v>
      </c>
      <c r="BK49" s="760">
        <f t="shared" ca="1" si="21"/>
        <v>1</v>
      </c>
      <c r="BL49" s="760">
        <f t="shared" ca="1" si="27"/>
        <v>3</v>
      </c>
      <c r="BM49" s="760" t="str">
        <f t="shared" ca="1" si="22"/>
        <v>1K</v>
      </c>
      <c r="BN49" s="760" t="str">
        <f t="shared" ca="1" si="23"/>
        <v>1K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7</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v>
      </c>
      <c r="BU49" s="770" t="str">
        <f t="shared" ca="1" si="36"/>
        <v>-</v>
      </c>
      <c r="BV49" s="770" t="str">
        <f t="shared" ca="1" si="37"/>
        <v>-</v>
      </c>
      <c r="BW49" s="770" t="str">
        <f t="shared" ca="1" si="38"/>
        <v>-</v>
      </c>
      <c r="BX49" s="770" t="str">
        <f t="shared" ca="1" si="39"/>
        <v>-</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v>
      </c>
      <c r="CA49" s="770" t="str">
        <f t="shared" ca="1" si="40"/>
        <v>-</v>
      </c>
      <c r="CB49" s="770" t="str">
        <f t="shared" ca="1" si="41"/>
        <v>-</v>
      </c>
      <c r="CC49" s="770" t="str">
        <f t="shared" ca="1" si="42"/>
        <v>-</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v>
      </c>
      <c r="CF49" s="770" t="str">
        <f t="shared" ca="1" si="43"/>
        <v>-</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v>
      </c>
      <c r="CI49" s="770" t="str">
        <f t="shared" ca="1" si="44"/>
        <v>-</v>
      </c>
      <c r="CJ49" s="770" t="str">
        <f t="shared" ca="1" si="45"/>
        <v>-</v>
      </c>
      <c r="CK49" s="770" t="str">
        <f t="shared" ca="1" si="46"/>
        <v>-</v>
      </c>
      <c r="CL49" s="770" t="str">
        <f t="shared" ca="1" si="47"/>
        <v>-</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v>
      </c>
      <c r="CO49" s="770" t="str">
        <f t="shared" ca="1" si="48"/>
        <v>-</v>
      </c>
      <c r="CP49" s="770" t="str">
        <f t="shared" ca="1" si="49"/>
        <v>-</v>
      </c>
      <c r="CQ49" s="770" t="str">
        <f t="shared" ca="1" si="50"/>
        <v>-</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v>
      </c>
      <c r="CT49" s="770" t="str">
        <f t="shared" ca="1" si="51"/>
        <v>-</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v>
      </c>
      <c r="CW49" s="769" t="str">
        <f t="shared" ca="1" si="30"/>
        <v>-</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v>
      </c>
      <c r="CZ49" s="769" t="str">
        <f t="shared" ca="1" si="31"/>
        <v>-</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v>
      </c>
      <c r="DC49" s="768" t="str">
        <f ca="1">IF(DB49="-","-",COUNTIFS(T_Equipos[Rank],"&lt;"&amp;INDEX(T_Equipos[Rank],MATCH(BD49,T_Equipos[NombreEquipo],0)),$BC$6:$BC$53,INDEX(T_Equipos[Grupo],MATCH(BD49,T_Equipos[NombreEquipo],0)))+1)</f>
        <v>-</v>
      </c>
      <c r="DD49" s="768">
        <f ca="1">DA49+COUNTIFS($DB$6:$DB$53,DB49,$DC$6:DC$53,"&lt;"&amp;DC49,$BC$6:$BC$53,INDEX(T_Equipos[Grupo],MATCH(BD49,T_Equipos[NombreEquipo],0)))</f>
        <v>1</v>
      </c>
      <c r="DE49" s="768"/>
      <c r="DF49" s="768">
        <f t="shared" ca="1" si="52"/>
        <v>1</v>
      </c>
      <c r="DG49" s="768" t="str">
        <f ca="1">IF(DB49="-","-",COUNTIFS(DF$6:DF$53,"&lt;"&amp;DF49,$BC$6:$BC$53,INDEX(T_Equipos[Grupo],MATCH(BD49,T_Equipos[NombreEquipo],0))))</f>
        <v>-</v>
      </c>
      <c r="DH49" s="768">
        <f ca="1">DA49+COUNTIFS(DB$6:DB$53,DB49,DG$6:DG$53,"&lt;"&amp;DG49,$BC$6:$BC$53,INDEX(T_Equipos[Grupo],MATCH(BD49,T_Equipos[NombreEquipo],0)))</f>
        <v>1</v>
      </c>
      <c r="DI49" s="756"/>
      <c r="DJ49" s="756">
        <f t="shared" ca="1" si="53"/>
        <v>4</v>
      </c>
      <c r="DK49" s="756">
        <f t="shared" ca="1" si="24"/>
        <v>12</v>
      </c>
      <c r="DL49" s="756">
        <f t="shared" ca="1" si="33"/>
        <v>1</v>
      </c>
      <c r="DM49" s="750" t="str">
        <f t="shared" ca="1" si="34"/>
        <v>4.1</v>
      </c>
      <c r="DN49" s="756" cm="1">
        <f t="array" aca="1" ref="DN49" ca="1">OFFSET(Horarios!$P$3,DJ49-1,0,DL49,1)</f>
        <v>4</v>
      </c>
      <c r="DO49" s="756"/>
      <c r="DP49" s="756" t="s">
        <v>681</v>
      </c>
      <c r="DQ49" s="756" t="str">
        <f t="shared" ca="1" si="35"/>
        <v>Uzbekistán</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7</v>
      </c>
      <c r="BF50" s="760">
        <f t="shared" ca="1" si="26"/>
        <v>3</v>
      </c>
      <c r="BG50" s="760">
        <f t="shared" ca="1" si="17"/>
        <v>2</v>
      </c>
      <c r="BH50" s="760">
        <f t="shared" ca="1" si="18"/>
        <v>1</v>
      </c>
      <c r="BI50" s="760">
        <f t="shared" ca="1" si="19"/>
        <v>0</v>
      </c>
      <c r="BJ50" s="760">
        <f t="shared" ca="1" si="20"/>
        <v>6</v>
      </c>
      <c r="BK50" s="760">
        <f t="shared" ca="1" si="21"/>
        <v>2</v>
      </c>
      <c r="BL50" s="760">
        <f t="shared" ca="1" si="27"/>
        <v>4</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7</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v>
      </c>
      <c r="BU50" s="770" t="str">
        <f t="shared" ca="1" si="36"/>
        <v>-</v>
      </c>
      <c r="BV50" s="770" t="str">
        <f t="shared" ca="1" si="37"/>
        <v>-</v>
      </c>
      <c r="BW50" s="770" t="str">
        <f t="shared" ca="1" si="38"/>
        <v>-</v>
      </c>
      <c r="BX50" s="770" t="str">
        <f t="shared" ca="1" si="39"/>
        <v>-</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v>
      </c>
      <c r="CA50" s="770" t="str">
        <f t="shared" ca="1" si="40"/>
        <v>-</v>
      </c>
      <c r="CB50" s="770" t="str">
        <f t="shared" ca="1" si="41"/>
        <v>-</v>
      </c>
      <c r="CC50" s="770" t="str">
        <f t="shared" ca="1" si="42"/>
        <v>-</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v>
      </c>
      <c r="CF50" s="770" t="str">
        <f t="shared" ca="1" si="43"/>
        <v>-</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v>
      </c>
      <c r="CI50" s="770" t="str">
        <f t="shared" ca="1" si="44"/>
        <v>-</v>
      </c>
      <c r="CJ50" s="770" t="str">
        <f t="shared" ca="1" si="45"/>
        <v>-</v>
      </c>
      <c r="CK50" s="770" t="str">
        <f t="shared" ca="1" si="46"/>
        <v>-</v>
      </c>
      <c r="CL50" s="770" t="str">
        <f t="shared" ca="1" si="47"/>
        <v>-</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v>
      </c>
      <c r="CO50" s="770" t="str">
        <f t="shared" ca="1" si="48"/>
        <v>-</v>
      </c>
      <c r="CP50" s="770" t="str">
        <f t="shared" ca="1" si="49"/>
        <v>-</v>
      </c>
      <c r="CQ50" s="770" t="str">
        <f t="shared" ca="1" si="50"/>
        <v>-</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v>
      </c>
      <c r="CT50" s="770" t="str">
        <f t="shared" ca="1" si="51"/>
        <v>-</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v>
      </c>
      <c r="CW50" s="769" t="str">
        <f t="shared" ca="1" si="30"/>
        <v>-</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v>
      </c>
      <c r="CZ50" s="769" t="str">
        <f t="shared" ca="1" si="31"/>
        <v>-</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v>
      </c>
      <c r="DC50" s="768" t="str">
        <f ca="1">IF(DB50="-","-",COUNTIFS(T_Equipos[Rank],"&lt;"&amp;INDEX(T_Equipos[Rank],MATCH(BD50,T_Equipos[NombreEquipo],0)),$BC$6:$BC$53,INDEX(T_Equipos[Grupo],MATCH(BD50,T_Equipos[NombreEquipo],0)))+1)</f>
        <v>-</v>
      </c>
      <c r="DD50" s="768">
        <f ca="1">DA50+COUNTIFS($DB$6:$DB$53,DB50,$DC$6:DC$53,"&lt;"&amp;DC50,$BC$6:$BC$53,INDEX(T_Equipos[Grupo],MATCH(BD50,T_Equipos[NombreEquipo],0)))</f>
        <v>1</v>
      </c>
      <c r="DE50" s="768"/>
      <c r="DF50" s="768">
        <f t="shared" ca="1" si="52"/>
        <v>1</v>
      </c>
      <c r="DG50" s="768" t="str">
        <f ca="1">IF(DB50="-","-",COUNTIFS(DF$6:DF$53,"&lt;"&amp;DF50,$BC$6:$BC$53,INDEX(T_Equipos[Grupo],MATCH(BD50,T_Equipos[NombreEquipo],0))))</f>
        <v>-</v>
      </c>
      <c r="DH50" s="768">
        <f ca="1">DA50+COUNTIFS(DB$6:DB$53,DB50,DG$6:DG$53,"&lt;"&amp;DG50,$BC$6:$BC$53,INDEX(T_Equipos[Grupo],MATCH(BD50,T_Equipos[NombreEquipo],0)))</f>
        <v>1</v>
      </c>
      <c r="DI50" s="756"/>
      <c r="DJ50" s="756">
        <f t="shared" ca="1" si="53"/>
        <v>1</v>
      </c>
      <c r="DK50" s="756">
        <f t="shared" ca="1" si="24"/>
        <v>12</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6</v>
      </c>
      <c r="BF51" s="760">
        <f t="shared" ca="1" si="26"/>
        <v>3</v>
      </c>
      <c r="BG51" s="760">
        <f t="shared" ca="1" si="17"/>
        <v>2</v>
      </c>
      <c r="BH51" s="760">
        <f t="shared" ca="1" si="18"/>
        <v>0</v>
      </c>
      <c r="BI51" s="760">
        <f t="shared" ca="1" si="19"/>
        <v>1</v>
      </c>
      <c r="BJ51" s="760">
        <f t="shared" ca="1" si="20"/>
        <v>6</v>
      </c>
      <c r="BK51" s="760">
        <f t="shared" ca="1" si="21"/>
        <v>6</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6</v>
      </c>
      <c r="BS51" s="769">
        <f ca="1">BP51+COUNTIFS($BQ$6:$BQ$53,BQ51,$BR$6:BR$53,"&gt;"&amp;BR51,$BC$6:$BC$53,INDEX(T_Equipos[Grupo],MATCH(BD51,T_Equipos[NombreEquipo],0)))</f>
        <v>2</v>
      </c>
      <c r="BT51" s="769" t="str">
        <f ca="1">IF(COUNTIFS($BS$6:$BS$53,BS51,$BC$6:$BC$53,INDEX(T_Equipos[Grupo],MATCH(BD51,T_Equipos[NombreEquipo],0)))=1,"-","P."&amp;BS51&amp;" ("&amp;COUNTIFS($BS$6:$BS$53,BS51,$BC$6:$BC$53,INDEX(T_Equipos[Grupo],MATCH(BD51,T_Equipos[NombreEquipo],0)))&amp;")")</f>
        <v>-</v>
      </c>
      <c r="BU51" s="770" t="str">
        <f t="shared" ca="1" si="36"/>
        <v>-</v>
      </c>
      <c r="BV51" s="770" t="str">
        <f t="shared" ca="1" si="37"/>
        <v>-</v>
      </c>
      <c r="BW51" s="770" t="str">
        <f t="shared" ca="1" si="38"/>
        <v>-</v>
      </c>
      <c r="BX51" s="770" t="str">
        <f t="shared" ca="1" si="39"/>
        <v>-</v>
      </c>
      <c r="BY51" s="770">
        <f ca="1">BS51+COUNTIFS($BT$6:$BT$53,BT51,$BX$6:BX$53,"&gt;"&amp;BX51,$BC$6:$BC$53,INDEX(T_Equipos[Grupo],MATCH(BD51,T_Equipos[NombreEquipo],0)))</f>
        <v>2</v>
      </c>
      <c r="BZ51" s="769" t="str">
        <f ca="1">IF(COUNTIFS($BY$6:$BY$53,BY51,$BC$6:$BC$53,INDEX(T_Equipos[Grupo],MATCH(BD51,T_Equipos[NombreEquipo],0)))=1,"-","P."&amp;BY51&amp;" ("&amp;COUNTIFS($BY$6:$BY$53,BY51,$BC$6:$BC$53,INDEX(T_Equipos[Grupo],MATCH(BD51,T_Equipos[NombreEquipo],0)))&amp;")")</f>
        <v>-</v>
      </c>
      <c r="CA51" s="770" t="str">
        <f t="shared" ca="1" si="40"/>
        <v>-</v>
      </c>
      <c r="CB51" s="770" t="str">
        <f t="shared" ca="1" si="41"/>
        <v>-</v>
      </c>
      <c r="CC51" s="770" t="str">
        <f t="shared" ca="1" si="42"/>
        <v>-</v>
      </c>
      <c r="CD51" s="770">
        <f ca="1">BY51+COUNTIFS($BZ$6:$BZ$53,BZ51,$CC$6:CC$53,"&gt;"&amp;CC51,$BC$6:$BC$53,INDEX(T_Equipos[Grupo],MATCH(BD51,T_Equipos[NombreEquipo],0)))</f>
        <v>2</v>
      </c>
      <c r="CE51" s="769" t="str">
        <f ca="1">IF(COUNTIFS($CD$6:$CD$53,CD51,$BC$6:$BC$53,INDEX(T_Equipos[Grupo],MATCH(BD51,T_Equipos[NombreEquipo],0)))=1,"-","P."&amp;CD51&amp;" ("&amp;COUNTIFS($CD$6:$CD$53,CD51,$BC$6:$BC$53,INDEX(T_Equipos[Grupo],MATCH(BD51,T_Equipos[NombreEquipo],0)))&amp;")")</f>
        <v>-</v>
      </c>
      <c r="CF51" s="770" t="str">
        <f t="shared" ca="1" si="43"/>
        <v>-</v>
      </c>
      <c r="CG51" s="770">
        <f ca="1">CD51+COUNTIFS($CE$6:$CE$53,CE51,$CF$6:CF$53,"&gt;"&amp;CF51,$BC$6:$BC$53,INDEX(T_Equipos[Grupo],MATCH(BD51,T_Equipos[NombreEquipo],0)))</f>
        <v>2</v>
      </c>
      <c r="CH51" s="769" t="str">
        <f ca="1">IF(COUNTIFS($CG$6:$CG$53,CG51,$BC$6:$BC$53,INDEX(T_Equipos[Grupo],MATCH(BD51,T_Equipos[NombreEquipo],0)))=1,"-","P."&amp;CG51&amp;" ("&amp;COUNTIFS($CG$6:$CG$53,CG51,$BC$6:$BC$53,INDEX(T_Equipos[Grupo],MATCH(BD51,T_Equipos[NombreEquipo],0)))&amp;")")</f>
        <v>-</v>
      </c>
      <c r="CI51" s="770" t="str">
        <f t="shared" ca="1" si="44"/>
        <v>-</v>
      </c>
      <c r="CJ51" s="770" t="str">
        <f t="shared" ca="1" si="45"/>
        <v>-</v>
      </c>
      <c r="CK51" s="770" t="str">
        <f t="shared" ca="1" si="46"/>
        <v>-</v>
      </c>
      <c r="CL51" s="770" t="str">
        <f t="shared" ca="1" si="47"/>
        <v>-</v>
      </c>
      <c r="CM51" s="770">
        <f ca="1">CG51+COUNTIFS($CH$6:$CH$53,CH51,$CL$6:CL$53,"&gt;"&amp;CL51,$BC$6:$BC$53,INDEX(T_Equipos[Grupo],MATCH(BD51,T_Equipos[NombreEquipo],0)))</f>
        <v>2</v>
      </c>
      <c r="CN51" s="769" t="str">
        <f ca="1">IF(COUNTIFS($CM$6:$CM$53,CM51,$BC$6:$BC$53,INDEX(T_Equipos[Grupo],MATCH(BD51,T_Equipos[NombreEquipo],0)))=1,"-","P."&amp;CM51&amp;" ("&amp;COUNTIFS($CM$6:$CM$53,CM51,$BC$6:$BC$53,INDEX(T_Equipos[Grupo],MATCH(BD51,T_Equipos[NombreEquipo],0)))&amp;")")</f>
        <v>-</v>
      </c>
      <c r="CO51" s="770" t="str">
        <f t="shared" ca="1" si="48"/>
        <v>-</v>
      </c>
      <c r="CP51" s="770" t="str">
        <f t="shared" ca="1" si="49"/>
        <v>-</v>
      </c>
      <c r="CQ51" s="770" t="str">
        <f t="shared" ca="1" si="50"/>
        <v>-</v>
      </c>
      <c r="CR51" s="770">
        <f ca="1">CM51+COUNTIFS($CN$6:$CN$53,CN51,$CQ$6:CQ$53,"&gt;"&amp;CQ51,$BC$6:$BC$53,INDEX(T_Equipos[Grupo],MATCH(BD51,T_Equipos[NombreEquipo],0)))</f>
        <v>2</v>
      </c>
      <c r="CS51" s="769" t="str">
        <f ca="1">IF(COUNTIFS($CR$6:$CR$53,CR51,$BC$6:$BC$53,INDEX(T_Equipos[Grupo],MATCH(BD51,T_Equipos[NombreEquipo],0)))=1,"-","P."&amp;CR51&amp;" ("&amp;COUNTIFS($CR$6:$CR$53,CR51,$BC$6:$BC$53,INDEX(T_Equipos[Grupo],MATCH(BD51,T_Equipos[NombreEquipo],0)))&amp;")")</f>
        <v>-</v>
      </c>
      <c r="CT51" s="770" t="str">
        <f t="shared" ca="1" si="51"/>
        <v>-</v>
      </c>
      <c r="CU51" s="770">
        <f ca="1">CR51+COUNTIFS($CS$6:$CS$53,CS51,$CT$6:CT$53,"&gt;"&amp;CT51,$BC$6:$BC$53,INDEX(T_Equipos[Grupo],MATCH(BD51,T_Equipos[NombreEquipo],0)))</f>
        <v>2</v>
      </c>
      <c r="CV51" s="769" t="str">
        <f ca="1">IF(COUNTIFS($CU$6:$CU$53,CU51,$BC$6:$BC$53,INDEX(T_Equipos[Grupo],MATCH(BD51,T_Equipos[NombreEquipo],0)))=1,"-","P."&amp;CU51&amp;" ("&amp;COUNTIFS($CU$6:$CU$53,CU51,$BC$6:$BC$53,INDEX(T_Equipos[Grupo],MATCH(BD51,T_Equipos[NombreEquipo],0)))&amp;")")</f>
        <v>-</v>
      </c>
      <c r="CW51" s="769" t="str">
        <f t="shared" ca="1" si="30"/>
        <v>-</v>
      </c>
      <c r="CX51" s="769">
        <f ca="1">CU51+COUNTIFS($CV$6:$CV$53,CV51,$CW$6:CW$53,"&gt;"&amp;CW51,$BC$6:$BC$53,INDEX(T_Equipos[Grupo],MATCH(BD51,T_Equipos[NombreEquipo],0)))</f>
        <v>2</v>
      </c>
      <c r="CY51" s="769" t="str">
        <f ca="1">IF(COUNTIFS($CX$6:$CX$53,CX51,$BC$6:$BC$53,INDEX(T_Equipos[Grupo],MATCH(BD51,T_Equipos[NombreEquipo],0)))=1,"-","P."&amp;CX51&amp;" ("&amp;COUNTIFS($CX$6:$CX$53,CX51,$BC$6:$BC$53,INDEX(T_Equipos[Grupo],MATCH(BD51,T_Equipos[NombreEquipo],0)))&amp;")")</f>
        <v>-</v>
      </c>
      <c r="CZ51" s="769" t="str">
        <f t="shared" ca="1" si="31"/>
        <v>-</v>
      </c>
      <c r="DA51" s="770">
        <f ca="1">CX51+COUNTIFS($CY$6:$CY$53,CY51,$CZ$6:CZ$53,"&gt;"&amp;CZ51,$BC$6:$BC$53,INDEX(T_Equipos[Grupo],MATCH(BD51,T_Equipos[NombreEquipo],0)))</f>
        <v>2</v>
      </c>
      <c r="DB51" s="769" t="str">
        <f ca="1">IF(COUNTIFS($DA$6:$DA$53,DA51,$BC$6:$BC$53,INDEX(T_Equipos[Grupo],MATCH(BD51,T_Equipos[NombreEquipo],0)))=1,"-","P."&amp;DA51&amp;" ("&amp;COUNTIFS($DA$6:$DA$53,DA51,$BC$6:$BC$53,INDEX(T_Equipos[Grupo],MATCH(BD51,T_Equipos[NombreEquipo],0)))&amp;")")</f>
        <v>-</v>
      </c>
      <c r="DC51" s="768" t="str">
        <f ca="1">IF(DB51="-","-",COUNTIFS(T_Equipos[Rank],"&lt;"&amp;INDEX(T_Equipos[Rank],MATCH(BD51,T_Equipos[NombreEquipo],0)),$BC$6:$BC$53,INDEX(T_Equipos[Grupo],MATCH(BD51,T_Equipos[NombreEquipo],0)))+1)</f>
        <v>-</v>
      </c>
      <c r="DD51" s="768">
        <f ca="1">DA51+COUNTIFS($DB$6:$DB$53,DB51,$DC$6:DC$53,"&lt;"&amp;DC51,$BC$6:$BC$53,INDEX(T_Equipos[Grupo],MATCH(BD51,T_Equipos[NombreEquipo],0)))</f>
        <v>2</v>
      </c>
      <c r="DE51" s="768"/>
      <c r="DF51" s="768">
        <f t="shared" ca="1" si="52"/>
        <v>2</v>
      </c>
      <c r="DG51" s="768" t="str">
        <f ca="1">IF(DB51="-","-",COUNTIFS(DF$6:DF$53,"&lt;"&amp;DF51,$BC$6:$BC$53,INDEX(T_Equipos[Grupo],MATCH(BD51,T_Equipos[NombreEquipo],0))))</f>
        <v>-</v>
      </c>
      <c r="DH51" s="768">
        <f ca="1">DA51+COUNTIFS(DB$6:DB$53,DB51,DG$6:DG$53,"&lt;"&amp;DG51,$BC$6:$BC$53,INDEX(T_Equipos[Grupo],MATCH(BD51,T_Equipos[NombreEquipo],0)))</f>
        <v>2</v>
      </c>
      <c r="DI51" s="756"/>
      <c r="DJ51" s="756">
        <f t="shared" ca="1" si="53"/>
        <v>2</v>
      </c>
      <c r="DK51" s="756">
        <f t="shared" ca="1" si="24"/>
        <v>12</v>
      </c>
      <c r="DL51" s="756">
        <f t="shared" ca="1" si="33"/>
        <v>1</v>
      </c>
      <c r="DM51" s="750" t="str">
        <f t="shared" ca="1" si="34"/>
        <v>2.1</v>
      </c>
      <c r="DN51" s="756" cm="1">
        <f t="array" aca="1" ref="DN51" ca="1">OFFSET(Horarios!$P$3,DJ51-1,0,DL51,1)</f>
        <v>2</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Empate</v>
      </c>
      <c r="E52" s="756" t="str">
        <f t="shared" ref="E52:E57" ca="1" si="156">IF(D52="Pendiente","-",INDEX($BT$6:$BT$53,MATCH($AA52,$BD$6:$BD$53,0)))</f>
        <v>P.1 (2)</v>
      </c>
      <c r="F52" s="756" t="str">
        <f t="shared" ref="F52:F57" ca="1" si="157">IF(D52="Pendiente","-",INDEX($BT$6:$BT$53,MATCH($AF52,$BD$6:$BD$53,0)))</f>
        <v>P.1 (2)</v>
      </c>
      <c r="G52" s="756"/>
      <c r="H52" s="756" t="str">
        <f t="shared" ref="H52:H57" ca="1" si="158">IF(D52="Pendiente","-",INDEX($BZ$6:$BZ$53,MATCH($AA52,$BD$6:$BD$53,0)))</f>
        <v>P.1 (2)</v>
      </c>
      <c r="I52" s="756" t="str">
        <f t="shared" ref="I52:I57" ca="1" si="159">IF(D52="Pendiente","-",INDEX($BZ$6:$BZ$53,MATCH($AF52,$BD$6:$BD$53,0)))</f>
        <v>P.1 (2)</v>
      </c>
      <c r="J52" s="756"/>
      <c r="K52" s="756" t="str">
        <f t="shared" ref="K52:K57" ca="1" si="160">IF(D52="Pendiente","-",INDEX($CE$6:$CE$53,MATCH($AA52,$BD$6:$BD$53,0)))</f>
        <v>P.1 (2)</v>
      </c>
      <c r="L52" s="756" t="str">
        <f t="shared" ref="L52:L57" ca="1" si="161">IF(D52="Pendiente","-",INDEX($CE$6:$CE$53,MATCH($AF52,$BD$6:$BD$53,0)))</f>
        <v>P.1 (2)</v>
      </c>
      <c r="M52" s="756"/>
      <c r="N52" s="756" t="str">
        <f t="shared" ref="N52:N57" ca="1" si="162">IF(D52="Pendiente","-",INDEX($CH$6:$CH$53,MATCH($AA52,$BD$6:$BD$53,0)))</f>
        <v>P.1 (2)</v>
      </c>
      <c r="O52" s="756" t="str">
        <f t="shared" ref="O52:O57" ca="1" si="163">IF(D52="Pendiente","-",INDEX($CH$6:$CH$53,MATCH($AF52,$BD$6:$BD$53,0)))</f>
        <v>P.1 (2)</v>
      </c>
      <c r="P52" s="756"/>
      <c r="Q52" s="756" t="str">
        <f t="shared" ref="Q52:Q57" ca="1" si="164">IF(D52="Pendiente","-",INDEX($CN$6:$CN$53,MATCH($AA52,$BD$6:$BD$53,0)))</f>
        <v>P.1 (2)</v>
      </c>
      <c r="R52" s="756" t="str">
        <f t="shared" ref="R52:R57" ca="1" si="165">IF(D52="Pendiente","-",INDEX($CN$6:$CN$53,MATCH($AF52,$BD$6:$BD$53,0)))</f>
        <v>P.1 (2)</v>
      </c>
      <c r="S52" s="756"/>
      <c r="T52" s="756" t="str">
        <f t="shared" ref="T52:T57" ca="1" si="166">IF(D52="Pendiente","-",INDEX($CS$6:$CS$53,MATCH($AA52,$BD$6:$BD$53,0)))</f>
        <v>P.1 (2)</v>
      </c>
      <c r="U52" s="756" t="str">
        <f t="shared" ref="U52:U57" ca="1" si="167">IF(D52="Pendiente","-",INDEX($CS$6:$CS$53,MATCH($AF52,$BD$6:$BD$53,0)))</f>
        <v>P.1 (2)</v>
      </c>
      <c r="V52" s="178"/>
      <c r="W52" s="849"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1</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4</v>
      </c>
      <c r="BF52" s="760">
        <f t="shared" ca="1" si="26"/>
        <v>3</v>
      </c>
      <c r="BG52" s="760">
        <f t="shared" ca="1" si="17"/>
        <v>1</v>
      </c>
      <c r="BH52" s="760">
        <f t="shared" ca="1" si="18"/>
        <v>1</v>
      </c>
      <c r="BI52" s="760">
        <f t="shared" ca="1" si="19"/>
        <v>1</v>
      </c>
      <c r="BJ52" s="760">
        <f t="shared" ca="1" si="20"/>
        <v>2</v>
      </c>
      <c r="BK52" s="760">
        <f t="shared" ca="1" si="21"/>
        <v>2</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4</v>
      </c>
      <c r="BS52" s="769">
        <f ca="1">BP52+COUNTIFS($BQ$6:$BQ$53,BQ52,$BR$6:BR$53,"&gt;"&amp;BR52,$BC$6:$BC$53,INDEX(T_Equipos[Grupo],MATCH(BD52,T_Equipos[NombreEquipo],0)))</f>
        <v>3</v>
      </c>
      <c r="BT52" s="769" t="str">
        <f ca="1">IF(COUNTIFS($BS$6:$BS$53,BS52,$BC$6:$BC$53,INDEX(T_Equipos[Grupo],MATCH(BD52,T_Equipos[NombreEquipo],0)))=1,"-","P."&amp;BS52&amp;" ("&amp;COUNTIFS($BS$6:$BS$53,BS52,$BC$6:$BC$53,INDEX(T_Equipos[Grupo],MATCH(BD52,T_Equipos[NombreEquipo],0)))&amp;")")</f>
        <v>-</v>
      </c>
      <c r="BU52" s="770" t="str">
        <f t="shared" ca="1" si="36"/>
        <v>-</v>
      </c>
      <c r="BV52" s="770" t="str">
        <f t="shared" ca="1" si="37"/>
        <v>-</v>
      </c>
      <c r="BW52" s="770" t="str">
        <f t="shared" ca="1" si="38"/>
        <v>-</v>
      </c>
      <c r="BX52" s="770" t="str">
        <f t="shared" ca="1" si="39"/>
        <v>-</v>
      </c>
      <c r="BY52" s="770">
        <f ca="1">BS52+COUNTIFS($BT$6:$BT$53,BT52,$BX$6:BX$53,"&gt;"&amp;BX52,$BC$6:$BC$53,INDEX(T_Equipos[Grupo],MATCH(BD52,T_Equipos[NombreEquipo],0)))</f>
        <v>3</v>
      </c>
      <c r="BZ52" s="769" t="str">
        <f ca="1">IF(COUNTIFS($BY$6:$BY$53,BY52,$BC$6:$BC$53,INDEX(T_Equipos[Grupo],MATCH(BD52,T_Equipos[NombreEquipo],0)))=1,"-","P."&amp;BY52&amp;" ("&amp;COUNTIFS($BY$6:$BY$53,BY52,$BC$6:$BC$53,INDEX(T_Equipos[Grupo],MATCH(BD52,T_Equipos[NombreEquipo],0)))&amp;")")</f>
        <v>-</v>
      </c>
      <c r="CA52" s="770" t="str">
        <f t="shared" ca="1" si="40"/>
        <v>-</v>
      </c>
      <c r="CB52" s="770" t="str">
        <f t="shared" ca="1" si="41"/>
        <v>-</v>
      </c>
      <c r="CC52" s="770" t="str">
        <f t="shared" ca="1" si="42"/>
        <v>-</v>
      </c>
      <c r="CD52" s="770">
        <f ca="1">BY52+COUNTIFS($BZ$6:$BZ$53,BZ52,$CC$6:CC$53,"&gt;"&amp;CC52,$BC$6:$BC$53,INDEX(T_Equipos[Grupo],MATCH(BD52,T_Equipos[NombreEquipo],0)))</f>
        <v>3</v>
      </c>
      <c r="CE52" s="769" t="str">
        <f ca="1">IF(COUNTIFS($CD$6:$CD$53,CD52,$BC$6:$BC$53,INDEX(T_Equipos[Grupo],MATCH(BD52,T_Equipos[NombreEquipo],0)))=1,"-","P."&amp;CD52&amp;" ("&amp;COUNTIFS($CD$6:$CD$53,CD52,$BC$6:$BC$53,INDEX(T_Equipos[Grupo],MATCH(BD52,T_Equipos[NombreEquipo],0)))&amp;")")</f>
        <v>-</v>
      </c>
      <c r="CF52" s="770" t="str">
        <f t="shared" ca="1" si="43"/>
        <v>-</v>
      </c>
      <c r="CG52" s="770">
        <f ca="1">CD52+COUNTIFS($CE$6:$CE$53,CE52,$CF$6:CF$53,"&gt;"&amp;CF52,$BC$6:$BC$53,INDEX(T_Equipos[Grupo],MATCH(BD52,T_Equipos[NombreEquipo],0)))</f>
        <v>3</v>
      </c>
      <c r="CH52" s="769" t="str">
        <f ca="1">IF(COUNTIFS($CG$6:$CG$53,CG52,$BC$6:$BC$53,INDEX(T_Equipos[Grupo],MATCH(BD52,T_Equipos[NombreEquipo],0)))=1,"-","P."&amp;CG52&amp;" ("&amp;COUNTIFS($CG$6:$CG$53,CG52,$BC$6:$BC$53,INDEX(T_Equipos[Grupo],MATCH(BD52,T_Equipos[NombreEquipo],0)))&amp;")")</f>
        <v>-</v>
      </c>
      <c r="CI52" s="770" t="str">
        <f t="shared" ca="1" si="44"/>
        <v>-</v>
      </c>
      <c r="CJ52" s="770" t="str">
        <f t="shared" ca="1" si="45"/>
        <v>-</v>
      </c>
      <c r="CK52" s="770" t="str">
        <f t="shared" ca="1" si="46"/>
        <v>-</v>
      </c>
      <c r="CL52" s="770" t="str">
        <f t="shared" ca="1" si="47"/>
        <v>-</v>
      </c>
      <c r="CM52" s="770">
        <f ca="1">CG52+COUNTIFS($CH$6:$CH$53,CH52,$CL$6:CL$53,"&gt;"&amp;CL52,$BC$6:$BC$53,INDEX(T_Equipos[Grupo],MATCH(BD52,T_Equipos[NombreEquipo],0)))</f>
        <v>3</v>
      </c>
      <c r="CN52" s="769" t="str">
        <f ca="1">IF(COUNTIFS($CM$6:$CM$53,CM52,$BC$6:$BC$53,INDEX(T_Equipos[Grupo],MATCH(BD52,T_Equipos[NombreEquipo],0)))=1,"-","P."&amp;CM52&amp;" ("&amp;COUNTIFS($CM$6:$CM$53,CM52,$BC$6:$BC$53,INDEX(T_Equipos[Grupo],MATCH(BD52,T_Equipos[NombreEquipo],0)))&amp;")")</f>
        <v>-</v>
      </c>
      <c r="CO52" s="770" t="str">
        <f t="shared" ca="1" si="48"/>
        <v>-</v>
      </c>
      <c r="CP52" s="770" t="str">
        <f t="shared" ca="1" si="49"/>
        <v>-</v>
      </c>
      <c r="CQ52" s="770" t="str">
        <f t="shared" ca="1" si="50"/>
        <v>-</v>
      </c>
      <c r="CR52" s="770">
        <f ca="1">CM52+COUNTIFS($CN$6:$CN$53,CN52,$CQ$6:CQ$53,"&gt;"&amp;CQ52,$BC$6:$BC$53,INDEX(T_Equipos[Grupo],MATCH(BD52,T_Equipos[NombreEquipo],0)))</f>
        <v>3</v>
      </c>
      <c r="CS52" s="769" t="str">
        <f ca="1">IF(COUNTIFS($CR$6:$CR$53,CR52,$BC$6:$BC$53,INDEX(T_Equipos[Grupo],MATCH(BD52,T_Equipos[NombreEquipo],0)))=1,"-","P."&amp;CR52&amp;" ("&amp;COUNTIFS($CR$6:$CR$53,CR52,$BC$6:$BC$53,INDEX(T_Equipos[Grupo],MATCH(BD52,T_Equipos[NombreEquipo],0)))&amp;")")</f>
        <v>-</v>
      </c>
      <c r="CT52" s="770" t="str">
        <f t="shared" ca="1" si="51"/>
        <v>-</v>
      </c>
      <c r="CU52" s="770">
        <f ca="1">CR52+COUNTIFS($CS$6:$CS$53,CS52,$CT$6:CT$53,"&gt;"&amp;CT52,$BC$6:$BC$53,INDEX(T_Equipos[Grupo],MATCH(BD52,T_Equipos[NombreEquipo],0)))</f>
        <v>3</v>
      </c>
      <c r="CV52" s="769" t="str">
        <f ca="1">IF(COUNTIFS($CU$6:$CU$53,CU52,$BC$6:$BC$53,INDEX(T_Equipos[Grupo],MATCH(BD52,T_Equipos[NombreEquipo],0)))=1,"-","P."&amp;CU52&amp;" ("&amp;COUNTIFS($CU$6:$CU$53,CU52,$BC$6:$BC$53,INDEX(T_Equipos[Grupo],MATCH(BD52,T_Equipos[NombreEquipo],0)))&amp;")")</f>
        <v>-</v>
      </c>
      <c r="CW52" s="769" t="str">
        <f t="shared" ca="1" si="30"/>
        <v>-</v>
      </c>
      <c r="CX52" s="769">
        <f ca="1">CU52+COUNTIFS($CV$6:$CV$53,CV52,$CW$6:CW$53,"&gt;"&amp;CW52,$BC$6:$BC$53,INDEX(T_Equipos[Grupo],MATCH(BD52,T_Equipos[NombreEquipo],0)))</f>
        <v>3</v>
      </c>
      <c r="CY52" s="769" t="str">
        <f ca="1">IF(COUNTIFS($CX$6:$CX$53,CX52,$BC$6:$BC$53,INDEX(T_Equipos[Grupo],MATCH(BD52,T_Equipos[NombreEquipo],0)))=1,"-","P."&amp;CX52&amp;" ("&amp;COUNTIFS($CX$6:$CX$53,CX52,$BC$6:$BC$53,INDEX(T_Equipos[Grupo],MATCH(BD52,T_Equipos[NombreEquipo],0)))&amp;")")</f>
        <v>-</v>
      </c>
      <c r="CZ52" s="769" t="str">
        <f t="shared" ca="1" si="31"/>
        <v>-</v>
      </c>
      <c r="DA52" s="770">
        <f ca="1">CX52+COUNTIFS($CY$6:$CY$53,CY52,$CZ$6:CZ$53,"&gt;"&amp;CZ52,$BC$6:$BC$53,INDEX(T_Equipos[Grupo],MATCH(BD52,T_Equipos[NombreEquipo],0)))</f>
        <v>3</v>
      </c>
      <c r="DB52" s="769" t="str">
        <f ca="1">IF(COUNTIFS($DA$6:$DA$53,DA52,$BC$6:$BC$53,INDEX(T_Equipos[Grupo],MATCH(BD52,T_Equipos[NombreEquipo],0)))=1,"-","P."&amp;DA52&amp;" ("&amp;COUNTIFS($DA$6:$DA$53,DA52,$BC$6:$BC$53,INDEX(T_Equipos[Grupo],MATCH(BD52,T_Equipos[NombreEquipo],0)))&amp;")")</f>
        <v>-</v>
      </c>
      <c r="DC52" s="768" t="str">
        <f ca="1">IF(DB52="-","-",COUNTIFS(T_Equipos[Rank],"&lt;"&amp;INDEX(T_Equipos[Rank],MATCH(BD52,T_Equipos[NombreEquipo],0)),$BC$6:$BC$53,INDEX(T_Equipos[Grupo],MATCH(BD52,T_Equipos[NombreEquipo],0)))+1)</f>
        <v>-</v>
      </c>
      <c r="DD52" s="768">
        <f ca="1">DA52+COUNTIFS($DB$6:$DB$53,DB52,$DC$6:DC$53,"&lt;"&amp;DC52,$BC$6:$BC$53,INDEX(T_Equipos[Grupo],MATCH(BD52,T_Equipos[NombreEquipo],0)))</f>
        <v>3</v>
      </c>
      <c r="DE52" s="768"/>
      <c r="DF52" s="768">
        <f t="shared" ca="1" si="52"/>
        <v>3</v>
      </c>
      <c r="DG52" s="768" t="str">
        <f ca="1">IF(DB52="-","-",COUNTIFS(DF$6:DF$53,"&lt;"&amp;DF52,$BC$6:$BC$53,INDEX(T_Equipos[Grupo],MATCH(BD52,T_Equipos[NombreEquipo],0))))</f>
        <v>-</v>
      </c>
      <c r="DH52" s="768">
        <f ca="1">DA52+COUNTIFS(DB$6:DB$53,DB52,DG$6:DG$53,"&lt;"&amp;DG52,$BC$6:$BC$53,INDEX(T_Equipos[Grupo],MATCH(BD52,T_Equipos[NombreEquipo],0)))</f>
        <v>3</v>
      </c>
      <c r="DI52" s="756"/>
      <c r="DJ52" s="756">
        <f t="shared" ca="1" si="53"/>
        <v>3</v>
      </c>
      <c r="DK52" s="756">
        <f t="shared" ca="1" si="24"/>
        <v>12</v>
      </c>
      <c r="DL52" s="756">
        <f t="shared" ca="1" si="33"/>
        <v>1</v>
      </c>
      <c r="DM52" s="750" t="str">
        <f t="shared" ca="1" si="34"/>
        <v>3.1</v>
      </c>
      <c r="DN52" s="756" cm="1">
        <f t="array" aca="1" ref="DN52" ca="1">OFFSET(Horarios!$P$3,DJ52-1,0,DL52,1)</f>
        <v>3</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Empate</v>
      </c>
      <c r="E53" s="756" t="str">
        <f t="shared" ca="1" si="156"/>
        <v>-</v>
      </c>
      <c r="F53" s="756" t="str">
        <f t="shared" ca="1" si="157"/>
        <v>-</v>
      </c>
      <c r="G53" s="756"/>
      <c r="H53" s="756" t="str">
        <f t="shared" ca="1" si="158"/>
        <v>-</v>
      </c>
      <c r="I53" s="756" t="str">
        <f t="shared" ca="1" si="159"/>
        <v>-</v>
      </c>
      <c r="J53" s="756"/>
      <c r="K53" s="756" t="str">
        <f t="shared" ca="1" si="160"/>
        <v>-</v>
      </c>
      <c r="L53" s="756" t="str">
        <f t="shared" ca="1" si="161"/>
        <v>-</v>
      </c>
      <c r="M53" s="756"/>
      <c r="N53" s="756" t="str">
        <f t="shared" ca="1" si="162"/>
        <v>-</v>
      </c>
      <c r="O53" s="756" t="str">
        <f t="shared" ca="1" si="163"/>
        <v>-</v>
      </c>
      <c r="P53" s="756"/>
      <c r="Q53" s="756" t="str">
        <f t="shared" ca="1" si="164"/>
        <v>-</v>
      </c>
      <c r="R53" s="756" t="str">
        <f t="shared" ca="1" si="165"/>
        <v>-</v>
      </c>
      <c r="S53" s="756"/>
      <c r="T53" s="756" t="str">
        <f t="shared" ca="1" si="166"/>
        <v>-</v>
      </c>
      <c r="U53" s="756" t="str">
        <f t="shared" ca="1" si="167"/>
        <v>-</v>
      </c>
      <c r="V53" s="178"/>
      <c r="W53" s="849"/>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1</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3</v>
      </c>
      <c r="BG53" s="760">
        <f t="shared" ca="1" si="17"/>
        <v>0</v>
      </c>
      <c r="BH53" s="760">
        <f t="shared" ca="1" si="18"/>
        <v>0</v>
      </c>
      <c r="BI53" s="760">
        <f t="shared" ca="1" si="19"/>
        <v>3</v>
      </c>
      <c r="BJ53" s="760">
        <f t="shared" ca="1" si="20"/>
        <v>1</v>
      </c>
      <c r="BK53" s="760">
        <f t="shared" ca="1" si="21"/>
        <v>5</v>
      </c>
      <c r="BL53" s="760">
        <f t="shared" ca="1" si="27"/>
        <v>-4</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4</v>
      </c>
      <c r="BT53" s="769" t="str">
        <f ca="1">IF(COUNTIFS($BS$6:$BS$53,BS53,$BC$6:$BC$53,INDEX(T_Equipos[Grupo],MATCH(BD53,T_Equipos[NombreEquipo],0)))=1,"-","P."&amp;BS53&amp;" ("&amp;COUNTIFS($BS$6:$BS$53,BS53,$BC$6:$BC$53,INDEX(T_Equipos[Grupo],MATCH(BD53,T_Equipos[NombreEquipo],0)))&amp;")")</f>
        <v>-</v>
      </c>
      <c r="BU53" s="770" t="str">
        <f t="shared" ca="1" si="36"/>
        <v>-</v>
      </c>
      <c r="BV53" s="770" t="str">
        <f t="shared" ca="1" si="37"/>
        <v>-</v>
      </c>
      <c r="BW53" s="770" t="str">
        <f t="shared" ca="1" si="38"/>
        <v>-</v>
      </c>
      <c r="BX53" s="770" t="str">
        <f t="shared" ca="1" si="39"/>
        <v>-</v>
      </c>
      <c r="BY53" s="770">
        <f ca="1">BS53+COUNTIFS($BT$6:$BT$53,BT53,$BX$6:BX$53,"&gt;"&amp;BX53,$BC$6:$BC$53,INDEX(T_Equipos[Grupo],MATCH(BD53,T_Equipos[NombreEquipo],0)))</f>
        <v>4</v>
      </c>
      <c r="BZ53" s="769" t="str">
        <f ca="1">IF(COUNTIFS($BY$6:$BY$53,BY53,$BC$6:$BC$53,INDEX(T_Equipos[Grupo],MATCH(BD53,T_Equipos[NombreEquipo],0)))=1,"-","P."&amp;BY53&amp;" ("&amp;COUNTIFS($BY$6:$BY$53,BY53,$BC$6:$BC$53,INDEX(T_Equipos[Grupo],MATCH(BD53,T_Equipos[NombreEquipo],0)))&amp;")")</f>
        <v>-</v>
      </c>
      <c r="CA53" s="770" t="str">
        <f t="shared" ca="1" si="40"/>
        <v>-</v>
      </c>
      <c r="CB53" s="770" t="str">
        <f t="shared" ca="1" si="41"/>
        <v>-</v>
      </c>
      <c r="CC53" s="770" t="str">
        <f t="shared" ca="1" si="42"/>
        <v>-</v>
      </c>
      <c r="CD53" s="770">
        <f ca="1">BY53+COUNTIFS($BZ$6:$BZ$53,BZ53,$CC$6:CC$53,"&gt;"&amp;CC53,$BC$6:$BC$53,INDEX(T_Equipos[Grupo],MATCH(BD53,T_Equipos[NombreEquipo],0)))</f>
        <v>4</v>
      </c>
      <c r="CE53" s="769" t="str">
        <f ca="1">IF(COUNTIFS($CD$6:$CD$53,CD53,$BC$6:$BC$53,INDEX(T_Equipos[Grupo],MATCH(BD53,T_Equipos[NombreEquipo],0)))=1,"-","P."&amp;CD53&amp;" ("&amp;COUNTIFS($CD$6:$CD$53,CD53,$BC$6:$BC$53,INDEX(T_Equipos[Grupo],MATCH(BD53,T_Equipos[NombreEquipo],0)))&amp;")")</f>
        <v>-</v>
      </c>
      <c r="CF53" s="770" t="str">
        <f t="shared" ca="1" si="43"/>
        <v>-</v>
      </c>
      <c r="CG53" s="770">
        <f ca="1">CD53+COUNTIFS($CE$6:$CE$53,CE53,$CF$6:CF$53,"&gt;"&amp;CF53,$BC$6:$BC$53,INDEX(T_Equipos[Grupo],MATCH(BD53,T_Equipos[NombreEquipo],0)))</f>
        <v>4</v>
      </c>
      <c r="CH53" s="769" t="str">
        <f ca="1">IF(COUNTIFS($CG$6:$CG$53,CG53,$BC$6:$BC$53,INDEX(T_Equipos[Grupo],MATCH(BD53,T_Equipos[NombreEquipo],0)))=1,"-","P."&amp;CG53&amp;" ("&amp;COUNTIFS($CG$6:$CG$53,CG53,$BC$6:$BC$53,INDEX(T_Equipos[Grupo],MATCH(BD53,T_Equipos[NombreEquipo],0)))&amp;")")</f>
        <v>-</v>
      </c>
      <c r="CI53" s="770" t="str">
        <f t="shared" ca="1" si="44"/>
        <v>-</v>
      </c>
      <c r="CJ53" s="770" t="str">
        <f t="shared" ca="1" si="45"/>
        <v>-</v>
      </c>
      <c r="CK53" s="770" t="str">
        <f t="shared" ca="1" si="46"/>
        <v>-</v>
      </c>
      <c r="CL53" s="770" t="str">
        <f t="shared" ca="1" si="47"/>
        <v>-</v>
      </c>
      <c r="CM53" s="770">
        <f ca="1">CG53+COUNTIFS($CH$6:$CH$53,CH53,$CL$6:CL$53,"&gt;"&amp;CL53,$BC$6:$BC$53,INDEX(T_Equipos[Grupo],MATCH(BD53,T_Equipos[NombreEquipo],0)))</f>
        <v>4</v>
      </c>
      <c r="CN53" s="769" t="str">
        <f ca="1">IF(COUNTIFS($CM$6:$CM$53,CM53,$BC$6:$BC$53,INDEX(T_Equipos[Grupo],MATCH(BD53,T_Equipos[NombreEquipo],0)))=1,"-","P."&amp;CM53&amp;" ("&amp;COUNTIFS($CM$6:$CM$53,CM53,$BC$6:$BC$53,INDEX(T_Equipos[Grupo],MATCH(BD53,T_Equipos[NombreEquipo],0)))&amp;")")</f>
        <v>-</v>
      </c>
      <c r="CO53" s="770" t="str">
        <f t="shared" ca="1" si="48"/>
        <v>-</v>
      </c>
      <c r="CP53" s="770" t="str">
        <f t="shared" ca="1" si="49"/>
        <v>-</v>
      </c>
      <c r="CQ53" s="770" t="str">
        <f t="shared" ca="1" si="50"/>
        <v>-</v>
      </c>
      <c r="CR53" s="770">
        <f ca="1">CM53+COUNTIFS($CN$6:$CN$53,CN53,$CQ$6:CQ$53,"&gt;"&amp;CQ53,$BC$6:$BC$53,INDEX(T_Equipos[Grupo],MATCH(BD53,T_Equipos[NombreEquipo],0)))</f>
        <v>4</v>
      </c>
      <c r="CS53" s="769" t="str">
        <f ca="1">IF(COUNTIFS($CR$6:$CR$53,CR53,$BC$6:$BC$53,INDEX(T_Equipos[Grupo],MATCH(BD53,T_Equipos[NombreEquipo],0)))=1,"-","P."&amp;CR53&amp;" ("&amp;COUNTIFS($CR$6:$CR$53,CR53,$BC$6:$BC$53,INDEX(T_Equipos[Grupo],MATCH(BD53,T_Equipos[NombreEquipo],0)))&amp;")")</f>
        <v>-</v>
      </c>
      <c r="CT53" s="770" t="str">
        <f t="shared" ca="1" si="51"/>
        <v>-</v>
      </c>
      <c r="CU53" s="770">
        <f ca="1">CR53+COUNTIFS($CS$6:$CS$53,CS53,$CT$6:CT$53,"&gt;"&amp;CT53,$BC$6:$BC$53,INDEX(T_Equipos[Grupo],MATCH(BD53,T_Equipos[NombreEquipo],0)))</f>
        <v>4</v>
      </c>
      <c r="CV53" s="769" t="str">
        <f ca="1">IF(COUNTIFS($CU$6:$CU$53,CU53,$BC$6:$BC$53,INDEX(T_Equipos[Grupo],MATCH(BD53,T_Equipos[NombreEquipo],0)))=1,"-","P."&amp;CU53&amp;" ("&amp;COUNTIFS($CU$6:$CU$53,CU53,$BC$6:$BC$53,INDEX(T_Equipos[Grupo],MATCH(BD53,T_Equipos[NombreEquipo],0)))&amp;")")</f>
        <v>-</v>
      </c>
      <c r="CW53" s="769" t="str">
        <f t="shared" ca="1" si="30"/>
        <v>-</v>
      </c>
      <c r="CX53" s="769">
        <f ca="1">CU53+COUNTIFS($CV$6:$CV$53,CV53,$CW$6:CW$53,"&gt;"&amp;CW53,$BC$6:$BC$53,INDEX(T_Equipos[Grupo],MATCH(BD53,T_Equipos[NombreEquipo],0)))</f>
        <v>4</v>
      </c>
      <c r="CY53" s="769" t="str">
        <f ca="1">IF(COUNTIFS($CX$6:$CX$53,CX53,$BC$6:$BC$53,INDEX(T_Equipos[Grupo],MATCH(BD53,T_Equipos[NombreEquipo],0)))=1,"-","P."&amp;CX53&amp;" ("&amp;COUNTIFS($CX$6:$CX$53,CX53,$BC$6:$BC$53,INDEX(T_Equipos[Grupo],MATCH(BD53,T_Equipos[NombreEquipo],0)))&amp;")")</f>
        <v>-</v>
      </c>
      <c r="CZ53" s="769" t="str">
        <f t="shared" ca="1" si="31"/>
        <v>-</v>
      </c>
      <c r="DA53" s="770">
        <f ca="1">CX53+COUNTIFS($CY$6:$CY$53,CY53,$CZ$6:CZ$53,"&gt;"&amp;CZ53,$BC$6:$BC$53,INDEX(T_Equipos[Grupo],MATCH(BD53,T_Equipos[NombreEquipo],0)))</f>
        <v>4</v>
      </c>
      <c r="DB53" s="769" t="str">
        <f ca="1">IF(COUNTIFS($DA$6:$DA$53,DA53,$BC$6:$BC$53,INDEX(T_Equipos[Grupo],MATCH(BD53,T_Equipos[NombreEquipo],0)))=1,"-","P."&amp;DA53&amp;" ("&amp;COUNTIFS($DA$6:$DA$53,DA53,$BC$6:$BC$53,INDEX(T_Equipos[Grupo],MATCH(BD53,T_Equipos[NombreEquipo],0)))&amp;")")</f>
        <v>-</v>
      </c>
      <c r="DC53" s="768" t="str">
        <f ca="1">IF(DB53="-","-",COUNTIFS(T_Equipos[Rank],"&lt;"&amp;INDEX(T_Equipos[Rank],MATCH(BD53,T_Equipos[NombreEquipo],0)),$BC$6:$BC$53,INDEX(T_Equipos[Grupo],MATCH(BD53,T_Equipos[NombreEquipo],0)))+1)</f>
        <v>-</v>
      </c>
      <c r="DD53" s="768">
        <f ca="1">DA53+COUNTIFS($DB$6:$DB$53,DB53,$DC$6:DC$53,"&lt;"&amp;DC53,$BC$6:$BC$53,INDEX(T_Equipos[Grupo],MATCH(BD53,T_Equipos[NombreEquipo],0)))</f>
        <v>4</v>
      </c>
      <c r="DE53" s="768"/>
      <c r="DF53" s="768">
        <f t="shared" ca="1" si="52"/>
        <v>4</v>
      </c>
      <c r="DG53" s="768" t="str">
        <f ca="1">IF(DB53="-","-",COUNTIFS(DF$6:DF$53,"&lt;"&amp;DF53,$BC$6:$BC$53,INDEX(T_Equipos[Grupo],MATCH(BD53,T_Equipos[NombreEquipo],0))))</f>
        <v>-</v>
      </c>
      <c r="DH53" s="768">
        <f ca="1">DA53+COUNTIFS(DB$6:DB$53,DB53,DG$6:DG$53,"&lt;"&amp;DG53,$BC$6:$BC$53,INDEX(T_Equipos[Grupo],MATCH(BD53,T_Equipos[NombreEquipo],0)))</f>
        <v>4</v>
      </c>
      <c r="DI53" s="756"/>
      <c r="DJ53" s="756">
        <f t="shared" ca="1" si="53"/>
        <v>4</v>
      </c>
      <c r="DK53" s="756">
        <f t="shared" ca="1" si="24"/>
        <v>12</v>
      </c>
      <c r="DL53" s="756">
        <f t="shared" ca="1" si="33"/>
        <v>1</v>
      </c>
      <c r="DM53" s="750" t="str">
        <f t="shared" ca="1" si="34"/>
        <v>4.1</v>
      </c>
      <c r="DN53" s="756" cm="1">
        <f t="array" aca="1" ref="DN53" ca="1">OFFSET(Horarios!$P$3,DJ53-1,0,DL53,1)</f>
        <v>4</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Empate</v>
      </c>
      <c r="E54" s="756" t="str">
        <f t="shared" ca="1" si="156"/>
        <v>P.1 (2)</v>
      </c>
      <c r="F54" s="756" t="str">
        <f t="shared" ca="1" si="157"/>
        <v>-</v>
      </c>
      <c r="G54" s="756"/>
      <c r="H54" s="756" t="str">
        <f t="shared" ca="1" si="158"/>
        <v>P.1 (2)</v>
      </c>
      <c r="I54" s="756" t="str">
        <f t="shared" ca="1" si="159"/>
        <v>-</v>
      </c>
      <c r="J54" s="756"/>
      <c r="K54" s="756" t="str">
        <f t="shared" ca="1" si="160"/>
        <v>P.1 (2)</v>
      </c>
      <c r="L54" s="756" t="str">
        <f t="shared" ca="1" si="161"/>
        <v>-</v>
      </c>
      <c r="M54" s="756"/>
      <c r="N54" s="756" t="str">
        <f t="shared" ca="1" si="162"/>
        <v>P.1 (2)</v>
      </c>
      <c r="O54" s="756" t="str">
        <f t="shared" ca="1" si="163"/>
        <v>-</v>
      </c>
      <c r="P54" s="756"/>
      <c r="Q54" s="756" t="str">
        <f t="shared" ca="1" si="164"/>
        <v>P.1 (2)</v>
      </c>
      <c r="R54" s="756" t="str">
        <f t="shared" ca="1" si="165"/>
        <v>-</v>
      </c>
      <c r="S54" s="756"/>
      <c r="T54" s="756" t="str">
        <f t="shared" ca="1" si="166"/>
        <v>P.1 (2)</v>
      </c>
      <c r="U54" s="756" t="str">
        <f t="shared" ca="1" si="167"/>
        <v>-</v>
      </c>
      <c r="V54" s="178"/>
      <c r="W54" s="849"/>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1</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5</v>
      </c>
      <c r="AN54" s="220">
        <f t="shared" ca="1" si="172"/>
        <v>3</v>
      </c>
      <c r="AO54" s="220">
        <f t="shared" ca="1" si="172"/>
        <v>1</v>
      </c>
      <c r="AP54" s="220">
        <f t="shared" ca="1" si="172"/>
        <v>2</v>
      </c>
      <c r="AQ54" s="220">
        <f t="shared" ca="1" si="172"/>
        <v>0</v>
      </c>
      <c r="AR54" s="220">
        <f t="shared" ca="1" si="172"/>
        <v>6</v>
      </c>
      <c r="AS54" s="220">
        <f t="shared" ca="1" si="172"/>
        <v>2</v>
      </c>
      <c r="AT54" s="221">
        <f t="shared" ca="1" si="172"/>
        <v>4</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Visitante</v>
      </c>
      <c r="E55" s="756" t="str">
        <f t="shared" ca="1" si="156"/>
        <v>-</v>
      </c>
      <c r="F55" s="756" t="str">
        <f t="shared" ca="1" si="157"/>
        <v>P.1 (2)</v>
      </c>
      <c r="G55" s="756"/>
      <c r="H55" s="756" t="str">
        <f t="shared" ca="1" si="158"/>
        <v>-</v>
      </c>
      <c r="I55" s="756" t="str">
        <f t="shared" ca="1" si="159"/>
        <v>P.1 (2)</v>
      </c>
      <c r="J55" s="756"/>
      <c r="K55" s="756" t="str">
        <f t="shared" ca="1" si="160"/>
        <v>-</v>
      </c>
      <c r="L55" s="756" t="str">
        <f t="shared" ca="1" si="161"/>
        <v>P.1 (2)</v>
      </c>
      <c r="M55" s="756"/>
      <c r="N55" s="756" t="str">
        <f t="shared" ca="1" si="162"/>
        <v>-</v>
      </c>
      <c r="O55" s="756" t="str">
        <f t="shared" ca="1" si="163"/>
        <v>P.1 (2)</v>
      </c>
      <c r="P55" s="756"/>
      <c r="Q55" s="756" t="str">
        <f t="shared" ca="1" si="164"/>
        <v>-</v>
      </c>
      <c r="R55" s="756" t="str">
        <f t="shared" ca="1" si="165"/>
        <v>P.1 (2)</v>
      </c>
      <c r="S55" s="756"/>
      <c r="T55" s="756" t="str">
        <f t="shared" ca="1" si="166"/>
        <v>-</v>
      </c>
      <c r="U55" s="756" t="str">
        <f t="shared" ca="1" si="167"/>
        <v>P.1 (2)</v>
      </c>
      <c r="V55" s="178"/>
      <c r="W55" s="849"/>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1</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5</v>
      </c>
      <c r="AN55" s="230">
        <f t="shared" ca="1" si="172"/>
        <v>3</v>
      </c>
      <c r="AO55" s="230">
        <f t="shared" ca="1" si="172"/>
        <v>1</v>
      </c>
      <c r="AP55" s="230">
        <f t="shared" ca="1" si="172"/>
        <v>2</v>
      </c>
      <c r="AQ55" s="230">
        <f t="shared" ca="1" si="172"/>
        <v>0</v>
      </c>
      <c r="AR55" s="230">
        <f t="shared" ca="1" si="172"/>
        <v>5</v>
      </c>
      <c r="AS55" s="230">
        <f t="shared" ca="1" si="172"/>
        <v>3</v>
      </c>
      <c r="AT55" s="231">
        <f t="shared" ca="1" si="172"/>
        <v>2</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Empate</v>
      </c>
      <c r="E56" s="756" t="str">
        <f t="shared" ca="1" si="156"/>
        <v>P.1 (2)</v>
      </c>
      <c r="F56" s="756" t="str">
        <f t="shared" ca="1" si="157"/>
        <v>-</v>
      </c>
      <c r="G56" s="756"/>
      <c r="H56" s="756" t="str">
        <f t="shared" ca="1" si="158"/>
        <v>P.1 (2)</v>
      </c>
      <c r="I56" s="756" t="str">
        <f t="shared" ca="1" si="159"/>
        <v>-</v>
      </c>
      <c r="J56" s="756"/>
      <c r="K56" s="756" t="str">
        <f t="shared" ca="1" si="160"/>
        <v>P.1 (2)</v>
      </c>
      <c r="L56" s="756" t="str">
        <f t="shared" ca="1" si="161"/>
        <v>-</v>
      </c>
      <c r="M56" s="756"/>
      <c r="N56" s="756" t="str">
        <f t="shared" ca="1" si="162"/>
        <v>P.1 (2)</v>
      </c>
      <c r="O56" s="756" t="str">
        <f t="shared" ca="1" si="163"/>
        <v>-</v>
      </c>
      <c r="P56" s="756"/>
      <c r="Q56" s="756" t="str">
        <f t="shared" ca="1" si="164"/>
        <v>P.1 (2)</v>
      </c>
      <c r="R56" s="756" t="str">
        <f t="shared" ca="1" si="165"/>
        <v>-</v>
      </c>
      <c r="S56" s="756"/>
      <c r="T56" s="756" t="str">
        <f t="shared" ca="1" si="166"/>
        <v>P.1 (2)</v>
      </c>
      <c r="U56" s="756" t="str">
        <f t="shared" ca="1" si="167"/>
        <v>-</v>
      </c>
      <c r="V56" s="178"/>
      <c r="W56" s="849"/>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1</v>
      </c>
      <c r="AH56" s="202">
        <v>63</v>
      </c>
      <c r="AI56" s="19" t="str">
        <f t="shared" si="173"/>
        <v>3G</v>
      </c>
      <c r="AJ56" s="227">
        <v>3</v>
      </c>
      <c r="AK56" s="494" t="str" cm="1">
        <f t="array" aca="1" ref="AK56" ca="1">Ver_flag_visit</f>
        <v>🇮🇷</v>
      </c>
      <c r="AL56" s="228" t="str">
        <f ca="1">IFERROR(INDEX($BD$6:$BD$53,MATCH(AI56,$BN$6:$BN$53,0)),"")</f>
        <v>Irán</v>
      </c>
      <c r="AM56" s="229">
        <f t="shared" ca="1" si="172"/>
        <v>3</v>
      </c>
      <c r="AN56" s="230">
        <f t="shared" ca="1" si="172"/>
        <v>3</v>
      </c>
      <c r="AO56" s="230">
        <f t="shared" ca="1" si="172"/>
        <v>0</v>
      </c>
      <c r="AP56" s="230">
        <f t="shared" ca="1" si="172"/>
        <v>3</v>
      </c>
      <c r="AQ56" s="230">
        <f t="shared" ca="1" si="172"/>
        <v>0</v>
      </c>
      <c r="AR56" s="230">
        <f t="shared" ca="1" si="172"/>
        <v>3</v>
      </c>
      <c r="AS56" s="230">
        <f t="shared" ca="1" si="172"/>
        <v>3</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Visitante</v>
      </c>
      <c r="E57" s="756" t="str">
        <f t="shared" ca="1" si="156"/>
        <v>-</v>
      </c>
      <c r="F57" s="756" t="str">
        <f t="shared" ca="1" si="157"/>
        <v>P.1 (2)</v>
      </c>
      <c r="G57" s="756"/>
      <c r="H57" s="756" t="str">
        <f t="shared" ca="1" si="158"/>
        <v>-</v>
      </c>
      <c r="I57" s="756" t="str">
        <f t="shared" ca="1" si="159"/>
        <v>P.1 (2)</v>
      </c>
      <c r="J57" s="756"/>
      <c r="K57" s="756" t="str">
        <f t="shared" ca="1" si="160"/>
        <v>-</v>
      </c>
      <c r="L57" s="756" t="str">
        <f t="shared" ca="1" si="161"/>
        <v>P.1 (2)</v>
      </c>
      <c r="M57" s="756"/>
      <c r="N57" s="756" t="str">
        <f t="shared" ca="1" si="162"/>
        <v>-</v>
      </c>
      <c r="O57" s="756" t="str">
        <f t="shared" ca="1" si="163"/>
        <v>P.1 (2)</v>
      </c>
      <c r="P57" s="756"/>
      <c r="Q57" s="756" t="str">
        <f t="shared" ca="1" si="164"/>
        <v>-</v>
      </c>
      <c r="R57" s="756" t="str">
        <f t="shared" ca="1" si="165"/>
        <v>P.1 (2)</v>
      </c>
      <c r="S57" s="756"/>
      <c r="T57" s="756" t="str">
        <f t="shared" ca="1" si="166"/>
        <v>-</v>
      </c>
      <c r="U57" s="756" t="str">
        <f t="shared" ca="1" si="167"/>
        <v>P.1 (2)</v>
      </c>
      <c r="V57" s="178"/>
      <c r="W57" s="850"/>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1</v>
      </c>
      <c r="AH57" s="202">
        <v>64</v>
      </c>
      <c r="AI57" s="19" t="str">
        <f t="shared" si="173"/>
        <v>4G</v>
      </c>
      <c r="AJ57" s="241">
        <v>4</v>
      </c>
      <c r="AK57" s="495" t="str" cm="1">
        <f t="array" aca="1" ref="AK57" ca="1">Ver_flag_visit</f>
        <v>🇳🇿</v>
      </c>
      <c r="AL57" s="242" t="str">
        <f ca="1">IFERROR(INDEX($BD$6:$BD$53,MATCH(AI57,$BN$6:$BN$53,0)),"")</f>
        <v>Nueva Zelanda</v>
      </c>
      <c r="AM57" s="243">
        <f t="shared" ca="1" si="172"/>
        <v>1</v>
      </c>
      <c r="AN57" s="244">
        <f t="shared" ca="1" si="172"/>
        <v>3</v>
      </c>
      <c r="AO57" s="244">
        <f t="shared" ca="1" si="172"/>
        <v>0</v>
      </c>
      <c r="AP57" s="244">
        <f t="shared" ca="1" si="172"/>
        <v>1</v>
      </c>
      <c r="AQ57" s="244">
        <f t="shared" ca="1" si="172"/>
        <v>2</v>
      </c>
      <c r="AR57" s="244">
        <f t="shared" ca="1" si="172"/>
        <v>4</v>
      </c>
      <c r="AS57" s="244">
        <f t="shared" ca="1" si="172"/>
        <v>10</v>
      </c>
      <c r="AT57" s="245">
        <f t="shared" ca="1" si="172"/>
        <v>-6</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Corea del Sur</v>
      </c>
      <c r="BE58" s="760">
        <f ca="1">CHOOSE($BB$57,
  (BG58*3 + BH58)+IF($AZ$3="No",0,INDEX($AZ$6:$AZ$97,MATCH(BD58,$AY$6:$AY$97,0))),
  (BG58*3 + BH58)+IF($AZ$3="No",0,INDEX($AZ$6:$AZ$97,MATCH(BD58,$AY$6:$AY$97,0))),
  IFERROR((BG58*3 + BH58+IF($AZ$3="No",0,INDEX($AZ$6:$AZ$97,MATCH(BD58,$AY$6:$AY$97,0)))) / BF58, 0)
)</f>
        <v>3</v>
      </c>
      <c r="BF58" s="760">
        <f ca="1">+BG58+BH58+BI58</f>
        <v>3</v>
      </c>
      <c r="BG58" s="760">
        <f ca="1">CHOOSE(IF($BB$57=2, 2, 1),INDEX($BG$6:$BG$53,MATCH($BB58,$BN$6:$BN$53,0)),
  INDEX($BG$6:$BG$53,MATCH($BB58,$BN$6:$BN$53,0))-(COUNTIFS(FGLocal,$BD58,FGVisitante,INDEX($BD$6:$BD$53,MATCH(BO58,$BN$6:$BN$53,0)),Ganador,"Local")+COUNTIFS(FGVisitante,$BD58,FGLocal,INDEX($BD$6:$BD$53,MATCH(BO58,$BN$6:$BN$53,0)),Ganador,"Visitante"))
)</f>
        <v>1</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2</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10</v>
      </c>
      <c r="BN58" s="760">
        <f ca="1">CF58</f>
        <v>10</v>
      </c>
      <c r="BO58" s="750" t="str">
        <f>"4"&amp;BC58</f>
        <v>4A</v>
      </c>
      <c r="BP58" s="750"/>
      <c r="BQ58" s="750"/>
      <c r="BR58" s="760">
        <f t="shared" ref="BR58:BR69" ca="1" si="179">+BE58</f>
        <v>3</v>
      </c>
      <c r="BS58" s="760">
        <f ca="1">COUNTIFS(BR$58:BR$69,"&gt;"&amp;BR58)+1</f>
        <v>8</v>
      </c>
      <c r="BT58" s="760" t="str">
        <f ca="1">IF(COUNTIF(BS$58:BS$69,BS58)=1,"-","Pos. "&amp;BS58&amp;" ("&amp;COUNTIF(BS$58:BS$69,BS58)&amp;")")</f>
        <v>Pos. 8 (4)</v>
      </c>
      <c r="BU58" s="760">
        <f t="shared" ref="BU58:BU69" ca="1" si="180">IF(BT58="-","-",BL58)</f>
        <v>-1</v>
      </c>
      <c r="BV58" s="760">
        <f t="shared" ref="BV58:BV69" ca="1" si="181">BS58+COUNTIFS(BT$58:BT$69,BT58,BU$58:BU$69,"&gt;"&amp;BU58)</f>
        <v>10</v>
      </c>
      <c r="BW58" s="760" t="str">
        <f t="shared" ref="BW58:BW69" ca="1" si="182">IF(COUNTIF(BV$58:BV$69,BV58)=1,"-","Pos. "&amp;BV58&amp;" ("&amp;COUNTIF(BV$58:BV$69,BV58)&amp;")")</f>
        <v>-</v>
      </c>
      <c r="BX58" s="760" t="str">
        <f t="shared" ref="BX58:BX69" ca="1" si="183">IF(BW58="-","-",BJ58)</f>
        <v>-</v>
      </c>
      <c r="BY58" s="760">
        <f t="shared" ref="BY58:BY69" ca="1" si="184">BV58+COUNTIFS(BW$58:BW$69,BW58,BX$58:BX$69,"&gt;"&amp;BX58)</f>
        <v>10</v>
      </c>
      <c r="BZ58" s="760" t="str">
        <f t="shared" ref="BZ58:BZ69" ca="1" si="185">IF(COUNTIF(BY$58:BY$69,BY58)=1,"-","Pos. "&amp;BY58&amp;" ("&amp;COUNTIF(BY$58:BY$69,BY58)&amp;")")</f>
        <v>-</v>
      </c>
      <c r="CA58" s="760" t="str">
        <f ca="1">IF(BZ58="-","-",COUNTIF($BD$58:$BD$69,"&gt;"&amp;BD58))</f>
        <v>-</v>
      </c>
      <c r="CB58" s="760">
        <f ca="1">BY58+COUNTIFS(BZ$58:BZ$69,BZ58,CA$58:CA$69,"&gt;"&amp;CA58)</f>
        <v>10</v>
      </c>
      <c r="CC58" s="760"/>
      <c r="CD58" s="760">
        <f ca="1">IF(OR(INDEX($AW$102:$AW$113,MATCH($BD58,$AV$102:$AV$113,0))="",BZ58="-"),CB58,INDEX($AW$102:$AW$113,MATCH($BD58,$AV$102:$AV$113,0))+CB58/1000)</f>
        <v>10</v>
      </c>
      <c r="CE58" s="760" t="str">
        <f ca="1">IF(BZ58="-","-",COUNTIF(CD$58:CD$69,"&lt;"&amp;CD58))</f>
        <v>-</v>
      </c>
      <c r="CF58" s="760">
        <f ca="1">BY58+COUNTIFS(BZ$58:BZ$69,BZ58,CE$58:CE$69,"&lt;"&amp;CE58)</f>
        <v>10</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RD Congo</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Bosnia y Herzegovina</v>
      </c>
      <c r="BE59" s="760">
        <f t="shared" ref="BE59:BE69" ca="1" si="189">CHOOSE($BB$57,
  (BG59*3 + BH59)+IF($AZ$3="No",0,INDEX($AZ$6:$AZ$97,MATCH(BD59,$AY$6:$AY$97,0))),
  (BG59*3 + BH59)+IF($AZ$3="No",0,INDEX($AZ$6:$AZ$97,MATCH(BD59,$AY$6:$AY$97,0))),
  IFERROR((BG59*3 + BH59+IF($AZ$3="No",0,INDEX($AZ$6:$AZ$97,MATCH(BD59,$AY$6:$AY$97,0)))) / BF59, 0)
)</f>
        <v>4</v>
      </c>
      <c r="BF59" s="760">
        <f t="shared" ref="BF59:BF69" ca="1" si="190">+BG59+BH59+BI59</f>
        <v>3</v>
      </c>
      <c r="BG59" s="760">
        <f t="shared" ref="BG59:BG69" ca="1" si="191">CHOOSE(IF($BB$57=2, 2, 1),
  INDEX($BG$6:$BG$53,MATCH($BB59,$BN$6:$BN$53,0)),
  INDEX($BG$6:$BG$53,MATCH($BB59,$BN$6:$BN$53,0))-(COUNTIFS(FGLocal,$BD59,FGVisitante,INDEX($BD$6:$BD$53,MATCH(BO59,$BN$6:$BN$53,0)),Ganador,"Local")+COUNTIFS(FGVisitante,$BD59,FGLocal,INDEX($BD$6:$BD$53,MATCH(BO59,$BN$6:$BN$53,0)),Ganador,"Visitante"))
)</f>
        <v>1</v>
      </c>
      <c r="BH59" s="760">
        <f t="shared" ref="BH59:BH69" ca="1" si="192">CHOOSE(IF($BB$57=2, 2, 1),
  INDEX($BH$6:$BH$53,MATCH($BB59,$BN$6:$BN$53,0)),
  INDEX($BH$6:$BH$53,MATCH($BB59,$BN$6:$BN$53,0))-(COUNTIFS(FGLocal,$BD59,FGVisitante,INDEX($BD$6:$BD$53,MATCH(BO59,$BN$6:$BN$53,0)),Ganador,"Empate")+COUNTIFS(FGVisitante,$BD59,FGLocal,INDEX($BD$6:$BD$53,MATCH(BO59,$BN$6:$BN$53,0)),Ganador,"Empate"))
)</f>
        <v>1</v>
      </c>
      <c r="BI59" s="760">
        <f t="shared" ca="1" si="176"/>
        <v>1</v>
      </c>
      <c r="BJ59" s="760">
        <f t="shared" ca="1" si="177"/>
        <v>5</v>
      </c>
      <c r="BK59" s="760">
        <f t="shared" ca="1" si="178"/>
        <v>6</v>
      </c>
      <c r="BL59" s="760">
        <f t="shared" ref="BL59:BL69" ca="1" si="193">BJ59-BK59</f>
        <v>-1</v>
      </c>
      <c r="BM59" s="760">
        <f t="shared" ref="BM59:BM69" ca="1" si="194">CB59</f>
        <v>5</v>
      </c>
      <c r="BN59" s="760">
        <f t="shared" ref="BN59:BN69" ca="1" si="195">CF59</f>
        <v>5</v>
      </c>
      <c r="BO59" s="750" t="str">
        <f t="shared" ref="BO59:BO69" si="196">"4"&amp;BC59</f>
        <v>4B</v>
      </c>
      <c r="BP59" s="750"/>
      <c r="BQ59" s="750"/>
      <c r="BR59" s="760">
        <f t="shared" ca="1" si="179"/>
        <v>4</v>
      </c>
      <c r="BS59" s="760">
        <f t="shared" ref="BS59:BS69" ca="1" si="197">COUNTIFS(BR$58:BR$69,"&gt;"&amp;BR59)+1</f>
        <v>1</v>
      </c>
      <c r="BT59" s="760" t="str">
        <f t="shared" ref="BT59:BT69" ca="1" si="198">IF(COUNTIF(BS$58:BS$69,BS59)=1,"-","Pos. "&amp;BS59&amp;" ("&amp;COUNTIF(BS$58:BS$69,BS59)&amp;")")</f>
        <v>Pos. 1 (7)</v>
      </c>
      <c r="BU59" s="760">
        <f t="shared" ca="1" si="180"/>
        <v>-1</v>
      </c>
      <c r="BV59" s="760">
        <f t="shared" ca="1" si="181"/>
        <v>5</v>
      </c>
      <c r="BW59" s="760" t="str">
        <f t="shared" ca="1" si="182"/>
        <v>-</v>
      </c>
      <c r="BX59" s="760" t="str">
        <f t="shared" ca="1" si="183"/>
        <v>-</v>
      </c>
      <c r="BY59" s="760">
        <f t="shared" ca="1" si="184"/>
        <v>5</v>
      </c>
      <c r="BZ59" s="760" t="str">
        <f t="shared" ca="1" si="185"/>
        <v>-</v>
      </c>
      <c r="CA59" s="760" t="str">
        <f t="shared" ref="CA59:CA69" ca="1" si="199">IF(BZ59="-","-",COUNTIF($BD$58:$BD$69,"&gt;"&amp;BD59))</f>
        <v>-</v>
      </c>
      <c r="CB59" s="760">
        <f t="shared" ref="CB59:CB68" ca="1" si="200">BY59+COUNTIFS(BZ$58:BZ$69,BZ59,CA$58:CA$69,"&gt;"&amp;CA59)</f>
        <v>5</v>
      </c>
      <c r="CC59" s="760"/>
      <c r="CD59" s="760">
        <f t="shared" ref="CD59:CD69" ca="1" si="201">IF(OR(INDEX($AW$102:$AW$113,MATCH($BD59,$AV$102:$AV$113,0))="",BZ59="-"),CB59,INDEX($AW$102:$AW$113,MATCH($BD59,$AV$102:$AV$113,0))+CB59/1000)</f>
        <v>5</v>
      </c>
      <c r="CE59" s="760" t="str">
        <f t="shared" ref="CE59:CE69" ca="1" si="202">IF(BZ59="-","-",COUNTIF(CD$58:CD$69,"&lt;"&amp;CD59))</f>
        <v>-</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Suecia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Empate</v>
      </c>
      <c r="E60" s="756" t="str">
        <f t="shared" ref="E60:E65" ca="1" si="207">IF(D60="Pendiente","-",INDEX($BT$6:$BT$53,MATCH($AA60,$BD$6:$BD$53,0)))</f>
        <v>-</v>
      </c>
      <c r="F60" s="756" t="str">
        <f t="shared" ref="F60:F65" ca="1" si="208">IF(D60="Pendiente","-",INDEX($BT$6:$BT$53,MATCH($AF60,$BD$6:$BD$53,0)))</f>
        <v>-</v>
      </c>
      <c r="G60" s="756"/>
      <c r="H60" s="756" t="str">
        <f t="shared" ref="H60:H65" ca="1" si="209">IF(D60="Pendiente","-",INDEX($BZ$6:$BZ$53,MATCH($AA60,$BD$6:$BD$53,0)))</f>
        <v>-</v>
      </c>
      <c r="I60" s="756" t="str">
        <f t="shared" ref="I60:I65" ca="1" si="210">IF(D60="Pendiente","-",INDEX($BZ$6:$BZ$53,MATCH($AF60,$BD$6:$BD$53,0)))</f>
        <v>-</v>
      </c>
      <c r="J60" s="756"/>
      <c r="K60" s="756" t="str">
        <f t="shared" ref="K60:K65" ca="1" si="211">IF(D60="Pendiente","-",INDEX($CE$6:$CE$53,MATCH($AA60,$BD$6:$BD$53,0)))</f>
        <v>-</v>
      </c>
      <c r="L60" s="756" t="str">
        <f t="shared" ref="L60:L65" ca="1" si="212">IF(D60="Pendiente","-",INDEX($CE$6:$CE$53,MATCH($AF60,$BD$6:$BD$53,0)))</f>
        <v>-</v>
      </c>
      <c r="M60" s="756"/>
      <c r="N60" s="756" t="str">
        <f t="shared" ref="N60:N65" ca="1" si="213">IF(D60="Pendiente","-",INDEX($CH$6:$CH$53,MATCH($AA60,$BD$6:$BD$53,0)))</f>
        <v>-</v>
      </c>
      <c r="O60" s="756" t="str">
        <f t="shared" ref="O60:O65" ca="1" si="214">IF(D60="Pendiente","-",INDEX($CH$6:$CH$53,MATCH($AF60,$BD$6:$BD$53,0)))</f>
        <v>-</v>
      </c>
      <c r="P60" s="756"/>
      <c r="Q60" s="756" t="str">
        <f t="shared" ref="Q60:Q65" ca="1" si="215">IF(D60="Pendiente","-",INDEX($CN$6:$CN$53,MATCH($AA60,$BD$6:$BD$53,0)))</f>
        <v>-</v>
      </c>
      <c r="R60" s="756" t="str">
        <f t="shared" ref="R60:R65" ca="1" si="216">IF(D60="Pendiente","-",INDEX($CN$6:$CN$53,MATCH($AF60,$BD$6:$BD$53,0)))</f>
        <v>-</v>
      </c>
      <c r="S60" s="756"/>
      <c r="T60" s="756" t="str">
        <f t="shared" ref="T60:T65" ca="1" si="217">IF(D60="Pendiente","-",INDEX($CS$6:$CS$53,MATCH($AA60,$BD$6:$BD$53,0)))</f>
        <v>-</v>
      </c>
      <c r="U60" s="756" t="str">
        <f t="shared" ref="U60:U65" ca="1" si="218">IF(D60="Pendiente","-",INDEX($CS$6:$CS$53,MATCH($AF60,$BD$6:$BD$53,0)))</f>
        <v>-</v>
      </c>
      <c r="V60" s="178"/>
      <c r="W60" s="831"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1</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Escocia</v>
      </c>
      <c r="BE60" s="760">
        <f t="shared" ca="1" si="189"/>
        <v>3</v>
      </c>
      <c r="BF60" s="760">
        <f t="shared" ca="1" si="190"/>
        <v>3</v>
      </c>
      <c r="BG60" s="760">
        <f t="shared" ca="1" si="191"/>
        <v>1</v>
      </c>
      <c r="BH60" s="760">
        <f t="shared" ca="1" si="192"/>
        <v>0</v>
      </c>
      <c r="BI60" s="760">
        <f t="shared" ca="1" si="176"/>
        <v>2</v>
      </c>
      <c r="BJ60" s="760">
        <f t="shared" ca="1" si="177"/>
        <v>1</v>
      </c>
      <c r="BK60" s="760">
        <f t="shared" ca="1" si="178"/>
        <v>4</v>
      </c>
      <c r="BL60" s="760">
        <f t="shared" ca="1" si="193"/>
        <v>-3</v>
      </c>
      <c r="BM60" s="760">
        <f t="shared" ca="1" si="194"/>
        <v>11</v>
      </c>
      <c r="BN60" s="760">
        <f t="shared" ca="1" si="195"/>
        <v>11</v>
      </c>
      <c r="BO60" s="750" t="str">
        <f t="shared" si="196"/>
        <v>4C</v>
      </c>
      <c r="BP60" s="750"/>
      <c r="BQ60" s="750"/>
      <c r="BR60" s="760">
        <f t="shared" ca="1" si="179"/>
        <v>3</v>
      </c>
      <c r="BS60" s="760">
        <f t="shared" ca="1" si="197"/>
        <v>8</v>
      </c>
      <c r="BT60" s="760" t="str">
        <f t="shared" ca="1" si="198"/>
        <v>Pos. 8 (4)</v>
      </c>
      <c r="BU60" s="760">
        <f t="shared" ca="1" si="180"/>
        <v>-3</v>
      </c>
      <c r="BV60" s="760">
        <f t="shared" ca="1" si="181"/>
        <v>11</v>
      </c>
      <c r="BW60" s="760" t="str">
        <f t="shared" ca="1" si="182"/>
        <v>-</v>
      </c>
      <c r="BX60" s="760" t="str">
        <f t="shared" ca="1" si="183"/>
        <v>-</v>
      </c>
      <c r="BY60" s="760">
        <f t="shared" ca="1" si="184"/>
        <v>11</v>
      </c>
      <c r="BZ60" s="760" t="str">
        <f t="shared" ca="1" si="185"/>
        <v>-</v>
      </c>
      <c r="CA60" s="760" t="str">
        <f t="shared" ca="1" si="199"/>
        <v>-</v>
      </c>
      <c r="CB60" s="760">
        <f t="shared" ca="1" si="200"/>
        <v>11</v>
      </c>
      <c r="CC60" s="760"/>
      <c r="CD60" s="760">
        <f t="shared" ca="1" si="201"/>
        <v>11</v>
      </c>
      <c r="CE60" s="760" t="str">
        <f t="shared" ca="1" si="202"/>
        <v>-</v>
      </c>
      <c r="CF60" s="760">
        <f t="shared" ca="1" si="203"/>
        <v>11</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3</v>
      </c>
      <c r="DK60" s="756"/>
      <c r="DL60" s="756">
        <f t="shared" ca="1" si="204"/>
        <v>2</v>
      </c>
      <c r="DM60" s="750" t="str">
        <f t="shared" ca="1" si="187"/>
        <v>3.2</v>
      </c>
      <c r="DN60" s="756" t="e" cm="1" vm="1">
        <f t="array" aca="1" ref="DN60" ca="1">OFFSET(Horarios!$P$3,DJ60-1,0,DL60,1)</f>
        <v>#VALUE!</v>
      </c>
      <c r="DO60" s="756"/>
      <c r="DP60" s="756">
        <v>3</v>
      </c>
      <c r="DQ60" s="756" t="str">
        <f t="shared" ca="1" si="205"/>
        <v>Ecuador</v>
      </c>
      <c r="DR60" s="756"/>
      <c r="DS60" s="756"/>
      <c r="DT60" s="756" t="str">
        <f t="shared" ca="1" si="15"/>
        <v>España-Cabo Verde</v>
      </c>
      <c r="DU60" s="756"/>
      <c r="DV60" s="756"/>
      <c r="DW60" s="8"/>
    </row>
    <row r="61" spans="1:127" ht="16" x14ac:dyDescent="0.2">
      <c r="A61" s="757" t="str">
        <f ca="1">+Equipos!B30</f>
        <v>España</v>
      </c>
      <c r="B61" s="754"/>
      <c r="C61" s="754"/>
      <c r="D61" s="756" t="str">
        <f t="shared" si="206"/>
        <v>Empate</v>
      </c>
      <c r="E61" s="756" t="str">
        <f t="shared" ca="1" si="207"/>
        <v>P.3 (2)</v>
      </c>
      <c r="F61" s="756" t="str">
        <f t="shared" ca="1" si="208"/>
        <v>P.3 (2)</v>
      </c>
      <c r="G61" s="756"/>
      <c r="H61" s="756" t="str">
        <f t="shared" ca="1" si="209"/>
        <v>P.3 (2)</v>
      </c>
      <c r="I61" s="756" t="str">
        <f t="shared" ca="1" si="210"/>
        <v>P.3 (2)</v>
      </c>
      <c r="J61" s="756"/>
      <c r="K61" s="756" t="str">
        <f t="shared" ca="1" si="211"/>
        <v>P.3 (2)</v>
      </c>
      <c r="L61" s="756" t="str">
        <f t="shared" ca="1" si="212"/>
        <v>P.3 (2)</v>
      </c>
      <c r="M61" s="756"/>
      <c r="N61" s="756" t="str">
        <f t="shared" ca="1" si="213"/>
        <v>P.3 (2)</v>
      </c>
      <c r="O61" s="756" t="str">
        <f t="shared" ca="1" si="214"/>
        <v>P.3 (2)</v>
      </c>
      <c r="P61" s="756"/>
      <c r="Q61" s="756" t="str">
        <f t="shared" ca="1" si="215"/>
        <v>P.3 (2)</v>
      </c>
      <c r="R61" s="756" t="str">
        <f t="shared" ca="1" si="216"/>
        <v>P.3 (2)</v>
      </c>
      <c r="S61" s="756"/>
      <c r="T61" s="756" t="str">
        <f t="shared" ca="1" si="217"/>
        <v>P.3 (2)</v>
      </c>
      <c r="U61" s="756" t="str">
        <f t="shared" ca="1" si="218"/>
        <v>P.3 (2)</v>
      </c>
      <c r="V61" s="178"/>
      <c r="W61" s="831"/>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1</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Paraguay</v>
      </c>
      <c r="BE61" s="760">
        <f t="shared" ca="1" si="189"/>
        <v>4</v>
      </c>
      <c r="BF61" s="760">
        <f t="shared" ca="1" si="190"/>
        <v>3</v>
      </c>
      <c r="BG61" s="760">
        <f t="shared" ca="1" si="191"/>
        <v>1</v>
      </c>
      <c r="BH61" s="760">
        <f t="shared" ca="1" si="192"/>
        <v>1</v>
      </c>
      <c r="BI61" s="760">
        <f t="shared" ca="1" si="176"/>
        <v>1</v>
      </c>
      <c r="BJ61" s="760">
        <f t="shared" ca="1" si="177"/>
        <v>2</v>
      </c>
      <c r="BK61" s="760">
        <f t="shared" ca="1" si="178"/>
        <v>4</v>
      </c>
      <c r="BL61" s="760">
        <f t="shared" ca="1" si="193"/>
        <v>-2</v>
      </c>
      <c r="BM61" s="760">
        <f t="shared" ca="1" si="194"/>
        <v>7</v>
      </c>
      <c r="BN61" s="760">
        <f t="shared" ca="1" si="195"/>
        <v>7</v>
      </c>
      <c r="BO61" s="750" t="str">
        <f t="shared" si="196"/>
        <v>4D</v>
      </c>
      <c r="BP61" s="750"/>
      <c r="BQ61" s="750"/>
      <c r="BR61" s="760">
        <f t="shared" ca="1" si="179"/>
        <v>4</v>
      </c>
      <c r="BS61" s="760">
        <f t="shared" ca="1" si="197"/>
        <v>1</v>
      </c>
      <c r="BT61" s="760" t="str">
        <f t="shared" ca="1" si="198"/>
        <v>Pos. 1 (7)</v>
      </c>
      <c r="BU61" s="760">
        <f t="shared" ca="1" si="180"/>
        <v>-2</v>
      </c>
      <c r="BV61" s="760">
        <f t="shared" ca="1" si="181"/>
        <v>6</v>
      </c>
      <c r="BW61" s="760" t="str">
        <f t="shared" ca="1" si="182"/>
        <v>Pos. 6 (2)</v>
      </c>
      <c r="BX61" s="760">
        <f t="shared" ca="1" si="183"/>
        <v>2</v>
      </c>
      <c r="BY61" s="760">
        <f t="shared" ca="1" si="184"/>
        <v>7</v>
      </c>
      <c r="BZ61" s="760" t="str">
        <f t="shared" ca="1" si="185"/>
        <v>-</v>
      </c>
      <c r="CA61" s="760" t="str">
        <f t="shared" ca="1" si="199"/>
        <v>-</v>
      </c>
      <c r="CB61" s="760">
        <f t="shared" ca="1" si="200"/>
        <v>7</v>
      </c>
      <c r="CC61" s="760"/>
      <c r="CD61" s="760">
        <f t="shared" ca="1" si="201"/>
        <v>7</v>
      </c>
      <c r="CE61" s="760" t="str">
        <f t="shared" ca="1" si="202"/>
        <v>-</v>
      </c>
      <c r="CF61" s="760">
        <f t="shared" ca="1" si="203"/>
        <v>7</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3</v>
      </c>
      <c r="DK61" s="756"/>
      <c r="DL61" s="756">
        <f t="shared" ca="1" si="204"/>
        <v>2</v>
      </c>
      <c r="DM61" s="750" t="str">
        <f t="shared" ca="1" si="187"/>
        <v>3.2</v>
      </c>
      <c r="DN61" s="756" t="e" cm="1" vm="1">
        <f t="array" aca="1" ref="DN61" ca="1">OFFSET(Horarios!$P$3,DJ61-1,0,DL61,1)</f>
        <v>#VALUE!</v>
      </c>
      <c r="DO61" s="756"/>
      <c r="DP61" s="756">
        <v>4</v>
      </c>
      <c r="DQ61" s="756" t="str">
        <f t="shared" ca="1" si="205"/>
        <v>Ghana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Local</v>
      </c>
      <c r="E62" s="756" t="str">
        <f t="shared" ca="1" si="207"/>
        <v>-</v>
      </c>
      <c r="F62" s="756" t="str">
        <f t="shared" ca="1" si="208"/>
        <v>P.3 (2)</v>
      </c>
      <c r="G62" s="756"/>
      <c r="H62" s="756" t="str">
        <f t="shared" ca="1" si="209"/>
        <v>-</v>
      </c>
      <c r="I62" s="756" t="str">
        <f t="shared" ca="1" si="210"/>
        <v>P.3 (2)</v>
      </c>
      <c r="J62" s="756"/>
      <c r="K62" s="756" t="str">
        <f t="shared" ca="1" si="211"/>
        <v>-</v>
      </c>
      <c r="L62" s="756" t="str">
        <f t="shared" ca="1" si="212"/>
        <v>P.3 (2)</v>
      </c>
      <c r="M62" s="756"/>
      <c r="N62" s="756" t="str">
        <f t="shared" ca="1" si="213"/>
        <v>-</v>
      </c>
      <c r="O62" s="756" t="str">
        <f t="shared" ca="1" si="214"/>
        <v>P.3 (2)</v>
      </c>
      <c r="P62" s="756"/>
      <c r="Q62" s="756" t="str">
        <f t="shared" ca="1" si="215"/>
        <v>-</v>
      </c>
      <c r="R62" s="756" t="str">
        <f t="shared" ca="1" si="216"/>
        <v>P.3 (2)</v>
      </c>
      <c r="S62" s="756"/>
      <c r="T62" s="756" t="str">
        <f t="shared" ca="1" si="217"/>
        <v>-</v>
      </c>
      <c r="U62" s="756" t="str">
        <f t="shared" ca="1" si="218"/>
        <v>P.3 (2)</v>
      </c>
      <c r="V62" s="178"/>
      <c r="W62" s="831"/>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1</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7</v>
      </c>
      <c r="AN62" s="220">
        <f t="shared" ca="1" si="223"/>
        <v>3</v>
      </c>
      <c r="AO62" s="220">
        <f t="shared" ca="1" si="223"/>
        <v>2</v>
      </c>
      <c r="AP62" s="220">
        <f t="shared" ca="1" si="223"/>
        <v>1</v>
      </c>
      <c r="AQ62" s="220">
        <f t="shared" ca="1" si="223"/>
        <v>0</v>
      </c>
      <c r="AR62" s="220">
        <f t="shared" ca="1" si="223"/>
        <v>5</v>
      </c>
      <c r="AS62" s="220">
        <f t="shared" ca="1" si="223"/>
        <v>0</v>
      </c>
      <c r="AT62" s="221">
        <f t="shared" ca="1" si="223"/>
        <v>5</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Ecuador</v>
      </c>
      <c r="BE62" s="760">
        <f t="shared" ca="1" si="189"/>
        <v>4</v>
      </c>
      <c r="BF62" s="760">
        <f t="shared" ca="1" si="190"/>
        <v>3</v>
      </c>
      <c r="BG62" s="760">
        <f t="shared" ca="1" si="191"/>
        <v>1</v>
      </c>
      <c r="BH62" s="760">
        <f t="shared" ca="1" si="192"/>
        <v>1</v>
      </c>
      <c r="BI62" s="760">
        <f t="shared" ca="1" si="176"/>
        <v>1</v>
      </c>
      <c r="BJ62" s="760">
        <f t="shared" ca="1" si="177"/>
        <v>2</v>
      </c>
      <c r="BK62" s="760">
        <f t="shared" ca="1" si="178"/>
        <v>2</v>
      </c>
      <c r="BL62" s="760">
        <f t="shared" ca="1" si="193"/>
        <v>0</v>
      </c>
      <c r="BM62" s="760">
        <f t="shared" ca="1" si="194"/>
        <v>3</v>
      </c>
      <c r="BN62" s="760">
        <f t="shared" ca="1" si="195"/>
        <v>4</v>
      </c>
      <c r="BO62" s="750" t="str">
        <f t="shared" si="196"/>
        <v>4E</v>
      </c>
      <c r="BP62" s="750"/>
      <c r="BQ62" s="750"/>
      <c r="BR62" s="760">
        <f t="shared" ca="1" si="179"/>
        <v>4</v>
      </c>
      <c r="BS62" s="760">
        <f t="shared" ca="1" si="197"/>
        <v>1</v>
      </c>
      <c r="BT62" s="760" t="str">
        <f t="shared" ca="1" si="198"/>
        <v>Pos. 1 (7)</v>
      </c>
      <c r="BU62" s="760">
        <f t="shared" ca="1" si="180"/>
        <v>0</v>
      </c>
      <c r="BV62" s="760">
        <f t="shared" ca="1" si="181"/>
        <v>2</v>
      </c>
      <c r="BW62" s="760" t="str">
        <f t="shared" ca="1" si="182"/>
        <v>Pos. 2 (3)</v>
      </c>
      <c r="BX62" s="760">
        <f t="shared" ca="1" si="183"/>
        <v>2</v>
      </c>
      <c r="BY62" s="760">
        <f t="shared" ca="1" si="184"/>
        <v>3</v>
      </c>
      <c r="BZ62" s="760" t="str">
        <f t="shared" ca="1" si="185"/>
        <v>Pos. 3 (2)</v>
      </c>
      <c r="CA62" s="760">
        <f t="shared" ca="1" si="199"/>
        <v>8</v>
      </c>
      <c r="CB62" s="760">
        <f t="shared" ca="1" si="200"/>
        <v>3</v>
      </c>
      <c r="CC62" s="760"/>
      <c r="CD62" s="760">
        <f t="shared" ca="1" si="201"/>
        <v>4.0030000000000001</v>
      </c>
      <c r="CE62" s="760">
        <f t="shared" ca="1" si="202"/>
        <v>3</v>
      </c>
      <c r="CF62" s="760">
        <f t="shared" ca="1" si="203"/>
        <v>4</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5</v>
      </c>
      <c r="DK62" s="756"/>
      <c r="DL62" s="756">
        <f t="shared" ca="1" si="204"/>
        <v>1</v>
      </c>
      <c r="DM62" s="750" t="str">
        <f t="shared" ca="1" si="187"/>
        <v>5.1</v>
      </c>
      <c r="DN62" s="756" cm="1">
        <f t="array" aca="1" ref="DN62" ca="1">OFFSET(Horarios!$P$3,DJ62-1,0,DL62,1)</f>
        <v>5</v>
      </c>
      <c r="DO62" s="756"/>
      <c r="DP62" s="756">
        <v>5</v>
      </c>
      <c r="DQ62" s="756" t="str">
        <f t="shared" ca="1" si="205"/>
        <v>Bosnia y Herzegovina</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Empate</v>
      </c>
      <c r="E63" s="756" t="str">
        <f t="shared" ca="1" si="207"/>
        <v>P.3 (2)</v>
      </c>
      <c r="F63" s="756" t="str">
        <f t="shared" ca="1" si="208"/>
        <v>-</v>
      </c>
      <c r="G63" s="756"/>
      <c r="H63" s="756" t="str">
        <f t="shared" ca="1" si="209"/>
        <v>P.3 (2)</v>
      </c>
      <c r="I63" s="756" t="str">
        <f t="shared" ca="1" si="210"/>
        <v>-</v>
      </c>
      <c r="J63" s="756"/>
      <c r="K63" s="756" t="str">
        <f t="shared" ca="1" si="211"/>
        <v>P.3 (2)</v>
      </c>
      <c r="L63" s="756" t="str">
        <f t="shared" ca="1" si="212"/>
        <v>-</v>
      </c>
      <c r="M63" s="756"/>
      <c r="N63" s="756" t="str">
        <f t="shared" ca="1" si="213"/>
        <v>P.3 (2)</v>
      </c>
      <c r="O63" s="756" t="str">
        <f t="shared" ca="1" si="214"/>
        <v>-</v>
      </c>
      <c r="P63" s="756"/>
      <c r="Q63" s="756" t="str">
        <f t="shared" ca="1" si="215"/>
        <v>P.3 (2)</v>
      </c>
      <c r="R63" s="756" t="str">
        <f t="shared" ca="1" si="216"/>
        <v>-</v>
      </c>
      <c r="S63" s="756"/>
      <c r="T63" s="756" t="str">
        <f t="shared" ca="1" si="217"/>
        <v>P.3 (2)</v>
      </c>
      <c r="U63" s="756" t="str">
        <f t="shared" ca="1" si="218"/>
        <v>-</v>
      </c>
      <c r="V63" s="178"/>
      <c r="W63" s="831"/>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1</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3</v>
      </c>
      <c r="AN63" s="230">
        <f t="shared" ca="1" si="223"/>
        <v>3</v>
      </c>
      <c r="AO63" s="230">
        <f t="shared" ca="1" si="223"/>
        <v>0</v>
      </c>
      <c r="AP63" s="230">
        <f t="shared" ca="1" si="223"/>
        <v>3</v>
      </c>
      <c r="AQ63" s="230">
        <f t="shared" ca="1" si="223"/>
        <v>0</v>
      </c>
      <c r="AR63" s="230">
        <f t="shared" ca="1" si="223"/>
        <v>2</v>
      </c>
      <c r="AS63" s="230">
        <f t="shared" ca="1" si="223"/>
        <v>2</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4</v>
      </c>
      <c r="BF63" s="760">
        <f t="shared" ca="1" si="190"/>
        <v>3</v>
      </c>
      <c r="BG63" s="760">
        <f t="shared" ca="1" si="191"/>
        <v>1</v>
      </c>
      <c r="BH63" s="760">
        <f t="shared" ca="1" si="192"/>
        <v>1</v>
      </c>
      <c r="BI63" s="760">
        <f t="shared" ca="1" si="176"/>
        <v>1</v>
      </c>
      <c r="BJ63" s="760">
        <f t="shared" ca="1" si="177"/>
        <v>7</v>
      </c>
      <c r="BK63" s="760">
        <f t="shared" ca="1" si="178"/>
        <v>7</v>
      </c>
      <c r="BL63" s="760">
        <f t="shared" ca="1" si="193"/>
        <v>0</v>
      </c>
      <c r="BM63" s="760">
        <f t="shared" ca="1" si="194"/>
        <v>2</v>
      </c>
      <c r="BN63" s="760">
        <f t="shared" ca="1" si="195"/>
        <v>2</v>
      </c>
      <c r="BO63" s="750" t="str">
        <f t="shared" si="196"/>
        <v>4F</v>
      </c>
      <c r="BP63" s="750"/>
      <c r="BQ63" s="750"/>
      <c r="BR63" s="760">
        <f t="shared" ca="1" si="179"/>
        <v>4</v>
      </c>
      <c r="BS63" s="760">
        <f t="shared" ca="1" si="197"/>
        <v>1</v>
      </c>
      <c r="BT63" s="760" t="str">
        <f t="shared" ca="1" si="198"/>
        <v>Pos. 1 (7)</v>
      </c>
      <c r="BU63" s="760">
        <f t="shared" ca="1" si="180"/>
        <v>0</v>
      </c>
      <c r="BV63" s="760">
        <f t="shared" ca="1" si="181"/>
        <v>2</v>
      </c>
      <c r="BW63" s="760" t="str">
        <f t="shared" ca="1" si="182"/>
        <v>Pos. 2 (3)</v>
      </c>
      <c r="BX63" s="760">
        <f t="shared" ca="1" si="183"/>
        <v>7</v>
      </c>
      <c r="BY63" s="760">
        <f t="shared" ca="1" si="184"/>
        <v>2</v>
      </c>
      <c r="BZ63" s="760" t="str">
        <f t="shared" ca="1" si="185"/>
        <v>-</v>
      </c>
      <c r="CA63" s="760" t="str">
        <f t="shared" ca="1" si="199"/>
        <v>-</v>
      </c>
      <c r="CB63" s="760">
        <f t="shared" ca="1" si="200"/>
        <v>2</v>
      </c>
      <c r="CC63" s="760"/>
      <c r="CD63" s="760">
        <f t="shared" ca="1" si="201"/>
        <v>2</v>
      </c>
      <c r="CE63" s="760" t="str">
        <f t="shared" ca="1" si="202"/>
        <v>-</v>
      </c>
      <c r="CF63" s="760">
        <f t="shared" ca="1" si="203"/>
        <v>2</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6</v>
      </c>
      <c r="DK63" s="756"/>
      <c r="DL63" s="756">
        <f t="shared" ca="1" si="204"/>
        <v>1</v>
      </c>
      <c r="DM63" s="750" t="str">
        <f t="shared" ca="1" si="187"/>
        <v>6.1</v>
      </c>
      <c r="DN63" s="756" cm="1">
        <f t="array" aca="1" ref="DN63" ca="1">OFFSET(Horarios!$P$3,DJ63-1,0,DL63,1)</f>
        <v>6</v>
      </c>
      <c r="DO63" s="756"/>
      <c r="DP63" s="756">
        <v>6</v>
      </c>
      <c r="DQ63" s="756" t="str">
        <f t="shared" ca="1" si="205"/>
        <v>Argelia</v>
      </c>
      <c r="DR63" s="756"/>
      <c r="DS63" s="756"/>
      <c r="DT63" s="756" t="str">
        <f t="shared" ca="1" si="15"/>
        <v>Uruguay-Cabo Verde</v>
      </c>
      <c r="DU63" s="756"/>
      <c r="DV63" s="756"/>
      <c r="DW63" s="8"/>
    </row>
    <row r="64" spans="1:127" ht="16" x14ac:dyDescent="0.2">
      <c r="A64" s="757" t="str">
        <f ca="1">+Equipos!B33</f>
        <v>Uruguay</v>
      </c>
      <c r="B64" s="754"/>
      <c r="C64" s="756"/>
      <c r="D64" s="756" t="str">
        <f t="shared" si="206"/>
        <v>Empate</v>
      </c>
      <c r="E64" s="756" t="str">
        <f t="shared" ca="1" si="207"/>
        <v>-</v>
      </c>
      <c r="F64" s="756" t="str">
        <f t="shared" ca="1" si="208"/>
        <v>P.3 (2)</v>
      </c>
      <c r="G64" s="756"/>
      <c r="H64" s="756" t="str">
        <f t="shared" ca="1" si="209"/>
        <v>-</v>
      </c>
      <c r="I64" s="756" t="str">
        <f t="shared" ca="1" si="210"/>
        <v>P.3 (2)</v>
      </c>
      <c r="J64" s="756"/>
      <c r="K64" s="756" t="str">
        <f t="shared" ca="1" si="211"/>
        <v>-</v>
      </c>
      <c r="L64" s="756" t="str">
        <f t="shared" ca="1" si="212"/>
        <v>P.3 (2)</v>
      </c>
      <c r="M64" s="756"/>
      <c r="N64" s="756" t="str">
        <f t="shared" ca="1" si="213"/>
        <v>-</v>
      </c>
      <c r="O64" s="756" t="str">
        <f t="shared" ca="1" si="214"/>
        <v>P.3 (2)</v>
      </c>
      <c r="P64" s="756"/>
      <c r="Q64" s="756" t="str">
        <f t="shared" ca="1" si="215"/>
        <v>-</v>
      </c>
      <c r="R64" s="756" t="str">
        <f t="shared" ca="1" si="216"/>
        <v>P.3 (2)</v>
      </c>
      <c r="S64" s="756"/>
      <c r="T64" s="756" t="str">
        <f t="shared" ca="1" si="217"/>
        <v>-</v>
      </c>
      <c r="U64" s="756" t="str">
        <f t="shared" ca="1" si="218"/>
        <v>P.3 (2)</v>
      </c>
      <c r="V64" s="178"/>
      <c r="W64" s="831"/>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1</v>
      </c>
      <c r="AH64" s="202">
        <v>65</v>
      </c>
      <c r="AI64" s="19" t="str">
        <f t="shared" si="224"/>
        <v>3H</v>
      </c>
      <c r="AJ64" s="227">
        <v>3</v>
      </c>
      <c r="AK64" s="494" t="str" cm="1">
        <f t="array" aca="1" ref="AK64" ca="1">Ver_flag_visit</f>
        <v>🇺🇾</v>
      </c>
      <c r="AL64" s="228" t="str">
        <f ca="1">IFERROR(INDEX($BD$6:$BD$53,MATCH(AI64,$BN$6:$BN$53,0)),"")</f>
        <v>Uruguay</v>
      </c>
      <c r="AM64" s="229">
        <f t="shared" ca="1" si="223"/>
        <v>2</v>
      </c>
      <c r="AN64" s="230">
        <f t="shared" ca="1" si="223"/>
        <v>3</v>
      </c>
      <c r="AO64" s="230">
        <f t="shared" ca="1" si="223"/>
        <v>0</v>
      </c>
      <c r="AP64" s="230">
        <f t="shared" ca="1" si="223"/>
        <v>2</v>
      </c>
      <c r="AQ64" s="230">
        <f t="shared" ca="1" si="223"/>
        <v>1</v>
      </c>
      <c r="AR64" s="230">
        <f t="shared" ca="1" si="223"/>
        <v>3</v>
      </c>
      <c r="AS64" s="230">
        <f t="shared" ca="1" si="223"/>
        <v>4</v>
      </c>
      <c r="AT64" s="231">
        <f t="shared" ca="1" si="223"/>
        <v>-1</v>
      </c>
      <c r="AU64" s="428">
        <f ca="1">INDEX($DL$6:$DL$53,MATCH(AI64,$DP$6:$DP$53,0))</f>
        <v>1</v>
      </c>
      <c r="AV64" s="223" t="str">
        <f ca="1">INDEX($BD$6:$BD$53,MATCH(AI64,$BM$6:$BM$53,0))</f>
        <v>Uruguay</v>
      </c>
      <c r="AW64" s="435"/>
      <c r="AX64" s="224"/>
      <c r="AY64" s="225" t="str">
        <f ca="1">+A63</f>
        <v>Arabia Saudita</v>
      </c>
      <c r="AZ64" s="226"/>
      <c r="BA64" s="181"/>
      <c r="BB64" s="771" t="str">
        <f t="shared" si="188"/>
        <v>3G</v>
      </c>
      <c r="BC64" s="768" t="s">
        <v>6</v>
      </c>
      <c r="BD64" s="756" t="str">
        <f t="shared" ca="1" si="175"/>
        <v>Irán</v>
      </c>
      <c r="BE64" s="760">
        <f t="shared" ca="1" si="189"/>
        <v>3</v>
      </c>
      <c r="BF64" s="760">
        <f t="shared" ca="1" si="190"/>
        <v>3</v>
      </c>
      <c r="BG64" s="760">
        <f t="shared" ca="1" si="191"/>
        <v>0</v>
      </c>
      <c r="BH64" s="760">
        <f t="shared" ca="1" si="192"/>
        <v>3</v>
      </c>
      <c r="BI64" s="760">
        <f t="shared" ca="1" si="176"/>
        <v>0</v>
      </c>
      <c r="BJ64" s="760">
        <f t="shared" ca="1" si="177"/>
        <v>3</v>
      </c>
      <c r="BK64" s="760">
        <f t="shared" ca="1" si="178"/>
        <v>3</v>
      </c>
      <c r="BL64" s="760">
        <f t="shared" ca="1" si="193"/>
        <v>0</v>
      </c>
      <c r="BM64" s="760">
        <f t="shared" ca="1" si="194"/>
        <v>9</v>
      </c>
      <c r="BN64" s="760">
        <f t="shared" ca="1" si="195"/>
        <v>9</v>
      </c>
      <c r="BO64" s="750" t="str">
        <f t="shared" si="196"/>
        <v>4G</v>
      </c>
      <c r="BP64" s="750"/>
      <c r="BQ64" s="750"/>
      <c r="BR64" s="760">
        <f t="shared" ca="1" si="179"/>
        <v>3</v>
      </c>
      <c r="BS64" s="760">
        <f t="shared" ca="1" si="197"/>
        <v>8</v>
      </c>
      <c r="BT64" s="760" t="str">
        <f t="shared" ca="1" si="198"/>
        <v>Pos. 8 (4)</v>
      </c>
      <c r="BU64" s="760">
        <f t="shared" ca="1" si="180"/>
        <v>0</v>
      </c>
      <c r="BV64" s="760">
        <f t="shared" ca="1" si="181"/>
        <v>9</v>
      </c>
      <c r="BW64" s="760" t="str">
        <f t="shared" ca="1" si="182"/>
        <v>-</v>
      </c>
      <c r="BX64" s="760" t="str">
        <f t="shared" ca="1" si="183"/>
        <v>-</v>
      </c>
      <c r="BY64" s="760">
        <f t="shared" ca="1" si="184"/>
        <v>9</v>
      </c>
      <c r="BZ64" s="760" t="str">
        <f t="shared" ca="1" si="185"/>
        <v>-</v>
      </c>
      <c r="CA64" s="760" t="str">
        <f t="shared" ca="1" si="199"/>
        <v>-</v>
      </c>
      <c r="CB64" s="760">
        <f t="shared" ca="1" si="200"/>
        <v>9</v>
      </c>
      <c r="CC64" s="760"/>
      <c r="CD64" s="760">
        <f t="shared" ca="1" si="201"/>
        <v>9</v>
      </c>
      <c r="CE64" s="760" t="str">
        <f t="shared" ca="1" si="202"/>
        <v>-</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7</v>
      </c>
      <c r="DK64" s="756"/>
      <c r="DL64" s="756">
        <f t="shared" ca="1" si="204"/>
        <v>1</v>
      </c>
      <c r="DM64" s="750" t="str">
        <f t="shared" ca="1" si="187"/>
        <v>7.1</v>
      </c>
      <c r="DN64" s="756" cm="1">
        <f t="array" aca="1" ref="DN64" ca="1">OFFSET(Horarios!$P$3,DJ64-1,0,DL64,1)</f>
        <v>7</v>
      </c>
      <c r="DO64" s="756"/>
      <c r="DP64" s="756">
        <v>7</v>
      </c>
      <c r="DQ64" s="756" t="str">
        <f t="shared" ca="1" si="205"/>
        <v>Paraguay</v>
      </c>
      <c r="DR64" s="756"/>
      <c r="DS64" s="756"/>
      <c r="DT64" s="756" t="str">
        <f t="shared" ca="1" si="15"/>
        <v>Cabo Verde-Arabia Saudita</v>
      </c>
      <c r="DU64" s="756"/>
      <c r="DV64" s="756"/>
      <c r="DW64" s="8"/>
    </row>
    <row r="65" spans="1:127" ht="17" thickBot="1" x14ac:dyDescent="0.25">
      <c r="A65" s="751"/>
      <c r="B65" s="754"/>
      <c r="C65" s="751"/>
      <c r="D65" s="756" t="str">
        <f t="shared" si="206"/>
        <v>Visitante</v>
      </c>
      <c r="E65" s="756" t="str">
        <f t="shared" ca="1" si="207"/>
        <v>P.3 (2)</v>
      </c>
      <c r="F65" s="756" t="str">
        <f t="shared" ca="1" si="208"/>
        <v>-</v>
      </c>
      <c r="G65" s="756"/>
      <c r="H65" s="756" t="str">
        <f t="shared" ca="1" si="209"/>
        <v>P.3 (2)</v>
      </c>
      <c r="I65" s="756" t="str">
        <f t="shared" ca="1" si="210"/>
        <v>-</v>
      </c>
      <c r="J65" s="756"/>
      <c r="K65" s="756" t="str">
        <f t="shared" ca="1" si="211"/>
        <v>P.3 (2)</v>
      </c>
      <c r="L65" s="756" t="str">
        <f t="shared" ca="1" si="212"/>
        <v>-</v>
      </c>
      <c r="M65" s="756"/>
      <c r="N65" s="756" t="str">
        <f t="shared" ca="1" si="213"/>
        <v>P.3 (2)</v>
      </c>
      <c r="O65" s="756" t="str">
        <f t="shared" ca="1" si="214"/>
        <v>-</v>
      </c>
      <c r="P65" s="756"/>
      <c r="Q65" s="756" t="str">
        <f t="shared" ca="1" si="215"/>
        <v>P.3 (2)</v>
      </c>
      <c r="R65" s="756" t="str">
        <f t="shared" ca="1" si="216"/>
        <v>-</v>
      </c>
      <c r="S65" s="756"/>
      <c r="T65" s="756" t="str">
        <f t="shared" ca="1" si="217"/>
        <v>P.3 (2)</v>
      </c>
      <c r="U65" s="756" t="str">
        <f t="shared" ca="1" si="218"/>
        <v>-</v>
      </c>
      <c r="V65" s="178"/>
      <c r="W65" s="832"/>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1</v>
      </c>
      <c r="AH65" s="202">
        <v>66</v>
      </c>
      <c r="AI65" s="19" t="str">
        <f t="shared" si="224"/>
        <v>4H</v>
      </c>
      <c r="AJ65" s="241">
        <v>4</v>
      </c>
      <c r="AK65" s="495" t="str" cm="1">
        <f t="array" aca="1" ref="AK65" ca="1">Ver_flag_visit</f>
        <v>🇸🇦</v>
      </c>
      <c r="AL65" s="242" t="str">
        <f ca="1">IFERROR(INDEX($BD$6:$BD$53,MATCH(AI65,$BN$6:$BN$53,0)),"")</f>
        <v>Arabia Saudita</v>
      </c>
      <c r="AM65" s="243">
        <f t="shared" ca="1" si="223"/>
        <v>2</v>
      </c>
      <c r="AN65" s="244">
        <f t="shared" ca="1" si="223"/>
        <v>3</v>
      </c>
      <c r="AO65" s="244">
        <f t="shared" ca="1" si="223"/>
        <v>0</v>
      </c>
      <c r="AP65" s="244">
        <f t="shared" ca="1" si="223"/>
        <v>2</v>
      </c>
      <c r="AQ65" s="244">
        <f t="shared" ca="1" si="223"/>
        <v>1</v>
      </c>
      <c r="AR65" s="244">
        <f t="shared" ca="1" si="223"/>
        <v>1</v>
      </c>
      <c r="AS65" s="244">
        <f t="shared" ca="1" si="223"/>
        <v>5</v>
      </c>
      <c r="AT65" s="245">
        <f t="shared" ca="1" si="223"/>
        <v>-4</v>
      </c>
      <c r="AU65" s="428">
        <f ca="1">INDEX($DL$6:$DL$53,MATCH(AI65,$DP$6:$DP$53,0))</f>
        <v>1</v>
      </c>
      <c r="AV65" s="223" t="str">
        <f ca="1">INDEX($BD$6:$BD$53,MATCH(AI65,$BM$6:$BM$53,0))</f>
        <v>Arabia Saudita</v>
      </c>
      <c r="AW65" s="435"/>
      <c r="AX65" s="224"/>
      <c r="AY65" s="246" t="str">
        <f ca="1">+A64</f>
        <v>Uruguay</v>
      </c>
      <c r="AZ65" s="247"/>
      <c r="BA65" s="181"/>
      <c r="BB65" s="771" t="str">
        <f t="shared" si="188"/>
        <v>3H</v>
      </c>
      <c r="BC65" s="768" t="s">
        <v>437</v>
      </c>
      <c r="BD65" s="756" t="str">
        <f t="shared" ca="1" si="175"/>
        <v>Uruguay</v>
      </c>
      <c r="BE65" s="760">
        <f t="shared" ca="1" si="189"/>
        <v>2</v>
      </c>
      <c r="BF65" s="760">
        <f t="shared" ca="1" si="190"/>
        <v>3</v>
      </c>
      <c r="BG65" s="760">
        <f t="shared" ca="1" si="191"/>
        <v>0</v>
      </c>
      <c r="BH65" s="760">
        <f t="shared" ca="1" si="192"/>
        <v>2</v>
      </c>
      <c r="BI65" s="760">
        <f t="shared" ca="1" si="176"/>
        <v>1</v>
      </c>
      <c r="BJ65" s="760">
        <f t="shared" ca="1" si="177"/>
        <v>3</v>
      </c>
      <c r="BK65" s="760">
        <f t="shared" ca="1" si="178"/>
        <v>4</v>
      </c>
      <c r="BL65" s="760">
        <f t="shared" ca="1" si="193"/>
        <v>-1</v>
      </c>
      <c r="BM65" s="760">
        <f t="shared" ca="1" si="194"/>
        <v>12</v>
      </c>
      <c r="BN65" s="760">
        <f t="shared" ca="1" si="195"/>
        <v>12</v>
      </c>
      <c r="BO65" s="750" t="str">
        <f t="shared" si="196"/>
        <v>4H</v>
      </c>
      <c r="BP65" s="750"/>
      <c r="BQ65" s="750"/>
      <c r="BR65" s="760">
        <f t="shared" ca="1" si="179"/>
        <v>2</v>
      </c>
      <c r="BS65" s="760">
        <f t="shared" ca="1" si="197"/>
        <v>12</v>
      </c>
      <c r="BT65" s="760" t="str">
        <f t="shared" ca="1" si="198"/>
        <v>-</v>
      </c>
      <c r="BU65" s="760" t="str">
        <f t="shared" ca="1" si="180"/>
        <v>-</v>
      </c>
      <c r="BV65" s="760">
        <f t="shared" ca="1" si="181"/>
        <v>12</v>
      </c>
      <c r="BW65" s="760" t="str">
        <f t="shared" ca="1" si="182"/>
        <v>-</v>
      </c>
      <c r="BX65" s="760" t="str">
        <f t="shared" ca="1" si="183"/>
        <v>-</v>
      </c>
      <c r="BY65" s="760">
        <f t="shared" ca="1" si="184"/>
        <v>12</v>
      </c>
      <c r="BZ65" s="760" t="str">
        <f t="shared" ca="1" si="185"/>
        <v>-</v>
      </c>
      <c r="CA65" s="760" t="str">
        <f t="shared" ca="1" si="199"/>
        <v>-</v>
      </c>
      <c r="CB65" s="760">
        <f t="shared" ca="1" si="200"/>
        <v>12</v>
      </c>
      <c r="CC65" s="760"/>
      <c r="CD65" s="760">
        <f t="shared" ca="1" si="201"/>
        <v>12</v>
      </c>
      <c r="CE65" s="760" t="str">
        <f t="shared" ca="1" si="202"/>
        <v>-</v>
      </c>
      <c r="CF65" s="760">
        <f t="shared" ca="1" si="203"/>
        <v>12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8</v>
      </c>
      <c r="DK65" s="756"/>
      <c r="DL65" s="756">
        <f t="shared" ca="1" si="204"/>
        <v>1</v>
      </c>
      <c r="DM65" s="750" t="str">
        <f t="shared" ca="1" si="187"/>
        <v>8.1</v>
      </c>
      <c r="DN65" s="756" cm="1">
        <f t="array" aca="1" ref="DN65" ca="1">OFFSET(Horarios!$P$3,DJ65-1,0,DL65,1)</f>
        <v>8</v>
      </c>
      <c r="DO65" s="756"/>
      <c r="DP65" s="756">
        <v>8</v>
      </c>
      <c r="DQ65" s="756" t="str">
        <f t="shared" ca="1" si="205"/>
        <v>Senegal</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Senegal</v>
      </c>
      <c r="BE66" s="760">
        <f t="shared" ca="1" si="189"/>
        <v>3</v>
      </c>
      <c r="BF66" s="760">
        <f t="shared" ca="1" si="190"/>
        <v>3</v>
      </c>
      <c r="BG66" s="760">
        <f t="shared" ca="1" si="191"/>
        <v>1</v>
      </c>
      <c r="BH66" s="760">
        <f t="shared" ca="1" si="192"/>
        <v>0</v>
      </c>
      <c r="BI66" s="760">
        <f t="shared" ca="1" si="176"/>
        <v>2</v>
      </c>
      <c r="BJ66" s="760">
        <f t="shared" ca="1" si="177"/>
        <v>8</v>
      </c>
      <c r="BK66" s="760">
        <f t="shared" ca="1" si="178"/>
        <v>6</v>
      </c>
      <c r="BL66" s="760">
        <f t="shared" ca="1" si="193"/>
        <v>2</v>
      </c>
      <c r="BM66" s="760">
        <f t="shared" ca="1" si="194"/>
        <v>8</v>
      </c>
      <c r="BN66" s="760">
        <f t="shared" ca="1" si="195"/>
        <v>8</v>
      </c>
      <c r="BO66" s="750" t="str">
        <f t="shared" si="196"/>
        <v>4I</v>
      </c>
      <c r="BP66" s="750"/>
      <c r="BQ66" s="750"/>
      <c r="BR66" s="760">
        <f t="shared" ca="1" si="179"/>
        <v>3</v>
      </c>
      <c r="BS66" s="760">
        <f t="shared" ca="1" si="197"/>
        <v>8</v>
      </c>
      <c r="BT66" s="760" t="str">
        <f t="shared" ca="1" si="198"/>
        <v>Pos. 8 (4)</v>
      </c>
      <c r="BU66" s="760">
        <f t="shared" ca="1" si="180"/>
        <v>2</v>
      </c>
      <c r="BV66" s="760">
        <f t="shared" ca="1" si="181"/>
        <v>8</v>
      </c>
      <c r="BW66" s="760" t="str">
        <f t="shared" ca="1" si="182"/>
        <v>-</v>
      </c>
      <c r="BX66" s="760" t="str">
        <f t="shared" ca="1" si="183"/>
        <v>-</v>
      </c>
      <c r="BY66" s="760">
        <f t="shared" ca="1" si="184"/>
        <v>8</v>
      </c>
      <c r="BZ66" s="760" t="str">
        <f t="shared" ca="1" si="185"/>
        <v>-</v>
      </c>
      <c r="CA66" s="760" t="str">
        <f t="shared" ca="1" si="199"/>
        <v>-</v>
      </c>
      <c r="CB66" s="760">
        <f t="shared" ca="1" si="200"/>
        <v>8</v>
      </c>
      <c r="CC66" s="760"/>
      <c r="CD66" s="760">
        <f t="shared" ca="1" si="201"/>
        <v>8</v>
      </c>
      <c r="CE66" s="760" t="str">
        <f t="shared" ca="1" si="202"/>
        <v>-</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9</v>
      </c>
      <c r="DK66" s="756"/>
      <c r="DL66" s="756">
        <f t="shared" ca="1" si="204"/>
        <v>1</v>
      </c>
      <c r="DM66" s="750" t="str">
        <f t="shared" ca="1" si="187"/>
        <v>9.1</v>
      </c>
      <c r="DN66" s="756" cm="1">
        <f t="array" aca="1" ref="DN66" ca="1">OFFSET(Horarios!$P$3,DJ66-1,0,DL66,1)</f>
        <v>9</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Argelia</v>
      </c>
      <c r="BE67" s="760">
        <f t="shared" ca="1" si="189"/>
        <v>4</v>
      </c>
      <c r="BF67" s="760">
        <f t="shared" ca="1" si="190"/>
        <v>3</v>
      </c>
      <c r="BG67" s="760">
        <f t="shared" ca="1" si="191"/>
        <v>1</v>
      </c>
      <c r="BH67" s="760">
        <f t="shared" ca="1" si="192"/>
        <v>1</v>
      </c>
      <c r="BI67" s="760">
        <f t="shared" ca="1" si="176"/>
        <v>1</v>
      </c>
      <c r="BJ67" s="760">
        <f t="shared" ca="1" si="177"/>
        <v>5</v>
      </c>
      <c r="BK67" s="760">
        <f t="shared" ca="1" si="178"/>
        <v>7</v>
      </c>
      <c r="BL67" s="760">
        <f t="shared" ca="1" si="193"/>
        <v>-2</v>
      </c>
      <c r="BM67" s="760">
        <f t="shared" ca="1" si="194"/>
        <v>6</v>
      </c>
      <c r="BN67" s="760">
        <f t="shared" ca="1" si="195"/>
        <v>6</v>
      </c>
      <c r="BO67" s="750" t="str">
        <f t="shared" si="196"/>
        <v>4J</v>
      </c>
      <c r="BP67" s="750"/>
      <c r="BQ67" s="750"/>
      <c r="BR67" s="760">
        <f t="shared" ca="1" si="179"/>
        <v>4</v>
      </c>
      <c r="BS67" s="760">
        <f t="shared" ca="1" si="197"/>
        <v>1</v>
      </c>
      <c r="BT67" s="760" t="str">
        <f t="shared" ca="1" si="198"/>
        <v>Pos. 1 (7)</v>
      </c>
      <c r="BU67" s="760">
        <f t="shared" ca="1" si="180"/>
        <v>-2</v>
      </c>
      <c r="BV67" s="760">
        <f t="shared" ca="1" si="181"/>
        <v>6</v>
      </c>
      <c r="BW67" s="760" t="str">
        <f t="shared" ca="1" si="182"/>
        <v>Pos. 6 (2)</v>
      </c>
      <c r="BX67" s="760">
        <f t="shared" ca="1" si="183"/>
        <v>5</v>
      </c>
      <c r="BY67" s="760">
        <f t="shared" ca="1" si="184"/>
        <v>6</v>
      </c>
      <c r="BZ67" s="760" t="str">
        <f t="shared" ca="1" si="185"/>
        <v>-</v>
      </c>
      <c r="CA67" s="760" t="str">
        <f t="shared" ca="1" si="199"/>
        <v>-</v>
      </c>
      <c r="CB67" s="760">
        <f t="shared" ca="1" si="200"/>
        <v>6</v>
      </c>
      <c r="CC67" s="760"/>
      <c r="CD67" s="760">
        <f t="shared" ca="1" si="201"/>
        <v>6</v>
      </c>
      <c r="CE67" s="760" t="str">
        <f t="shared" ca="1" si="202"/>
        <v>-</v>
      </c>
      <c r="CF67" s="760">
        <f t="shared" ca="1" si="203"/>
        <v>6</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10</v>
      </c>
      <c r="DK67" s="756"/>
      <c r="DL67" s="756">
        <f t="shared" ca="1" si="204"/>
        <v>1</v>
      </c>
      <c r="DM67" s="750" t="str">
        <f t="shared" ca="1" si="187"/>
        <v>10.1</v>
      </c>
      <c r="DN67" s="756" cm="1">
        <f t="array" aca="1" ref="DN67" ca="1">OFFSET(Horarios!$P$3,DJ67-1,0,DL67,1)</f>
        <v>10</v>
      </c>
      <c r="DO67" s="756"/>
      <c r="DP67" s="756">
        <v>10</v>
      </c>
      <c r="DQ67" s="756" t="str">
        <f t="shared" ca="1" si="205"/>
        <v>Corea del Sur</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Local</v>
      </c>
      <c r="E68" s="756" t="str">
        <f t="shared" ref="E68:E73" ca="1" si="226">IF(D68="Pendiente","-",INDEX($BT$6:$BT$53,MATCH($AA68,$BD$6:$BD$53,0)))</f>
        <v>-</v>
      </c>
      <c r="F68" s="756" t="str">
        <f t="shared" ref="F68:F73" ca="1" si="227">IF(D68="Pendiente","-",INDEX($BT$6:$BT$53,MATCH($AF68,$BD$6:$BD$53,0)))</f>
        <v>-</v>
      </c>
      <c r="G68" s="756"/>
      <c r="H68" s="756" t="str">
        <f t="shared" ref="H68:H73" ca="1" si="228">IF(D68="Pendiente","-",INDEX($BZ$6:$BZ$53,MATCH($AA68,$BD$6:$BD$53,0)))</f>
        <v>-</v>
      </c>
      <c r="I68" s="756" t="str">
        <f t="shared" ref="I68:I73" ca="1" si="229">IF(D68="Pendiente","-",INDEX($BZ$6:$BZ$53,MATCH($AF68,$BD$6:$BD$53,0)))</f>
        <v>-</v>
      </c>
      <c r="J68" s="756"/>
      <c r="K68" s="756" t="str">
        <f t="shared" ref="K68:K73" ca="1" si="230">IF(D68="Pendiente","-",INDEX($CE$6:$CE$53,MATCH($AA68,$BD$6:$BD$53,0)))</f>
        <v>-</v>
      </c>
      <c r="L68" s="756" t="str">
        <f t="shared" ref="L68:L73" ca="1" si="231">IF(D68="Pendiente","-",INDEX($CE$6:$CE$53,MATCH($AF68,$BD$6:$BD$53,0)))</f>
        <v>-</v>
      </c>
      <c r="M68" s="756"/>
      <c r="N68" s="756" t="str">
        <f t="shared" ref="N68:N73" ca="1" si="232">IF(D68="Pendiente","-",INDEX($CH$6:$CH$53,MATCH($AA68,$BD$6:$BD$53,0)))</f>
        <v>-</v>
      </c>
      <c r="O68" s="756" t="str">
        <f t="shared" ref="O68:O73" ca="1" si="233">IF(D68="Pendiente","-",INDEX($CH$6:$CH$53,MATCH($AF68,$BD$6:$BD$53,0)))</f>
        <v>-</v>
      </c>
      <c r="P68" s="756"/>
      <c r="Q68" s="756" t="str">
        <f t="shared" ref="Q68:Q73" ca="1" si="234">IF(D68="Pendiente","-",INDEX($CN$6:$CN$53,MATCH($AA68,$BD$6:$BD$53,0)))</f>
        <v>-</v>
      </c>
      <c r="R68" s="756" t="str">
        <f t="shared" ref="R68:R73" ca="1" si="235">IF(D68="Pendiente","-",INDEX($CN$6:$CN$53,MATCH($AF68,$BD$6:$BD$53,0)))</f>
        <v>-</v>
      </c>
      <c r="S68" s="756"/>
      <c r="T68" s="756" t="str">
        <f t="shared" ref="T68:T73" ca="1" si="236">IF(D68="Pendiente","-",INDEX($CS$6:$CS$53,MATCH($AA68,$BD$6:$BD$53,0)))</f>
        <v>-</v>
      </c>
      <c r="U68" s="756" t="str">
        <f t="shared" ref="U68:U73" ca="1" si="237">IF(D68="Pendiente","-",INDEX($CS$6:$CS$53,MATCH($AF68,$BD$6:$BD$53,0)))</f>
        <v>-</v>
      </c>
      <c r="V68" s="178"/>
      <c r="W68" s="837"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1</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RD Congo</v>
      </c>
      <c r="BE68" s="760">
        <f t="shared" ca="1" si="189"/>
        <v>4</v>
      </c>
      <c r="BF68" s="760">
        <f t="shared" ca="1" si="190"/>
        <v>3</v>
      </c>
      <c r="BG68" s="760">
        <f t="shared" ca="1" si="191"/>
        <v>1</v>
      </c>
      <c r="BH68" s="760">
        <f t="shared" ca="1" si="192"/>
        <v>1</v>
      </c>
      <c r="BI68" s="760">
        <f t="shared" ca="1" si="176"/>
        <v>1</v>
      </c>
      <c r="BJ68" s="760">
        <f t="shared" ca="1" si="177"/>
        <v>4</v>
      </c>
      <c r="BK68" s="760">
        <f t="shared" ca="1" si="178"/>
        <v>3</v>
      </c>
      <c r="BL68" s="760">
        <f t="shared" ca="1" si="193"/>
        <v>1</v>
      </c>
      <c r="BM68" s="760">
        <f t="shared" ca="1" si="194"/>
        <v>1</v>
      </c>
      <c r="BN68" s="760">
        <f t="shared" ca="1" si="195"/>
        <v>1</v>
      </c>
      <c r="BO68" s="750" t="str">
        <f t="shared" si="196"/>
        <v>4K</v>
      </c>
      <c r="BP68" s="750"/>
      <c r="BQ68" s="750"/>
      <c r="BR68" s="760">
        <f t="shared" ca="1" si="179"/>
        <v>4</v>
      </c>
      <c r="BS68" s="760">
        <f t="shared" ca="1" si="197"/>
        <v>1</v>
      </c>
      <c r="BT68" s="760" t="str">
        <f t="shared" ca="1" si="198"/>
        <v>Pos. 1 (7)</v>
      </c>
      <c r="BU68" s="760">
        <f t="shared" ca="1" si="180"/>
        <v>1</v>
      </c>
      <c r="BV68" s="760">
        <f t="shared" ca="1" si="181"/>
        <v>1</v>
      </c>
      <c r="BW68" s="760" t="str">
        <f t="shared" ca="1" si="182"/>
        <v>-</v>
      </c>
      <c r="BX68" s="760" t="str">
        <f t="shared" ca="1" si="183"/>
        <v>-</v>
      </c>
      <c r="BY68" s="760">
        <f t="shared" ca="1" si="184"/>
        <v>1</v>
      </c>
      <c r="BZ68" s="760" t="str">
        <f t="shared" ca="1" si="185"/>
        <v>-</v>
      </c>
      <c r="CA68" s="760" t="str">
        <f t="shared" ca="1" si="199"/>
        <v>-</v>
      </c>
      <c r="CB68" s="760">
        <f t="shared" ca="1" si="200"/>
        <v>1</v>
      </c>
      <c r="CC68" s="760"/>
      <c r="CD68" s="760">
        <f t="shared" ca="1" si="201"/>
        <v>1</v>
      </c>
      <c r="CE68" s="760" t="str">
        <f t="shared" ca="1" si="202"/>
        <v>-</v>
      </c>
      <c r="CF68" s="760">
        <f t="shared" ca="1" si="203"/>
        <v>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11</v>
      </c>
      <c r="DK68" s="756"/>
      <c r="DL68" s="756">
        <f t="shared" ca="1" si="204"/>
        <v>1</v>
      </c>
      <c r="DM68" s="750" t="str">
        <f t="shared" ca="1" si="187"/>
        <v>11.1</v>
      </c>
      <c r="DN68" s="756" cm="1">
        <f t="array" aca="1" ref="DN68" ca="1">OFFSET(Horarios!$P$3,DJ68-1,0,DL68,1)</f>
        <v>11</v>
      </c>
      <c r="DO68" s="756"/>
      <c r="DP68" s="756">
        <v>11</v>
      </c>
      <c r="DQ68" s="756" t="str">
        <f t="shared" ca="1" si="205"/>
        <v>Escocia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Visitante</v>
      </c>
      <c r="E69" s="756" t="str">
        <f t="shared" ca="1" si="226"/>
        <v>-</v>
      </c>
      <c r="F69" s="756" t="str">
        <f t="shared" ca="1" si="227"/>
        <v>-</v>
      </c>
      <c r="G69" s="756"/>
      <c r="H69" s="756" t="str">
        <f t="shared" ca="1" si="228"/>
        <v>-</v>
      </c>
      <c r="I69" s="756" t="str">
        <f t="shared" ca="1" si="229"/>
        <v>-</v>
      </c>
      <c r="J69" s="756"/>
      <c r="K69" s="756" t="str">
        <f t="shared" ca="1" si="230"/>
        <v>-</v>
      </c>
      <c r="L69" s="756" t="str">
        <f t="shared" ca="1" si="231"/>
        <v>-</v>
      </c>
      <c r="M69" s="756"/>
      <c r="N69" s="756" t="str">
        <f t="shared" ca="1" si="232"/>
        <v>-</v>
      </c>
      <c r="O69" s="756" t="str">
        <f t="shared" ca="1" si="233"/>
        <v>-</v>
      </c>
      <c r="P69" s="756"/>
      <c r="Q69" s="756" t="str">
        <f t="shared" ca="1" si="234"/>
        <v>-</v>
      </c>
      <c r="R69" s="756" t="str">
        <f t="shared" ca="1" si="235"/>
        <v>-</v>
      </c>
      <c r="S69" s="756"/>
      <c r="T69" s="756" t="str">
        <f t="shared" ca="1" si="236"/>
        <v>-</v>
      </c>
      <c r="U69" s="756" t="str">
        <f t="shared" ca="1" si="237"/>
        <v>-</v>
      </c>
      <c r="V69" s="178"/>
      <c r="W69" s="837"/>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1</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4</v>
      </c>
      <c r="BF69" s="760">
        <f t="shared" ca="1" si="190"/>
        <v>3</v>
      </c>
      <c r="BG69" s="760">
        <f t="shared" ca="1" si="191"/>
        <v>1</v>
      </c>
      <c r="BH69" s="760">
        <f t="shared" ca="1" si="192"/>
        <v>1</v>
      </c>
      <c r="BI69" s="760">
        <f t="shared" ca="1" si="176"/>
        <v>1</v>
      </c>
      <c r="BJ69" s="760">
        <f t="shared" ca="1" si="177"/>
        <v>2</v>
      </c>
      <c r="BK69" s="760">
        <f t="shared" ca="1" si="178"/>
        <v>2</v>
      </c>
      <c r="BL69" s="760">
        <f t="shared" ca="1" si="193"/>
        <v>0</v>
      </c>
      <c r="BM69" s="760">
        <f t="shared" ca="1" si="194"/>
        <v>4</v>
      </c>
      <c r="BN69" s="760">
        <f t="shared" ca="1" si="195"/>
        <v>3</v>
      </c>
      <c r="BO69" s="750" t="str">
        <f t="shared" si="196"/>
        <v>4L</v>
      </c>
      <c r="BP69" s="750"/>
      <c r="BQ69" s="750"/>
      <c r="BR69" s="760">
        <f t="shared" ca="1" si="179"/>
        <v>4</v>
      </c>
      <c r="BS69" s="760">
        <f t="shared" ca="1" si="197"/>
        <v>1</v>
      </c>
      <c r="BT69" s="760" t="str">
        <f t="shared" ca="1" si="198"/>
        <v>Pos. 1 (7)</v>
      </c>
      <c r="BU69" s="760">
        <f t="shared" ca="1" si="180"/>
        <v>0</v>
      </c>
      <c r="BV69" s="760">
        <f t="shared" ca="1" si="181"/>
        <v>2</v>
      </c>
      <c r="BW69" s="760" t="str">
        <f t="shared" ca="1" si="182"/>
        <v>Pos. 2 (3)</v>
      </c>
      <c r="BX69" s="760">
        <f t="shared" ca="1" si="183"/>
        <v>2</v>
      </c>
      <c r="BY69" s="760">
        <f t="shared" ca="1" si="184"/>
        <v>3</v>
      </c>
      <c r="BZ69" s="760" t="str">
        <f t="shared" ca="1" si="185"/>
        <v>Pos. 3 (2)</v>
      </c>
      <c r="CA69" s="760">
        <f t="shared" ca="1" si="199"/>
        <v>6</v>
      </c>
      <c r="CB69" s="760">
        <f ca="1">BY69+COUNTIFS(BZ$58:BZ$69,BZ69,CA$58:CA$69,"&gt;"&amp;CA69)</f>
        <v>4</v>
      </c>
      <c r="CC69" s="760"/>
      <c r="CD69" s="760">
        <f t="shared" ca="1" si="201"/>
        <v>3.004</v>
      </c>
      <c r="CE69" s="760">
        <f t="shared" ca="1" si="202"/>
        <v>2</v>
      </c>
      <c r="CF69" s="760">
        <f t="shared" ca="1" si="203"/>
        <v>3</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Uruguay</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Local</v>
      </c>
      <c r="E70" s="756" t="str">
        <f t="shared" ca="1" si="226"/>
        <v>-</v>
      </c>
      <c r="F70" s="756" t="str">
        <f t="shared" ca="1" si="227"/>
        <v>-</v>
      </c>
      <c r="G70" s="756"/>
      <c r="H70" s="756" t="str">
        <f t="shared" ca="1" si="228"/>
        <v>-</v>
      </c>
      <c r="I70" s="756" t="str">
        <f t="shared" ca="1" si="229"/>
        <v>-</v>
      </c>
      <c r="J70" s="756"/>
      <c r="K70" s="756" t="str">
        <f t="shared" ca="1" si="230"/>
        <v>-</v>
      </c>
      <c r="L70" s="756" t="str">
        <f t="shared" ca="1" si="231"/>
        <v>-</v>
      </c>
      <c r="M70" s="756"/>
      <c r="N70" s="756" t="str">
        <f t="shared" ca="1" si="232"/>
        <v>-</v>
      </c>
      <c r="O70" s="756" t="str">
        <f t="shared" ca="1" si="233"/>
        <v>-</v>
      </c>
      <c r="P70" s="756"/>
      <c r="Q70" s="756" t="str">
        <f t="shared" ca="1" si="234"/>
        <v>-</v>
      </c>
      <c r="R70" s="756" t="str">
        <f t="shared" ca="1" si="235"/>
        <v>-</v>
      </c>
      <c r="S70" s="756"/>
      <c r="T70" s="756" t="str">
        <f t="shared" ca="1" si="236"/>
        <v>-</v>
      </c>
      <c r="U70" s="756" t="str">
        <f t="shared" ca="1" si="237"/>
        <v>-</v>
      </c>
      <c r="V70" s="178"/>
      <c r="W70" s="837"/>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1</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9</v>
      </c>
      <c r="AN70" s="220">
        <f t="shared" ca="1" si="243"/>
        <v>3</v>
      </c>
      <c r="AO70" s="220">
        <f t="shared" ca="1" si="243"/>
        <v>3</v>
      </c>
      <c r="AP70" s="220">
        <f t="shared" ca="1" si="243"/>
        <v>0</v>
      </c>
      <c r="AQ70" s="220">
        <f t="shared" ca="1" si="243"/>
        <v>0</v>
      </c>
      <c r="AR70" s="220">
        <f t="shared" ca="1" si="243"/>
        <v>10</v>
      </c>
      <c r="AS70" s="220">
        <f t="shared" ca="1" si="243"/>
        <v>2</v>
      </c>
      <c r="AT70" s="221">
        <f t="shared" ca="1" si="243"/>
        <v>8</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Local</v>
      </c>
      <c r="E71" s="756" t="str">
        <f t="shared" ca="1" si="226"/>
        <v>-</v>
      </c>
      <c r="F71" s="756" t="str">
        <f t="shared" ca="1" si="227"/>
        <v>-</v>
      </c>
      <c r="G71" s="756"/>
      <c r="H71" s="756" t="str">
        <f t="shared" ca="1" si="228"/>
        <v>-</v>
      </c>
      <c r="I71" s="756" t="str">
        <f t="shared" ca="1" si="229"/>
        <v>-</v>
      </c>
      <c r="J71" s="756"/>
      <c r="K71" s="756" t="str">
        <f t="shared" ca="1" si="230"/>
        <v>-</v>
      </c>
      <c r="L71" s="756" t="str">
        <f t="shared" ca="1" si="231"/>
        <v>-</v>
      </c>
      <c r="M71" s="756"/>
      <c r="N71" s="756" t="str">
        <f t="shared" ca="1" si="232"/>
        <v>-</v>
      </c>
      <c r="O71" s="756" t="str">
        <f t="shared" ca="1" si="233"/>
        <v>-</v>
      </c>
      <c r="P71" s="756"/>
      <c r="Q71" s="756" t="str">
        <f t="shared" ca="1" si="234"/>
        <v>-</v>
      </c>
      <c r="R71" s="756" t="str">
        <f t="shared" ca="1" si="235"/>
        <v>-</v>
      </c>
      <c r="S71" s="756"/>
      <c r="T71" s="756" t="str">
        <f t="shared" ca="1" si="236"/>
        <v>-</v>
      </c>
      <c r="U71" s="756" t="str">
        <f t="shared" ca="1" si="237"/>
        <v>-</v>
      </c>
      <c r="V71" s="178"/>
      <c r="W71" s="837"/>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1</v>
      </c>
      <c r="AH71" s="202">
        <v>41</v>
      </c>
      <c r="AI71" s="19" t="str">
        <f t="shared" ref="AI71:AI73" si="244">AJ71&amp;$B$68</f>
        <v>2I</v>
      </c>
      <c r="AJ71" s="227">
        <v>2</v>
      </c>
      <c r="AK71" s="494" t="str" cm="1">
        <f t="array" aca="1" ref="AK71" ca="1">Ver_flag_visit</f>
        <v>🇳🇴</v>
      </c>
      <c r="AL71" s="228" t="str">
        <f ca="1">IFERROR(INDEX($BD$6:$BD$53,MATCH(AI71,$BN$6:$BN$53,0)),"")</f>
        <v>Noruega</v>
      </c>
      <c r="AM71" s="229">
        <f t="shared" ca="1" si="243"/>
        <v>6</v>
      </c>
      <c r="AN71" s="230">
        <f t="shared" ca="1" si="243"/>
        <v>3</v>
      </c>
      <c r="AO71" s="230">
        <f t="shared" ca="1" si="243"/>
        <v>2</v>
      </c>
      <c r="AP71" s="230">
        <f t="shared" ca="1" si="243"/>
        <v>0</v>
      </c>
      <c r="AQ71" s="230">
        <f t="shared" ca="1" si="243"/>
        <v>1</v>
      </c>
      <c r="AR71" s="230">
        <f t="shared" ca="1" si="243"/>
        <v>8</v>
      </c>
      <c r="AS71" s="230">
        <f t="shared" ca="1" si="243"/>
        <v>7</v>
      </c>
      <c r="AT71" s="231">
        <f t="shared" ca="1" si="243"/>
        <v>1</v>
      </c>
      <c r="AU71" s="428">
        <f ca="1">INDEX($DL$6:$DL$53,MATCH(AI71,$DP$6:$DP$53,0))</f>
        <v>1</v>
      </c>
      <c r="AV71" s="223" t="str">
        <f ca="1">INDEX($BD$6:$BD$53,MATCH(AI71,$BM$6:$BM$53,0))</f>
        <v>Noruega</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Visitante</v>
      </c>
      <c r="E72" s="756" t="str">
        <f t="shared" ca="1" si="226"/>
        <v>-</v>
      </c>
      <c r="F72" s="756" t="str">
        <f t="shared" ca="1" si="227"/>
        <v>-</v>
      </c>
      <c r="G72" s="756"/>
      <c r="H72" s="756" t="str">
        <f t="shared" ca="1" si="228"/>
        <v>-</v>
      </c>
      <c r="I72" s="756" t="str">
        <f t="shared" ca="1" si="229"/>
        <v>-</v>
      </c>
      <c r="J72" s="756"/>
      <c r="K72" s="756" t="str">
        <f t="shared" ca="1" si="230"/>
        <v>-</v>
      </c>
      <c r="L72" s="756" t="str">
        <f t="shared" ca="1" si="231"/>
        <v>-</v>
      </c>
      <c r="M72" s="756"/>
      <c r="N72" s="756" t="str">
        <f t="shared" ca="1" si="232"/>
        <v>-</v>
      </c>
      <c r="O72" s="756" t="str">
        <f t="shared" ca="1" si="233"/>
        <v>-</v>
      </c>
      <c r="P72" s="756"/>
      <c r="Q72" s="756" t="str">
        <f t="shared" ca="1" si="234"/>
        <v>-</v>
      </c>
      <c r="R72" s="756" t="str">
        <f t="shared" ca="1" si="235"/>
        <v>-</v>
      </c>
      <c r="S72" s="756"/>
      <c r="T72" s="756" t="str">
        <f t="shared" ca="1" si="236"/>
        <v>-</v>
      </c>
      <c r="U72" s="756" t="str">
        <f t="shared" ca="1" si="237"/>
        <v>-</v>
      </c>
      <c r="V72" s="178"/>
      <c r="W72" s="837"/>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1</v>
      </c>
      <c r="AH72" s="202">
        <v>61</v>
      </c>
      <c r="AI72" s="19" t="str">
        <f t="shared" si="244"/>
        <v>3I</v>
      </c>
      <c r="AJ72" s="227">
        <v>3</v>
      </c>
      <c r="AK72" s="494" t="str" cm="1">
        <f t="array" aca="1" ref="AK72" ca="1">Ver_flag_visit</f>
        <v>🇸🇳</v>
      </c>
      <c r="AL72" s="228" t="str">
        <f ca="1">IFERROR(INDEX($BD$6:$BD$53,MATCH(AI72,$BN$6:$BN$53,0)),"")</f>
        <v>Senegal</v>
      </c>
      <c r="AM72" s="229">
        <f t="shared" ca="1" si="243"/>
        <v>3</v>
      </c>
      <c r="AN72" s="230">
        <f t="shared" ca="1" si="243"/>
        <v>3</v>
      </c>
      <c r="AO72" s="230">
        <f t="shared" ca="1" si="243"/>
        <v>1</v>
      </c>
      <c r="AP72" s="230">
        <f t="shared" ca="1" si="243"/>
        <v>0</v>
      </c>
      <c r="AQ72" s="230">
        <f t="shared" ca="1" si="243"/>
        <v>2</v>
      </c>
      <c r="AR72" s="230">
        <f t="shared" ca="1" si="243"/>
        <v>8</v>
      </c>
      <c r="AS72" s="230">
        <f t="shared" ca="1" si="243"/>
        <v>6</v>
      </c>
      <c r="AT72" s="231">
        <f t="shared" ca="1" si="243"/>
        <v>2</v>
      </c>
      <c r="AU72" s="428">
        <f ca="1">INDEX($DL$6:$DL$53,MATCH(AI72,$DP$6:$DP$53,0))</f>
        <v>1</v>
      </c>
      <c r="AV72" s="223" t="str">
        <f ca="1">INDEX($BD$6:$BD$53,MATCH(AI72,$BM$6:$BM$53,0))</f>
        <v>Senegal</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Local</v>
      </c>
      <c r="E73" s="756" t="str">
        <f t="shared" ca="1" si="226"/>
        <v>-</v>
      </c>
      <c r="F73" s="756" t="str">
        <f t="shared" ca="1" si="227"/>
        <v>-</v>
      </c>
      <c r="G73" s="756"/>
      <c r="H73" s="756" t="str">
        <f t="shared" ca="1" si="228"/>
        <v>-</v>
      </c>
      <c r="I73" s="756" t="str">
        <f t="shared" ca="1" si="229"/>
        <v>-</v>
      </c>
      <c r="J73" s="756"/>
      <c r="K73" s="756" t="str">
        <f t="shared" ca="1" si="230"/>
        <v>-</v>
      </c>
      <c r="L73" s="756" t="str">
        <f t="shared" ca="1" si="231"/>
        <v>-</v>
      </c>
      <c r="M73" s="756"/>
      <c r="N73" s="756" t="str">
        <f t="shared" ca="1" si="232"/>
        <v>-</v>
      </c>
      <c r="O73" s="756" t="str">
        <f t="shared" ca="1" si="233"/>
        <v>-</v>
      </c>
      <c r="P73" s="756"/>
      <c r="Q73" s="756" t="str">
        <f t="shared" ca="1" si="234"/>
        <v>-</v>
      </c>
      <c r="R73" s="756" t="str">
        <f t="shared" ca="1" si="235"/>
        <v>-</v>
      </c>
      <c r="S73" s="756"/>
      <c r="T73" s="756" t="str">
        <f t="shared" ca="1" si="236"/>
        <v>-</v>
      </c>
      <c r="U73" s="756" t="str">
        <f t="shared" ca="1" si="237"/>
        <v>-</v>
      </c>
      <c r="V73" s="178"/>
      <c r="W73" s="838"/>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1</v>
      </c>
      <c r="AH73" s="202">
        <v>62</v>
      </c>
      <c r="AI73" s="19" t="str">
        <f t="shared" si="244"/>
        <v>4I</v>
      </c>
      <c r="AJ73" s="241">
        <v>4</v>
      </c>
      <c r="AK73" s="495" t="str" cm="1">
        <f t="array" aca="1" ref="AK73" ca="1">Ver_flag_visit</f>
        <v>🇮🇶</v>
      </c>
      <c r="AL73" s="242" t="str">
        <f ca="1">IFERROR(INDEX($BD$6:$BD$53,MATCH(AI73,$BN$6:$BN$53,0)),"")</f>
        <v>Irak</v>
      </c>
      <c r="AM73" s="243">
        <f t="shared" ca="1" si="243"/>
        <v>0</v>
      </c>
      <c r="AN73" s="244">
        <f t="shared" ca="1" si="243"/>
        <v>3</v>
      </c>
      <c r="AO73" s="244">
        <f t="shared" ca="1" si="243"/>
        <v>0</v>
      </c>
      <c r="AP73" s="244">
        <f t="shared" ca="1" si="243"/>
        <v>0</v>
      </c>
      <c r="AQ73" s="244">
        <f t="shared" ca="1" si="243"/>
        <v>3</v>
      </c>
      <c r="AR73" s="244">
        <f t="shared" ca="1" si="243"/>
        <v>1</v>
      </c>
      <c r="AS73" s="244">
        <f t="shared" ca="1" si="243"/>
        <v>12</v>
      </c>
      <c r="AT73" s="245">
        <f t="shared" ca="1" si="243"/>
        <v>-11</v>
      </c>
      <c r="AU73" s="428">
        <f ca="1">INDEX($DL$6:$DL$53,MATCH(AI73,$DP$6:$DP$53,0))</f>
        <v>1</v>
      </c>
      <c r="AV73" s="223" t="str">
        <f ca="1">INDEX($BD$6:$BD$53,MATCH(AI73,$BM$6:$BM$53,0))</f>
        <v>Irak</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Local</v>
      </c>
      <c r="E76" s="756" t="str">
        <f t="shared" ref="E76:E81" ca="1" si="246">IF(D76="Pendiente","-",INDEX($BT$6:$BT$53,MATCH($AA76,$BD$6:$BD$53,0)))</f>
        <v>-</v>
      </c>
      <c r="F76" s="756" t="str">
        <f t="shared" ref="F76:F81" ca="1" si="247">IF(D76="Pendiente","-",INDEX($BT$6:$BT$53,MATCH($AF76,$BD$6:$BD$53,0)))</f>
        <v>P.2 (2)</v>
      </c>
      <c r="G76" s="756"/>
      <c r="H76" s="756" t="str">
        <f t="shared" ref="H76:H81" ca="1" si="248">IF(D76="Pendiente","-",INDEX($BZ$6:$BZ$53,MATCH($AA76,$BD$6:$BD$53,0)))</f>
        <v>-</v>
      </c>
      <c r="I76" s="756" t="str">
        <f t="shared" ref="I76:I81" ca="1" si="249">IF(D76="Pendiente","-",INDEX($BZ$6:$BZ$53,MATCH($AF76,$BD$6:$BD$53,0)))</f>
        <v>P.2 (2)</v>
      </c>
      <c r="J76" s="756"/>
      <c r="K76" s="756" t="str">
        <f t="shared" ref="K76:K81" ca="1" si="250">IF(D76="Pendiente","-",INDEX($CE$6:$CE$53,MATCH($AA76,$BD$6:$BD$53,0)))</f>
        <v>-</v>
      </c>
      <c r="L76" s="756" t="str">
        <f t="shared" ref="L76:L81" ca="1" si="251">IF(D76="Pendiente","-",INDEX($CE$6:$CE$53,MATCH($AF76,$BD$6:$BD$53,0)))</f>
        <v>P.2 (2)</v>
      </c>
      <c r="M76" s="756"/>
      <c r="N76" s="756" t="str">
        <f t="shared" ref="N76:N81" ca="1" si="252">IF(D76="Pendiente","-",INDEX($CH$6:$CH$53,MATCH($AA76,$BD$6:$BD$53,0)))</f>
        <v>-</v>
      </c>
      <c r="O76" s="756" t="str">
        <f t="shared" ref="O76:O81" ca="1" si="253">IF(D76="Pendiente","-",INDEX($CH$6:$CH$53,MATCH($AF76,$BD$6:$BD$53,0)))</f>
        <v>P.2 (2)</v>
      </c>
      <c r="P76" s="756"/>
      <c r="Q76" s="756" t="str">
        <f t="shared" ref="Q76:Q81" ca="1" si="254">IF(D76="Pendiente","-",INDEX($CN$6:$CN$53,MATCH($AA76,$BD$6:$BD$53,0)))</f>
        <v>-</v>
      </c>
      <c r="R76" s="756" t="str">
        <f t="shared" ref="R76:R81" ca="1" si="255">IF(D76="Pendiente","-",INDEX($CN$6:$CN$53,MATCH($AF76,$BD$6:$BD$53,0)))</f>
        <v>P.2 (2)</v>
      </c>
      <c r="S76" s="756"/>
      <c r="T76" s="756" t="str">
        <f t="shared" ref="T76:T81" ca="1" si="256">IF(D76="Pendiente","-",INDEX($CS$6:$CS$53,MATCH($AA76,$BD$6:$BD$53,0)))</f>
        <v>-</v>
      </c>
      <c r="U76" s="756" t="str">
        <f t="shared" ref="U76:U81" ca="1" si="257">IF(D76="Pendiente","-",INDEX($CS$6:$CS$53,MATCH($AF76,$BD$6:$BD$53,0)))</f>
        <v>P.2 (2)</v>
      </c>
      <c r="V76" s="178"/>
      <c r="W76" s="833"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1</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Local</v>
      </c>
      <c r="E77" s="756" t="str">
        <f t="shared" ca="1" si="246"/>
        <v>P.2 (2)</v>
      </c>
      <c r="F77" s="756" t="str">
        <f t="shared" ca="1" si="247"/>
        <v>-</v>
      </c>
      <c r="G77" s="756"/>
      <c r="H77" s="756" t="str">
        <f t="shared" ca="1" si="248"/>
        <v>P.2 (2)</v>
      </c>
      <c r="I77" s="756" t="str">
        <f t="shared" ca="1" si="249"/>
        <v>-</v>
      </c>
      <c r="J77" s="756"/>
      <c r="K77" s="756" t="str">
        <f t="shared" ca="1" si="250"/>
        <v>P.2 (2)</v>
      </c>
      <c r="L77" s="756" t="str">
        <f t="shared" ca="1" si="251"/>
        <v>-</v>
      </c>
      <c r="M77" s="756"/>
      <c r="N77" s="756" t="str">
        <f t="shared" ca="1" si="252"/>
        <v>P.2 (2)</v>
      </c>
      <c r="O77" s="756" t="str">
        <f t="shared" ca="1" si="253"/>
        <v>-</v>
      </c>
      <c r="P77" s="756"/>
      <c r="Q77" s="756" t="str">
        <f t="shared" ca="1" si="254"/>
        <v>P.2 (2)</v>
      </c>
      <c r="R77" s="756" t="str">
        <f t="shared" ca="1" si="255"/>
        <v>-</v>
      </c>
      <c r="S77" s="756"/>
      <c r="T77" s="756" t="str">
        <f t="shared" ca="1" si="256"/>
        <v>P.2 (2)</v>
      </c>
      <c r="U77" s="756" t="str">
        <f t="shared" ca="1" si="257"/>
        <v>-</v>
      </c>
      <c r="V77" s="178"/>
      <c r="W77" s="833"/>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1</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Local</v>
      </c>
      <c r="E78" s="756" t="str">
        <f t="shared" ca="1" si="246"/>
        <v>-</v>
      </c>
      <c r="F78" s="756" t="str">
        <f t="shared" ca="1" si="247"/>
        <v>P.2 (2)</v>
      </c>
      <c r="G78" s="756"/>
      <c r="H78" s="756" t="str">
        <f t="shared" ca="1" si="248"/>
        <v>-</v>
      </c>
      <c r="I78" s="756" t="str">
        <f t="shared" ca="1" si="249"/>
        <v>P.2 (2)</v>
      </c>
      <c r="J78" s="756"/>
      <c r="K78" s="756" t="str">
        <f t="shared" ca="1" si="250"/>
        <v>-</v>
      </c>
      <c r="L78" s="756" t="str">
        <f t="shared" ca="1" si="251"/>
        <v>P.2 (2)</v>
      </c>
      <c r="M78" s="756"/>
      <c r="N78" s="756" t="str">
        <f t="shared" ca="1" si="252"/>
        <v>-</v>
      </c>
      <c r="O78" s="756" t="str">
        <f t="shared" ca="1" si="253"/>
        <v>P.2 (2)</v>
      </c>
      <c r="P78" s="756"/>
      <c r="Q78" s="756" t="str">
        <f t="shared" ca="1" si="254"/>
        <v>-</v>
      </c>
      <c r="R78" s="756" t="str">
        <f t="shared" ca="1" si="255"/>
        <v>P.2 (2)</v>
      </c>
      <c r="S78" s="756"/>
      <c r="T78" s="756" t="str">
        <f t="shared" ca="1" si="256"/>
        <v>-</v>
      </c>
      <c r="U78" s="756" t="str">
        <f t="shared" ca="1" si="257"/>
        <v>P.2 (2)</v>
      </c>
      <c r="V78" s="178"/>
      <c r="W78" s="833"/>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1</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9</v>
      </c>
      <c r="AN78" s="220">
        <f t="shared" ca="1" si="262"/>
        <v>3</v>
      </c>
      <c r="AO78" s="220">
        <f t="shared" ca="1" si="262"/>
        <v>3</v>
      </c>
      <c r="AP78" s="220">
        <f t="shared" ca="1" si="262"/>
        <v>0</v>
      </c>
      <c r="AQ78" s="220">
        <f t="shared" ca="1" si="262"/>
        <v>0</v>
      </c>
      <c r="AR78" s="220">
        <f t="shared" ca="1" si="262"/>
        <v>8</v>
      </c>
      <c r="AS78" s="220">
        <f t="shared" ca="1" si="262"/>
        <v>1</v>
      </c>
      <c r="AT78" s="221">
        <f t="shared" ca="1" si="262"/>
        <v>7</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Visitante</v>
      </c>
      <c r="E79" s="756" t="str">
        <f t="shared" ca="1" si="246"/>
        <v>-</v>
      </c>
      <c r="F79" s="756" t="str">
        <f t="shared" ca="1" si="247"/>
        <v>P.2 (2)</v>
      </c>
      <c r="G79" s="756"/>
      <c r="H79" s="756" t="str">
        <f t="shared" ca="1" si="248"/>
        <v>-</v>
      </c>
      <c r="I79" s="756" t="str">
        <f t="shared" ca="1" si="249"/>
        <v>P.2 (2)</v>
      </c>
      <c r="J79" s="756"/>
      <c r="K79" s="756" t="str">
        <f t="shared" ca="1" si="250"/>
        <v>-</v>
      </c>
      <c r="L79" s="756" t="str">
        <f t="shared" ca="1" si="251"/>
        <v>P.2 (2)</v>
      </c>
      <c r="M79" s="756"/>
      <c r="N79" s="756" t="str">
        <f t="shared" ca="1" si="252"/>
        <v>-</v>
      </c>
      <c r="O79" s="756" t="str">
        <f t="shared" ca="1" si="253"/>
        <v>P.2 (2)</v>
      </c>
      <c r="P79" s="756"/>
      <c r="Q79" s="756" t="str">
        <f t="shared" ca="1" si="254"/>
        <v>-</v>
      </c>
      <c r="R79" s="756" t="str">
        <f t="shared" ca="1" si="255"/>
        <v>P.2 (2)</v>
      </c>
      <c r="S79" s="756"/>
      <c r="T79" s="756" t="str">
        <f t="shared" ca="1" si="256"/>
        <v>-</v>
      </c>
      <c r="U79" s="756" t="str">
        <f t="shared" ca="1" si="257"/>
        <v>P.2 (2)</v>
      </c>
      <c r="V79" s="178"/>
      <c r="W79" s="833"/>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1</v>
      </c>
      <c r="AH79" s="202">
        <v>44</v>
      </c>
      <c r="AI79" s="19" t="str">
        <f t="shared" ref="AI79:AI81" si="263">AJ79&amp;$B$76</f>
        <v>2J</v>
      </c>
      <c r="AJ79" s="227">
        <v>2</v>
      </c>
      <c r="AK79" s="494" t="str" cm="1">
        <f t="array" aca="1" ref="AK79" ca="1">Ver_flag_visit</f>
        <v>🇦🇹</v>
      </c>
      <c r="AL79" s="228" t="str">
        <f ca="1">IFERROR(INDEX($BD$6:$BD$53,MATCH(AI79,$BN$6:$BN$53,0)),"")</f>
        <v>Austria</v>
      </c>
      <c r="AM79" s="229">
        <f t="shared" ca="1" si="262"/>
        <v>4</v>
      </c>
      <c r="AN79" s="230">
        <f t="shared" ca="1" si="262"/>
        <v>3</v>
      </c>
      <c r="AO79" s="230">
        <f t="shared" ca="1" si="262"/>
        <v>1</v>
      </c>
      <c r="AP79" s="230">
        <f t="shared" ca="1" si="262"/>
        <v>1</v>
      </c>
      <c r="AQ79" s="230">
        <f t="shared" ca="1" si="262"/>
        <v>1</v>
      </c>
      <c r="AR79" s="230">
        <f t="shared" ca="1" si="262"/>
        <v>6</v>
      </c>
      <c r="AS79" s="230">
        <f t="shared" ca="1" si="262"/>
        <v>6</v>
      </c>
      <c r="AT79" s="231">
        <f t="shared" ca="1" si="262"/>
        <v>0</v>
      </c>
      <c r="AU79" s="428">
        <f ca="1">INDEX($DL$6:$DL$53,MATCH(AI79,$DP$6:$DP$53,0))</f>
        <v>1</v>
      </c>
      <c r="AV79" s="223" t="str">
        <f ca="1">INDEX($BD$6:$BD$53,MATCH(AI79,$BM$6:$BM$53,0))</f>
        <v>Austria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Empate</v>
      </c>
      <c r="E80" s="756" t="str">
        <f t="shared" ca="1" si="246"/>
        <v>P.2 (2)</v>
      </c>
      <c r="F80" s="756" t="str">
        <f t="shared" ca="1" si="247"/>
        <v>P.2 (2)</v>
      </c>
      <c r="G80" s="756"/>
      <c r="H80" s="756" t="str">
        <f t="shared" ca="1" si="248"/>
        <v>P.2 (2)</v>
      </c>
      <c r="I80" s="756" t="str">
        <f t="shared" ca="1" si="249"/>
        <v>P.2 (2)</v>
      </c>
      <c r="J80" s="756"/>
      <c r="K80" s="756" t="str">
        <f t="shared" ca="1" si="250"/>
        <v>P.2 (2)</v>
      </c>
      <c r="L80" s="756" t="str">
        <f t="shared" ca="1" si="251"/>
        <v>P.2 (2)</v>
      </c>
      <c r="M80" s="756"/>
      <c r="N80" s="756" t="str">
        <f t="shared" ca="1" si="252"/>
        <v>P.2 (2)</v>
      </c>
      <c r="O80" s="756" t="str">
        <f t="shared" ca="1" si="253"/>
        <v>P.2 (2)</v>
      </c>
      <c r="P80" s="756"/>
      <c r="Q80" s="756" t="str">
        <f t="shared" ca="1" si="254"/>
        <v>P.2 (2)</v>
      </c>
      <c r="R80" s="756" t="str">
        <f t="shared" ca="1" si="255"/>
        <v>P.2 (2)</v>
      </c>
      <c r="S80" s="756"/>
      <c r="T80" s="756" t="str">
        <f t="shared" ca="1" si="256"/>
        <v>P.2 (2)</v>
      </c>
      <c r="U80" s="756" t="str">
        <f t="shared" ca="1" si="257"/>
        <v>P.2 (2)</v>
      </c>
      <c r="V80" s="178"/>
      <c r="W80" s="833"/>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1</v>
      </c>
      <c r="AH80" s="202">
        <v>69</v>
      </c>
      <c r="AI80" s="19" t="str">
        <f t="shared" si="263"/>
        <v>3J</v>
      </c>
      <c r="AJ80" s="227">
        <v>3</v>
      </c>
      <c r="AK80" s="494" t="str" cm="1">
        <f t="array" aca="1" ref="AK80" ca="1">Ver_flag_visit</f>
        <v>🇩🇿</v>
      </c>
      <c r="AL80" s="228" t="str">
        <f ca="1">IFERROR(INDEX($BD$6:$BD$53,MATCH(AI80,$BN$6:$BN$53,0)),"")</f>
        <v>Argelia</v>
      </c>
      <c r="AM80" s="229">
        <f t="shared" ca="1" si="262"/>
        <v>4</v>
      </c>
      <c r="AN80" s="230">
        <f t="shared" ca="1" si="262"/>
        <v>3</v>
      </c>
      <c r="AO80" s="230">
        <f t="shared" ca="1" si="262"/>
        <v>1</v>
      </c>
      <c r="AP80" s="230">
        <f t="shared" ca="1" si="262"/>
        <v>1</v>
      </c>
      <c r="AQ80" s="230">
        <f t="shared" ca="1" si="262"/>
        <v>1</v>
      </c>
      <c r="AR80" s="230">
        <f t="shared" ca="1" si="262"/>
        <v>5</v>
      </c>
      <c r="AS80" s="230">
        <f t="shared" ca="1" si="262"/>
        <v>7</v>
      </c>
      <c r="AT80" s="231">
        <f t="shared" ca="1" si="262"/>
        <v>-2</v>
      </c>
      <c r="AU80" s="428">
        <f ca="1">INDEX($DL$6:$DL$53,MATCH(AI80,$DP$6:$DP$53,0))</f>
        <v>1</v>
      </c>
      <c r="AV80" s="223" t="str">
        <f ca="1">INDEX($BD$6:$BD$53,MATCH(AI80,$BM$6:$BM$53,0))</f>
        <v>Argelia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Visitante</v>
      </c>
      <c r="E81" s="756" t="str">
        <f t="shared" ca="1" si="246"/>
        <v>-</v>
      </c>
      <c r="F81" s="756" t="str">
        <f t="shared" ca="1" si="247"/>
        <v>-</v>
      </c>
      <c r="G81" s="756"/>
      <c r="H81" s="756" t="str">
        <f t="shared" ca="1" si="248"/>
        <v>-</v>
      </c>
      <c r="I81" s="756" t="str">
        <f t="shared" ca="1" si="249"/>
        <v>-</v>
      </c>
      <c r="J81" s="756"/>
      <c r="K81" s="756" t="str">
        <f t="shared" ca="1" si="250"/>
        <v>-</v>
      </c>
      <c r="L81" s="756" t="str">
        <f t="shared" ca="1" si="251"/>
        <v>-</v>
      </c>
      <c r="M81" s="756"/>
      <c r="N81" s="756" t="str">
        <f t="shared" ca="1" si="252"/>
        <v>-</v>
      </c>
      <c r="O81" s="756" t="str">
        <f t="shared" ca="1" si="253"/>
        <v>-</v>
      </c>
      <c r="P81" s="756"/>
      <c r="Q81" s="756" t="str">
        <f t="shared" ca="1" si="254"/>
        <v>-</v>
      </c>
      <c r="R81" s="756" t="str">
        <f t="shared" ca="1" si="255"/>
        <v>-</v>
      </c>
      <c r="S81" s="756"/>
      <c r="T81" s="756" t="str">
        <f t="shared" ca="1" si="256"/>
        <v>-</v>
      </c>
      <c r="U81" s="756" t="str">
        <f t="shared" ca="1" si="257"/>
        <v>-</v>
      </c>
      <c r="V81" s="178"/>
      <c r="W81" s="834"/>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1</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3</v>
      </c>
      <c r="AO81" s="244">
        <f t="shared" ca="1" si="262"/>
        <v>0</v>
      </c>
      <c r="AP81" s="244">
        <f t="shared" ca="1" si="262"/>
        <v>0</v>
      </c>
      <c r="AQ81" s="244">
        <f t="shared" ca="1" si="262"/>
        <v>3</v>
      </c>
      <c r="AR81" s="244">
        <f t="shared" ca="1" si="262"/>
        <v>3</v>
      </c>
      <c r="AS81" s="244">
        <f t="shared" ca="1" si="262"/>
        <v>8</v>
      </c>
      <c r="AT81" s="245">
        <f t="shared" ca="1" si="262"/>
        <v>-5</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Empate</v>
      </c>
      <c r="E84" s="756" t="str">
        <f t="shared" ref="E84:E89" ca="1" si="265">IF(D84="Pendiente","-",INDEX($BT$6:$BT$53,MATCH($AA84,$BD$6:$BD$53,0)))</f>
        <v>-</v>
      </c>
      <c r="F84" s="756" t="str">
        <f t="shared" ref="F84:F89" ca="1" si="266">IF(D84="Pendiente","-",INDEX($BT$6:$BT$53,MATCH($AF84,$BD$6:$BD$53,0)))</f>
        <v>-</v>
      </c>
      <c r="G84" s="756"/>
      <c r="H84" s="756" t="str">
        <f t="shared" ref="H84:H89" ca="1" si="267">IF(D84="Pendiente","-",INDEX($BZ$6:$BZ$53,MATCH($AA84,$BD$6:$BD$53,0)))</f>
        <v>-</v>
      </c>
      <c r="I84" s="756" t="str">
        <f t="shared" ref="I84:I89" ca="1" si="268">IF(D84="Pendiente","-",INDEX($BZ$6:$BZ$53,MATCH($AF84,$BD$6:$BD$53,0)))</f>
        <v>-</v>
      </c>
      <c r="J84" s="756"/>
      <c r="K84" s="756" t="str">
        <f t="shared" ref="K84:K89" ca="1" si="269">IF(D84="Pendiente","-",INDEX($CE$6:$CE$53,MATCH($AA84,$BD$6:$BD$53,0)))</f>
        <v>-</v>
      </c>
      <c r="L84" s="756" t="str">
        <f t="shared" ref="L84:L89" ca="1" si="270">IF(D84="Pendiente","-",INDEX($CE$6:$CE$53,MATCH($AF84,$BD$6:$BD$53,0)))</f>
        <v>-</v>
      </c>
      <c r="M84" s="756"/>
      <c r="N84" s="756" t="str">
        <f t="shared" ref="N84:N89" ca="1" si="271">IF(D84="Pendiente","-",INDEX($CH$6:$CH$53,MATCH($AA84,$BD$6:$BD$53,0)))</f>
        <v>-</v>
      </c>
      <c r="O84" s="756" t="str">
        <f t="shared" ref="O84:O89" ca="1" si="272">IF(D84="Pendiente","-",INDEX($CH$6:$CH$53,MATCH($AF84,$BD$6:$BD$53,0)))</f>
        <v>-</v>
      </c>
      <c r="P84" s="756"/>
      <c r="Q84" s="756" t="str">
        <f t="shared" ref="Q84:Q89" ca="1" si="273">IF(D84="Pendiente","-",INDEX($CN$6:$CN$53,MATCH($AA84,$BD$6:$BD$53,0)))</f>
        <v>-</v>
      </c>
      <c r="R84" s="756" t="str">
        <f t="shared" ref="R84:R89" ca="1" si="274">IF(D84="Pendiente","-",INDEX($CN$6:$CN$53,MATCH($AF84,$BD$6:$BD$53,0)))</f>
        <v>-</v>
      </c>
      <c r="S84" s="756"/>
      <c r="T84" s="756" t="str">
        <f t="shared" ref="T84:T89" ca="1" si="275">IF(D84="Pendiente","-",INDEX($CS$6:$CS$53,MATCH($AA84,$BD$6:$BD$53,0)))</f>
        <v>-</v>
      </c>
      <c r="U84" s="756" t="str">
        <f t="shared" ref="U84:U89" ca="1" si="276">IF(D84="Pendiente","-",INDEX($CS$6:$CS$53,MATCH($AF84,$BD$6:$BD$53,0)))</f>
        <v>-</v>
      </c>
      <c r="V84" s="178"/>
      <c r="W84" s="839"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1</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Visitante</v>
      </c>
      <c r="E85" s="756" t="str">
        <f t="shared" ca="1" si="265"/>
        <v>-</v>
      </c>
      <c r="F85" s="756" t="str">
        <f t="shared" ca="1" si="266"/>
        <v>-</v>
      </c>
      <c r="G85" s="756"/>
      <c r="H85" s="756" t="str">
        <f t="shared" ca="1" si="267"/>
        <v>-</v>
      </c>
      <c r="I85" s="756" t="str">
        <f t="shared" ca="1" si="268"/>
        <v>-</v>
      </c>
      <c r="J85" s="756"/>
      <c r="K85" s="756" t="str">
        <f t="shared" ca="1" si="269"/>
        <v>-</v>
      </c>
      <c r="L85" s="756" t="str">
        <f t="shared" ca="1" si="270"/>
        <v>-</v>
      </c>
      <c r="M85" s="756"/>
      <c r="N85" s="756" t="str">
        <f t="shared" ca="1" si="271"/>
        <v>-</v>
      </c>
      <c r="O85" s="756" t="str">
        <f t="shared" ca="1" si="272"/>
        <v>-</v>
      </c>
      <c r="P85" s="756"/>
      <c r="Q85" s="756" t="str">
        <f t="shared" ca="1" si="273"/>
        <v>-</v>
      </c>
      <c r="R85" s="756" t="str">
        <f t="shared" ca="1" si="274"/>
        <v>-</v>
      </c>
      <c r="S85" s="756"/>
      <c r="T85" s="756" t="str">
        <f t="shared" ca="1" si="275"/>
        <v>-</v>
      </c>
      <c r="U85" s="756" t="str">
        <f t="shared" ca="1" si="276"/>
        <v>-</v>
      </c>
      <c r="V85" s="178"/>
      <c r="W85" s="839"/>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1</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Local</v>
      </c>
      <c r="E86" s="756" t="str">
        <f t="shared" ca="1" si="265"/>
        <v>-</v>
      </c>
      <c r="F86" s="756" t="str">
        <f t="shared" ca="1" si="266"/>
        <v>-</v>
      </c>
      <c r="G86" s="756"/>
      <c r="H86" s="756" t="str">
        <f t="shared" ca="1" si="267"/>
        <v>-</v>
      </c>
      <c r="I86" s="756" t="str">
        <f t="shared" ca="1" si="268"/>
        <v>-</v>
      </c>
      <c r="J86" s="756"/>
      <c r="K86" s="756" t="str">
        <f t="shared" ca="1" si="269"/>
        <v>-</v>
      </c>
      <c r="L86" s="756" t="str">
        <f t="shared" ca="1" si="270"/>
        <v>-</v>
      </c>
      <c r="M86" s="756"/>
      <c r="N86" s="756" t="str">
        <f t="shared" ca="1" si="271"/>
        <v>-</v>
      </c>
      <c r="O86" s="756" t="str">
        <f t="shared" ca="1" si="272"/>
        <v>-</v>
      </c>
      <c r="P86" s="756"/>
      <c r="Q86" s="756" t="str">
        <f t="shared" ca="1" si="273"/>
        <v>-</v>
      </c>
      <c r="R86" s="756" t="str">
        <f t="shared" ca="1" si="274"/>
        <v>-</v>
      </c>
      <c r="S86" s="756"/>
      <c r="T86" s="756" t="str">
        <f t="shared" ca="1" si="275"/>
        <v>-</v>
      </c>
      <c r="U86" s="756" t="str">
        <f t="shared" ca="1" si="276"/>
        <v>-</v>
      </c>
      <c r="V86" s="178"/>
      <c r="W86" s="839"/>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1</v>
      </c>
      <c r="AH86" s="202">
        <v>47</v>
      </c>
      <c r="AI86" s="19" t="str">
        <f>AJ86&amp;$B$84</f>
        <v>1K</v>
      </c>
      <c r="AJ86" s="217">
        <v>1</v>
      </c>
      <c r="AK86" s="496" t="str" cm="1">
        <f t="array" aca="1" ref="AK86" ca="1">Ver_flag_visit</f>
        <v>🇨🇴</v>
      </c>
      <c r="AL86" s="218" t="str">
        <f ca="1">IFERROR(INDEX($BD$6:$BD$53,MATCH(AI86,$BN$6:$BN$53,0)),"")</f>
        <v>Colombia</v>
      </c>
      <c r="AM86" s="219">
        <f t="shared" ref="AM86:AT89" ca="1" si="281">INDEX($BE$6:$BN$53,MATCH($AL86,$BD$6:$BD$53,0),MATCH(AM$5,$BE$5:$BN$5,0))</f>
        <v>7</v>
      </c>
      <c r="AN86" s="220">
        <f t="shared" ca="1" si="281"/>
        <v>3</v>
      </c>
      <c r="AO86" s="220">
        <f t="shared" ca="1" si="281"/>
        <v>2</v>
      </c>
      <c r="AP86" s="220">
        <f t="shared" ca="1" si="281"/>
        <v>1</v>
      </c>
      <c r="AQ86" s="220">
        <f t="shared" ca="1" si="281"/>
        <v>0</v>
      </c>
      <c r="AR86" s="220">
        <f t="shared" ca="1" si="281"/>
        <v>4</v>
      </c>
      <c r="AS86" s="220">
        <f t="shared" ca="1" si="281"/>
        <v>1</v>
      </c>
      <c r="AT86" s="221">
        <f t="shared" ca="1" si="281"/>
        <v>3</v>
      </c>
      <c r="AU86" s="428">
        <f ca="1">INDEX($DL$6:$DL$53,MATCH(AI86,$DP$6:$DP$53,0))</f>
        <v>1</v>
      </c>
      <c r="AV86" s="223" t="str">
        <f ca="1">INDEX($BD$6:$BD$53,MATCH(AI86,$BM$6:$BM$53,0))</f>
        <v>Colombia</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Local</v>
      </c>
      <c r="E87" s="756" t="str">
        <f t="shared" ca="1" si="265"/>
        <v>-</v>
      </c>
      <c r="F87" s="756" t="str">
        <f t="shared" ca="1" si="266"/>
        <v>-</v>
      </c>
      <c r="G87" s="756"/>
      <c r="H87" s="756" t="str">
        <f t="shared" ca="1" si="267"/>
        <v>-</v>
      </c>
      <c r="I87" s="756" t="str">
        <f t="shared" ca="1" si="268"/>
        <v>-</v>
      </c>
      <c r="J87" s="756"/>
      <c r="K87" s="756" t="str">
        <f t="shared" ca="1" si="269"/>
        <v>-</v>
      </c>
      <c r="L87" s="756" t="str">
        <f t="shared" ca="1" si="270"/>
        <v>-</v>
      </c>
      <c r="M87" s="756"/>
      <c r="N87" s="756" t="str">
        <f t="shared" ca="1" si="271"/>
        <v>-</v>
      </c>
      <c r="O87" s="756" t="str">
        <f t="shared" ca="1" si="272"/>
        <v>-</v>
      </c>
      <c r="P87" s="756"/>
      <c r="Q87" s="756" t="str">
        <f t="shared" ca="1" si="273"/>
        <v>-</v>
      </c>
      <c r="R87" s="756" t="str">
        <f t="shared" ca="1" si="274"/>
        <v>-</v>
      </c>
      <c r="S87" s="756"/>
      <c r="T87" s="756" t="str">
        <f t="shared" ca="1" si="275"/>
        <v>-</v>
      </c>
      <c r="U87" s="756" t="str">
        <f t="shared" ca="1" si="276"/>
        <v>-</v>
      </c>
      <c r="V87" s="178"/>
      <c r="W87" s="839"/>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1</v>
      </c>
      <c r="AH87" s="202">
        <v>48</v>
      </c>
      <c r="AI87" s="19" t="str">
        <f t="shared" ref="AI87:AI89" si="282">AJ87&amp;$B$84</f>
        <v>2K</v>
      </c>
      <c r="AJ87" s="227">
        <v>2</v>
      </c>
      <c r="AK87" s="494" t="str" cm="1">
        <f t="array" aca="1" ref="AK87" ca="1">Ver_flag_visit</f>
        <v>🇵🇹</v>
      </c>
      <c r="AL87" s="228" t="str">
        <f ca="1">IFERROR(INDEX($BD$6:$BD$53,MATCH(AI87,$BN$6:$BN$53,0)),"")</f>
        <v>Portugal</v>
      </c>
      <c r="AM87" s="229">
        <f t="shared" ca="1" si="281"/>
        <v>5</v>
      </c>
      <c r="AN87" s="230">
        <f t="shared" ca="1" si="281"/>
        <v>3</v>
      </c>
      <c r="AO87" s="230">
        <f t="shared" ca="1" si="281"/>
        <v>1</v>
      </c>
      <c r="AP87" s="230">
        <f t="shared" ca="1" si="281"/>
        <v>2</v>
      </c>
      <c r="AQ87" s="230">
        <f t="shared" ca="1" si="281"/>
        <v>0</v>
      </c>
      <c r="AR87" s="230">
        <f t="shared" ca="1" si="281"/>
        <v>6</v>
      </c>
      <c r="AS87" s="230">
        <f t="shared" ca="1" si="281"/>
        <v>1</v>
      </c>
      <c r="AT87" s="231">
        <f t="shared" ca="1" si="281"/>
        <v>5</v>
      </c>
      <c r="AU87" s="428">
        <f ca="1">INDEX($DL$6:$DL$53,MATCH(AI87,$DP$6:$DP$53,0))</f>
        <v>1</v>
      </c>
      <c r="AV87" s="223" t="str">
        <f ca="1">INDEX($BD$6:$BD$53,MATCH(AI87,$BM$6:$BM$53,0))</f>
        <v>Portugal</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Empate</v>
      </c>
      <c r="E88" s="756" t="str">
        <f t="shared" ca="1" si="265"/>
        <v>-</v>
      </c>
      <c r="F88" s="756" t="str">
        <f t="shared" ca="1" si="266"/>
        <v>-</v>
      </c>
      <c r="G88" s="756"/>
      <c r="H88" s="756" t="str">
        <f t="shared" ca="1" si="267"/>
        <v>-</v>
      </c>
      <c r="I88" s="756" t="str">
        <f t="shared" ca="1" si="268"/>
        <v>-</v>
      </c>
      <c r="J88" s="756"/>
      <c r="K88" s="756" t="str">
        <f t="shared" ca="1" si="269"/>
        <v>-</v>
      </c>
      <c r="L88" s="756" t="str">
        <f t="shared" ca="1" si="270"/>
        <v>-</v>
      </c>
      <c r="M88" s="756"/>
      <c r="N88" s="756" t="str">
        <f t="shared" ca="1" si="271"/>
        <v>-</v>
      </c>
      <c r="O88" s="756" t="str">
        <f t="shared" ca="1" si="272"/>
        <v>-</v>
      </c>
      <c r="P88" s="756"/>
      <c r="Q88" s="756" t="str">
        <f t="shared" ca="1" si="273"/>
        <v>-</v>
      </c>
      <c r="R88" s="756" t="str">
        <f t="shared" ca="1" si="274"/>
        <v>-</v>
      </c>
      <c r="S88" s="756"/>
      <c r="T88" s="756" t="str">
        <f t="shared" ca="1" si="275"/>
        <v>-</v>
      </c>
      <c r="U88" s="756" t="str">
        <f t="shared" ca="1" si="276"/>
        <v>-</v>
      </c>
      <c r="V88" s="178"/>
      <c r="W88" s="839"/>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1</v>
      </c>
      <c r="AH88" s="202">
        <v>71</v>
      </c>
      <c r="AI88" s="19" t="str">
        <f t="shared" si="282"/>
        <v>3K</v>
      </c>
      <c r="AJ88" s="227">
        <v>3</v>
      </c>
      <c r="AK88" s="494" t="str" cm="1">
        <f t="array" aca="1" ref="AK88" ca="1">Ver_flag_visit</f>
        <v>🇨🇩</v>
      </c>
      <c r="AL88" s="228" t="str">
        <f ca="1">IFERROR(INDEX($BD$6:$BD$53,MATCH(AI88,$BN$6:$BN$53,0)),"")</f>
        <v>RD Congo</v>
      </c>
      <c r="AM88" s="229">
        <f t="shared" ca="1" si="281"/>
        <v>4</v>
      </c>
      <c r="AN88" s="230">
        <f t="shared" ca="1" si="281"/>
        <v>3</v>
      </c>
      <c r="AO88" s="230">
        <f t="shared" ca="1" si="281"/>
        <v>1</v>
      </c>
      <c r="AP88" s="230">
        <f t="shared" ca="1" si="281"/>
        <v>1</v>
      </c>
      <c r="AQ88" s="230">
        <f t="shared" ca="1" si="281"/>
        <v>1</v>
      </c>
      <c r="AR88" s="230">
        <f t="shared" ca="1" si="281"/>
        <v>4</v>
      </c>
      <c r="AS88" s="230">
        <f t="shared" ca="1" si="281"/>
        <v>3</v>
      </c>
      <c r="AT88" s="231">
        <f t="shared" ca="1" si="281"/>
        <v>1</v>
      </c>
      <c r="AU88" s="428">
        <f ca="1">INDEX($DL$6:$DL$53,MATCH(AI88,$DP$6:$DP$53,0))</f>
        <v>1</v>
      </c>
      <c r="AV88" s="223" t="str">
        <f ca="1">INDEX($BD$6:$BD$53,MATCH(AI88,$BM$6:$BM$53,0))</f>
        <v>RD Congo</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Local</v>
      </c>
      <c r="E89" s="756" t="str">
        <f t="shared" ca="1" si="265"/>
        <v>-</v>
      </c>
      <c r="F89" s="756" t="str">
        <f t="shared" ca="1" si="266"/>
        <v>-</v>
      </c>
      <c r="G89" s="756"/>
      <c r="H89" s="756" t="str">
        <f t="shared" ca="1" si="267"/>
        <v>-</v>
      </c>
      <c r="I89" s="756" t="str">
        <f t="shared" ca="1" si="268"/>
        <v>-</v>
      </c>
      <c r="J89" s="756"/>
      <c r="K89" s="756" t="str">
        <f t="shared" ca="1" si="269"/>
        <v>-</v>
      </c>
      <c r="L89" s="756" t="str">
        <f t="shared" ca="1" si="270"/>
        <v>-</v>
      </c>
      <c r="M89" s="756"/>
      <c r="N89" s="756" t="str">
        <f t="shared" ca="1" si="271"/>
        <v>-</v>
      </c>
      <c r="O89" s="756" t="str">
        <f t="shared" ca="1" si="272"/>
        <v>-</v>
      </c>
      <c r="P89" s="756"/>
      <c r="Q89" s="756" t="str">
        <f t="shared" ca="1" si="273"/>
        <v>-</v>
      </c>
      <c r="R89" s="756" t="str">
        <f t="shared" ca="1" si="274"/>
        <v>-</v>
      </c>
      <c r="S89" s="756"/>
      <c r="T89" s="756" t="str">
        <f t="shared" ca="1" si="275"/>
        <v>-</v>
      </c>
      <c r="U89" s="756" t="str">
        <f t="shared" ca="1" si="276"/>
        <v>-</v>
      </c>
      <c r="V89" s="178"/>
      <c r="W89" s="840"/>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1</v>
      </c>
      <c r="AH89" s="202">
        <v>72</v>
      </c>
      <c r="AI89" s="19" t="str">
        <f t="shared" si="282"/>
        <v>4K</v>
      </c>
      <c r="AJ89" s="241">
        <v>4</v>
      </c>
      <c r="AK89" s="495" t="str" cm="1">
        <f t="array" aca="1" ref="AK89" ca="1">Ver_flag_visit</f>
        <v>🇺🇿</v>
      </c>
      <c r="AL89" s="242" t="str">
        <f ca="1">IFERROR(INDEX($BD$6:$BD$53,MATCH(AI89,$BN$6:$BN$53,0)),"")</f>
        <v>Uzbekistán</v>
      </c>
      <c r="AM89" s="243">
        <f t="shared" ca="1" si="281"/>
        <v>0</v>
      </c>
      <c r="AN89" s="244">
        <f t="shared" ca="1" si="281"/>
        <v>3</v>
      </c>
      <c r="AO89" s="244">
        <f t="shared" ca="1" si="281"/>
        <v>0</v>
      </c>
      <c r="AP89" s="244">
        <f t="shared" ca="1" si="281"/>
        <v>0</v>
      </c>
      <c r="AQ89" s="244">
        <f t="shared" ca="1" si="281"/>
        <v>3</v>
      </c>
      <c r="AR89" s="244">
        <f t="shared" ca="1" si="281"/>
        <v>2</v>
      </c>
      <c r="AS89" s="244">
        <f t="shared" ca="1" si="281"/>
        <v>11</v>
      </c>
      <c r="AT89" s="245">
        <f t="shared" ca="1" si="281"/>
        <v>-9</v>
      </c>
      <c r="AU89" s="428">
        <f ca="1">INDEX($DL$6:$DL$53,MATCH(AI89,$DP$6:$DP$53,0))</f>
        <v>1</v>
      </c>
      <c r="AV89" s="223" t="str">
        <f ca="1">INDEX($BD$6:$BD$53,MATCH(AI89,$BM$6:$BM$53,0))</f>
        <v>Uzbekistán</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Local</v>
      </c>
      <c r="E92" s="756" t="str">
        <f t="shared" ref="E92:E97" ca="1" si="284">IF(D92="Pendiente","-",INDEX($BT$6:$BT$53,MATCH($AA92,$BD$6:$BD$53,0)))</f>
        <v>-</v>
      </c>
      <c r="F92" s="756" t="str">
        <f t="shared" ref="F92:F97" ca="1" si="285">IF(D92="Pendiente","-",INDEX($BT$6:$BT$53,MATCH($AF92,$BD$6:$BD$53,0)))</f>
        <v>-</v>
      </c>
      <c r="G92" s="756"/>
      <c r="H92" s="756" t="str">
        <f t="shared" ref="H92:H97" ca="1" si="286">IF(D92="Pendiente","-",INDEX($BZ$6:$BZ$53,MATCH($AA92,$BD$6:$BD$53,0)))</f>
        <v>-</v>
      </c>
      <c r="I92" s="756" t="str">
        <f t="shared" ref="I92:I97" ca="1" si="287">IF(D92="Pendiente","-",INDEX($BZ$6:$BZ$53,MATCH($AF92,$BD$6:$BD$53,0)))</f>
        <v>-</v>
      </c>
      <c r="J92" s="756"/>
      <c r="K92" s="756" t="str">
        <f t="shared" ref="K92:K97" ca="1" si="288">IF(D92="Pendiente","-",INDEX($CE$6:$CE$53,MATCH($AA92,$BD$6:$BD$53,0)))</f>
        <v>-</v>
      </c>
      <c r="L92" s="756" t="str">
        <f t="shared" ref="L92:L97" ca="1" si="289">IF(D92="Pendiente","-",INDEX($CE$6:$CE$53,MATCH($AF92,$BD$6:$BD$53,0)))</f>
        <v>-</v>
      </c>
      <c r="M92" s="756"/>
      <c r="N92" s="756" t="str">
        <f t="shared" ref="N92:N97" ca="1" si="290">IF(D92="Pendiente","-",INDEX($CH$6:$CH$53,MATCH($AA92,$BD$6:$BD$53,0)))</f>
        <v>-</v>
      </c>
      <c r="O92" s="756" t="str">
        <f t="shared" ref="O92:O97" ca="1" si="291">IF(D92="Pendiente","-",INDEX($CH$6:$CH$53,MATCH($AF92,$BD$6:$BD$53,0)))</f>
        <v>-</v>
      </c>
      <c r="P92" s="756"/>
      <c r="Q92" s="756" t="str">
        <f t="shared" ref="Q92:Q97" ca="1" si="292">IF(D92="Pendiente","-",INDEX($CN$6:$CN$53,MATCH($AA92,$BD$6:$BD$53,0)))</f>
        <v>-</v>
      </c>
      <c r="R92" s="756" t="str">
        <f t="shared" ref="R92:R97" ca="1" si="293">IF(D92="Pendiente","-",INDEX($CN$6:$CN$53,MATCH($AF92,$BD$6:$BD$53,0)))</f>
        <v>-</v>
      </c>
      <c r="S92" s="756"/>
      <c r="T92" s="756" t="str">
        <f t="shared" ref="T92:T97" ca="1" si="294">IF(D92="Pendiente","-",INDEX($CS$6:$CS$53,MATCH($AA92,$BD$6:$BD$53,0)))</f>
        <v>-</v>
      </c>
      <c r="U92" s="756" t="str">
        <f t="shared" ref="U92:U97" ca="1" si="295">IF(D92="Pendiente","-",INDEX($CS$6:$CS$53,MATCH($AF92,$BD$6:$BD$53,0)))</f>
        <v>-</v>
      </c>
      <c r="V92" s="178"/>
      <c r="W92" s="835"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1</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Local</v>
      </c>
      <c r="E93" s="756" t="str">
        <f t="shared" ca="1" si="284"/>
        <v>-</v>
      </c>
      <c r="F93" s="756" t="str">
        <f t="shared" ca="1" si="285"/>
        <v>-</v>
      </c>
      <c r="G93" s="756"/>
      <c r="H93" s="756" t="str">
        <f t="shared" ca="1" si="286"/>
        <v>-</v>
      </c>
      <c r="I93" s="756" t="str">
        <f t="shared" ca="1" si="287"/>
        <v>-</v>
      </c>
      <c r="J93" s="756"/>
      <c r="K93" s="756" t="str">
        <f t="shared" ca="1" si="288"/>
        <v>-</v>
      </c>
      <c r="L93" s="756" t="str">
        <f t="shared" ca="1" si="289"/>
        <v>-</v>
      </c>
      <c r="M93" s="756"/>
      <c r="N93" s="756" t="str">
        <f t="shared" ca="1" si="290"/>
        <v>-</v>
      </c>
      <c r="O93" s="756" t="str">
        <f t="shared" ca="1" si="291"/>
        <v>-</v>
      </c>
      <c r="P93" s="756"/>
      <c r="Q93" s="756" t="str">
        <f t="shared" ca="1" si="292"/>
        <v>-</v>
      </c>
      <c r="R93" s="756" t="str">
        <f t="shared" ca="1" si="293"/>
        <v>-</v>
      </c>
      <c r="S93" s="756"/>
      <c r="T93" s="756" t="str">
        <f t="shared" ca="1" si="294"/>
        <v>-</v>
      </c>
      <c r="U93" s="756" t="str">
        <f t="shared" ca="1" si="295"/>
        <v>-</v>
      </c>
      <c r="V93" s="178"/>
      <c r="W93" s="835"/>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1</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Empate</v>
      </c>
      <c r="E94" s="756" t="str">
        <f t="shared" ca="1" si="284"/>
        <v>-</v>
      </c>
      <c r="F94" s="756" t="str">
        <f t="shared" ca="1" si="285"/>
        <v>-</v>
      </c>
      <c r="G94" s="756"/>
      <c r="H94" s="756" t="str">
        <f t="shared" ca="1" si="286"/>
        <v>-</v>
      </c>
      <c r="I94" s="756" t="str">
        <f t="shared" ca="1" si="287"/>
        <v>-</v>
      </c>
      <c r="J94" s="756"/>
      <c r="K94" s="756" t="str">
        <f t="shared" ca="1" si="288"/>
        <v>-</v>
      </c>
      <c r="L94" s="756" t="str">
        <f t="shared" ca="1" si="289"/>
        <v>-</v>
      </c>
      <c r="M94" s="756"/>
      <c r="N94" s="756" t="str">
        <f t="shared" ca="1" si="290"/>
        <v>-</v>
      </c>
      <c r="O94" s="756" t="str">
        <f t="shared" ca="1" si="291"/>
        <v>-</v>
      </c>
      <c r="P94" s="756"/>
      <c r="Q94" s="756" t="str">
        <f t="shared" ca="1" si="292"/>
        <v>-</v>
      </c>
      <c r="R94" s="756" t="str">
        <f t="shared" ca="1" si="293"/>
        <v>-</v>
      </c>
      <c r="S94" s="756"/>
      <c r="T94" s="756" t="str">
        <f t="shared" ca="1" si="294"/>
        <v>-</v>
      </c>
      <c r="U94" s="756" t="str">
        <f t="shared" ca="1" si="295"/>
        <v>-</v>
      </c>
      <c r="V94" s="178"/>
      <c r="W94" s="835"/>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1</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7</v>
      </c>
      <c r="AN94" s="220">
        <f t="shared" ca="1" si="300"/>
        <v>3</v>
      </c>
      <c r="AO94" s="220">
        <f t="shared" ca="1" si="300"/>
        <v>2</v>
      </c>
      <c r="AP94" s="220">
        <f t="shared" ca="1" si="300"/>
        <v>1</v>
      </c>
      <c r="AQ94" s="220">
        <f t="shared" ca="1" si="300"/>
        <v>0</v>
      </c>
      <c r="AR94" s="220">
        <f t="shared" ca="1" si="300"/>
        <v>6</v>
      </c>
      <c r="AS94" s="220">
        <f t="shared" ca="1" si="300"/>
        <v>2</v>
      </c>
      <c r="AT94" s="221">
        <f t="shared" ca="1" si="300"/>
        <v>4</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Visitante</v>
      </c>
      <c r="E95" s="756" t="str">
        <f t="shared" ca="1" si="284"/>
        <v>-</v>
      </c>
      <c r="F95" s="756" t="str">
        <f t="shared" ca="1" si="285"/>
        <v>-</v>
      </c>
      <c r="G95" s="756"/>
      <c r="H95" s="756" t="str">
        <f t="shared" ca="1" si="286"/>
        <v>-</v>
      </c>
      <c r="I95" s="756" t="str">
        <f t="shared" ca="1" si="287"/>
        <v>-</v>
      </c>
      <c r="J95" s="756"/>
      <c r="K95" s="756" t="str">
        <f t="shared" ca="1" si="288"/>
        <v>-</v>
      </c>
      <c r="L95" s="756" t="str">
        <f t="shared" ca="1" si="289"/>
        <v>-</v>
      </c>
      <c r="M95" s="756"/>
      <c r="N95" s="756" t="str">
        <f t="shared" ca="1" si="290"/>
        <v>-</v>
      </c>
      <c r="O95" s="756" t="str">
        <f t="shared" ca="1" si="291"/>
        <v>-</v>
      </c>
      <c r="P95" s="756"/>
      <c r="Q95" s="756" t="str">
        <f t="shared" ca="1" si="292"/>
        <v>-</v>
      </c>
      <c r="R95" s="756" t="str">
        <f t="shared" ca="1" si="293"/>
        <v>-</v>
      </c>
      <c r="S95" s="756"/>
      <c r="T95" s="756" t="str">
        <f t="shared" ca="1" si="294"/>
        <v>-</v>
      </c>
      <c r="U95" s="756" t="str">
        <f t="shared" ca="1" si="295"/>
        <v>-</v>
      </c>
      <c r="V95" s="178"/>
      <c r="W95" s="835"/>
      <c r="X95" s="195">
        <f ca="1">Horarios!C95</f>
        <v>46197.041666666664</v>
      </c>
      <c r="Y95" s="196">
        <f ca="1">Horarios!C95</f>
        <v>46197.041666666664</v>
      </c>
      <c r="Z95" s="197" t="str">
        <f>$Z$6</f>
        <v>J2</v>
      </c>
      <c r="AA95" s="198" t="str">
        <f ca="1">A96</f>
        <v>Panamá</v>
      </c>
      <c r="AB95" s="486" t="str" cm="1">
        <f t="array" aca="1" ref="AB95" ca="1">Ver_flag_local</f>
        <v>🇵🇦</v>
      </c>
      <c r="AC95" s="199">
        <v>1</v>
      </c>
      <c r="AD95" s="200">
        <v>2</v>
      </c>
      <c r="AE95" s="491" t="str" cm="1">
        <f t="array" aca="1" ref="AE95" ca="1">Ver_flag_visit</f>
        <v>🇭🇷</v>
      </c>
      <c r="AF95" s="201" t="str">
        <f ca="1">A94</f>
        <v>Croacia</v>
      </c>
      <c r="AG95" s="421">
        <f t="shared" si="296"/>
        <v>1</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6</v>
      </c>
      <c r="AN95" s="230">
        <f t="shared" ca="1" si="300"/>
        <v>3</v>
      </c>
      <c r="AO95" s="230">
        <f t="shared" ca="1" si="300"/>
        <v>2</v>
      </c>
      <c r="AP95" s="230">
        <f t="shared" ca="1" si="300"/>
        <v>0</v>
      </c>
      <c r="AQ95" s="230">
        <f t="shared" ca="1" si="300"/>
        <v>1</v>
      </c>
      <c r="AR95" s="230">
        <f t="shared" ca="1" si="300"/>
        <v>6</v>
      </c>
      <c r="AS95" s="230">
        <f t="shared" ca="1" si="300"/>
        <v>6</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Visitante</v>
      </c>
      <c r="E96" s="756" t="str">
        <f t="shared" ca="1" si="284"/>
        <v>-</v>
      </c>
      <c r="F96" s="756" t="str">
        <f t="shared" ca="1" si="285"/>
        <v>-</v>
      </c>
      <c r="G96" s="756"/>
      <c r="H96" s="756" t="str">
        <f t="shared" ca="1" si="286"/>
        <v>-</v>
      </c>
      <c r="I96" s="756" t="str">
        <f t="shared" ca="1" si="287"/>
        <v>-</v>
      </c>
      <c r="J96" s="756"/>
      <c r="K96" s="756" t="str">
        <f t="shared" ca="1" si="288"/>
        <v>-</v>
      </c>
      <c r="L96" s="756" t="str">
        <f t="shared" ca="1" si="289"/>
        <v>-</v>
      </c>
      <c r="M96" s="756"/>
      <c r="N96" s="756" t="str">
        <f t="shared" ca="1" si="290"/>
        <v>-</v>
      </c>
      <c r="O96" s="756" t="str">
        <f t="shared" ca="1" si="291"/>
        <v>-</v>
      </c>
      <c r="P96" s="756"/>
      <c r="Q96" s="756" t="str">
        <f t="shared" ca="1" si="292"/>
        <v>-</v>
      </c>
      <c r="R96" s="756" t="str">
        <f t="shared" ca="1" si="293"/>
        <v>-</v>
      </c>
      <c r="S96" s="756"/>
      <c r="T96" s="756" t="str">
        <f t="shared" ca="1" si="294"/>
        <v>-</v>
      </c>
      <c r="U96" s="756" t="str">
        <f t="shared" ca="1" si="295"/>
        <v>-</v>
      </c>
      <c r="V96" s="178"/>
      <c r="W96" s="835"/>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1</v>
      </c>
      <c r="AH96" s="202">
        <v>67</v>
      </c>
      <c r="AI96" s="19" t="str">
        <f t="shared" si="301"/>
        <v>3L</v>
      </c>
      <c r="AJ96" s="227">
        <v>3</v>
      </c>
      <c r="AK96" s="494" t="str" cm="1">
        <f t="array" aca="1" ref="AK96" ca="1">Ver_flag_visit</f>
        <v>🇬🇭</v>
      </c>
      <c r="AL96" s="228" t="str">
        <f ca="1">IFERROR(INDEX($BD$6:$BD$53,MATCH(AI96,$BN$6:$BN$53,0)),"")</f>
        <v>Ghana</v>
      </c>
      <c r="AM96" s="229">
        <f t="shared" ca="1" si="300"/>
        <v>4</v>
      </c>
      <c r="AN96" s="230">
        <f t="shared" ca="1" si="300"/>
        <v>3</v>
      </c>
      <c r="AO96" s="230">
        <f t="shared" ca="1" si="300"/>
        <v>1</v>
      </c>
      <c r="AP96" s="230">
        <f t="shared" ca="1" si="300"/>
        <v>1</v>
      </c>
      <c r="AQ96" s="230">
        <f t="shared" ca="1" si="300"/>
        <v>1</v>
      </c>
      <c r="AR96" s="230">
        <f t="shared" ca="1" si="300"/>
        <v>2</v>
      </c>
      <c r="AS96" s="230">
        <f t="shared" ca="1" si="300"/>
        <v>2</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Local</v>
      </c>
      <c r="E97" s="756" t="str">
        <f t="shared" ca="1" si="284"/>
        <v>-</v>
      </c>
      <c r="F97" s="756" t="str">
        <f t="shared" ca="1" si="285"/>
        <v>-</v>
      </c>
      <c r="G97" s="756"/>
      <c r="H97" s="756" t="str">
        <f t="shared" ca="1" si="286"/>
        <v>-</v>
      </c>
      <c r="I97" s="756" t="str">
        <f t="shared" ca="1" si="287"/>
        <v>-</v>
      </c>
      <c r="J97" s="756"/>
      <c r="K97" s="756" t="str">
        <f t="shared" ca="1" si="288"/>
        <v>-</v>
      </c>
      <c r="L97" s="756" t="str">
        <f t="shared" ca="1" si="289"/>
        <v>-</v>
      </c>
      <c r="M97" s="756"/>
      <c r="N97" s="756" t="str">
        <f t="shared" ca="1" si="290"/>
        <v>-</v>
      </c>
      <c r="O97" s="756" t="str">
        <f t="shared" ca="1" si="291"/>
        <v>-</v>
      </c>
      <c r="P97" s="756"/>
      <c r="Q97" s="756" t="str">
        <f t="shared" ca="1" si="292"/>
        <v>-</v>
      </c>
      <c r="R97" s="756" t="str">
        <f t="shared" ca="1" si="293"/>
        <v>-</v>
      </c>
      <c r="S97" s="756"/>
      <c r="T97" s="756" t="str">
        <f t="shared" ca="1" si="294"/>
        <v>-</v>
      </c>
      <c r="U97" s="756" t="str">
        <f t="shared" ca="1" si="295"/>
        <v>-</v>
      </c>
      <c r="V97" s="178"/>
      <c r="W97" s="836"/>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1</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3</v>
      </c>
      <c r="AO97" s="244">
        <f t="shared" ca="1" si="300"/>
        <v>0</v>
      </c>
      <c r="AP97" s="244">
        <f t="shared" ca="1" si="300"/>
        <v>0</v>
      </c>
      <c r="AQ97" s="244">
        <f t="shared" ca="1" si="300"/>
        <v>3</v>
      </c>
      <c r="AR97" s="244">
        <f t="shared" ca="1" si="300"/>
        <v>1</v>
      </c>
      <c r="AS97" s="244">
        <f t="shared" ca="1" si="300"/>
        <v>5</v>
      </c>
      <c r="AT97" s="245">
        <f t="shared" ca="1" si="300"/>
        <v>-4</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¡EMPATE! Puedes seleccionar el orden de los empatados.</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ca="1" si="302">IF(AND(OR(AC101="",AD101="")),"W"&amp;AH101,IF(AC101&gt;AD101,AA101,IF(AC101&lt;AD101,AF101,IF(AND(AC101=AD101,AB101=AE101),"W"&amp;AH101,IF(AND(AC101=AD101,OR(AB101="",AE101="")),"W"&amp;AH101,IF(AND(AC101=AD101,AB101&gt;AE101),AA101,AF101))))))</f>
        <v>Canadá</v>
      </c>
      <c r="E101" s="751" t="s">
        <v>0</v>
      </c>
      <c r="F101" s="751" t="s">
        <v>1</v>
      </c>
      <c r="G101" s="760" t="s">
        <v>0</v>
      </c>
      <c r="H101" s="761">
        <f t="shared" ref="H101:H112" ca="1" si="303">+SUMIF($BC$6:$BC$53,G101,$BF$6:$BF$53)</f>
        <v>12</v>
      </c>
      <c r="I101" s="756"/>
      <c r="J101" s="750">
        <v>73</v>
      </c>
      <c r="K101" s="750">
        <v>46201.75</v>
      </c>
      <c r="L101" s="750" t="s">
        <v>685</v>
      </c>
      <c r="M101" s="750" t="str">
        <f t="shared" ref="M101:M116" ca="1" si="304">+IF(OR(INDEX($H$101:$H$113,MATCH(E101,$G$101:$G$113,0))=12,$AJ$99=144),INDEX($AL$6:$AL$97,MATCH(A101,$AI$6:$AI$97,0)),A101)</f>
        <v>Sudáfrica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50"/>
      <c r="P101" s="750"/>
      <c r="Q101" s="750"/>
      <c r="R101" s="750"/>
      <c r="S101" s="750"/>
      <c r="T101" s="750"/>
      <c r="U101" s="750"/>
      <c r="V101" s="178"/>
      <c r="W101" s="841" t="s">
        <v>483</v>
      </c>
      <c r="X101" s="195">
        <f ca="1">Horarios!C101</f>
        <v>46201.875</v>
      </c>
      <c r="Y101" s="196">
        <f ca="1">Horarios!C101</f>
        <v>46201.875</v>
      </c>
      <c r="Z101" s="282">
        <f>AH101</f>
        <v>73</v>
      </c>
      <c r="AA101" s="283" t="str">
        <f t="shared" ref="AA101:AA116" ca="1" si="305">+INDEX($M$101:$M$147,MATCH(AH101,$J$101:$J$147,0))</f>
        <v>Sudáfrica</v>
      </c>
      <c r="AB101" s="284"/>
      <c r="AC101" s="200">
        <v>0</v>
      </c>
      <c r="AD101" s="200">
        <v>1</v>
      </c>
      <c r="AE101" s="285"/>
      <c r="AF101" s="286" t="str">
        <f t="shared" ref="AF101:AF116" ca="1" si="306">+INDEX($N$101:$N$147,MATCH(AH101,$J$101:$J$147,0))</f>
        <v>Canadá</v>
      </c>
      <c r="AG101" s="425">
        <f t="shared" ref="AG101:AG116" ca="1" si="307">IF(D101="W"&amp;AH101,0,1)</f>
        <v>1</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2</v>
      </c>
      <c r="AV101" s="22"/>
      <c r="AW101" s="437"/>
      <c r="AX101" s="280"/>
      <c r="AY101" s="431" t="str">
        <f ca="1">+IF(OR($H$113&gt;=48,$AJ$99=144),Idiomas!D70,"")</f>
        <v xml:space="preserve">Grupos mejores 3ºs: </v>
      </c>
      <c r="AZ101" s="432" t="str">
        <f ca="1">+IF(OR($H$113&gt;=48,$AJ$99=144),BI112,"")</f>
        <v>BDEFIJKL</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Sudáfrica-Canadá</v>
      </c>
      <c r="DU101" s="756"/>
      <c r="DV101" s="756"/>
      <c r="DW101" s="8"/>
    </row>
    <row r="102" spans="1:127" ht="16" customHeight="1" x14ac:dyDescent="0.2">
      <c r="A102" s="750" t="s">
        <v>661</v>
      </c>
      <c r="B102" s="750" t="s">
        <v>722</v>
      </c>
      <c r="C102" s="751"/>
      <c r="D102" s="759" t="str">
        <f t="shared" ca="1" si="302"/>
        <v>Brasil</v>
      </c>
      <c r="E102" s="751" t="s">
        <v>3</v>
      </c>
      <c r="F102" s="751" t="s">
        <v>721</v>
      </c>
      <c r="G102" s="760" t="s">
        <v>1</v>
      </c>
      <c r="H102" s="761">
        <f t="shared" ca="1" si="303"/>
        <v>12</v>
      </c>
      <c r="I102" s="756"/>
      <c r="J102" s="750">
        <v>74</v>
      </c>
      <c r="K102" s="750">
        <v>46202.75</v>
      </c>
      <c r="L102" s="750" t="s">
        <v>686</v>
      </c>
      <c r="M102" s="750" t="str">
        <f t="shared" ca="1" si="304"/>
        <v>Alemania</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50"/>
      <c r="P102" s="750"/>
      <c r="Q102" s="750"/>
      <c r="R102" s="750"/>
      <c r="S102" s="750"/>
      <c r="T102" s="750"/>
      <c r="U102" s="750"/>
      <c r="V102" s="178"/>
      <c r="W102" s="841"/>
      <c r="X102" s="195">
        <f ca="1">Horarios!C102</f>
        <v>46202.791666666664</v>
      </c>
      <c r="Y102" s="196">
        <f ca="1">Horarios!C102</f>
        <v>46202.791666666664</v>
      </c>
      <c r="Z102" s="282">
        <f t="shared" ref="Z102:Z116" si="309">AH102</f>
        <v>76</v>
      </c>
      <c r="AA102" s="283" t="str">
        <f t="shared" ca="1" si="305"/>
        <v>Brasil</v>
      </c>
      <c r="AB102" s="284"/>
      <c r="AC102" s="287">
        <v>2</v>
      </c>
      <c r="AD102" s="287">
        <v>1</v>
      </c>
      <c r="AE102" s="284"/>
      <c r="AF102" s="286" t="str">
        <f t="shared" ca="1" si="306"/>
        <v>Japón</v>
      </c>
      <c r="AG102" s="425">
        <f t="shared" ca="1" si="307"/>
        <v>1</v>
      </c>
      <c r="AH102" s="202">
        <v>76</v>
      </c>
      <c r="AI102" s="223">
        <v>1</v>
      </c>
      <c r="AJ102" s="288">
        <v>1</v>
      </c>
      <c r="AK102" s="493" t="str" cm="1">
        <f t="array" aca="1" ref="AK102" ca="1">Ver_flag_visit</f>
        <v>🇨🇩</v>
      </c>
      <c r="AL102" s="289" t="str">
        <f t="shared" ref="AL102:AL113" ca="1" si="310">+IF($H$113&gt;=48,INDEX($BD$58:$BD$69,MATCH(AI102,$BN$58:$BN$69,0)),BB58)</f>
        <v>RD Congo</v>
      </c>
      <c r="AM102" s="290">
        <f t="shared" ref="AM102:AT102" ca="1" si="311">+IF($H$113&gt;=48,INDEX($BE$58:$BN$69,MATCH($AL102,$BD$58:$BD$69,0),MATCH(AM$5,$BE$57:$BN$57,0)),$BB58)</f>
        <v>4</v>
      </c>
      <c r="AN102" s="291">
        <f t="shared" ca="1" si="311"/>
        <v>3</v>
      </c>
      <c r="AO102" s="291">
        <f t="shared" ca="1" si="311"/>
        <v>1</v>
      </c>
      <c r="AP102" s="291">
        <f t="shared" ca="1" si="311"/>
        <v>1</v>
      </c>
      <c r="AQ102" s="292">
        <f t="shared" ca="1" si="311"/>
        <v>1</v>
      </c>
      <c r="AR102" s="292">
        <f t="shared" ca="1" si="311"/>
        <v>4</v>
      </c>
      <c r="AS102" s="292">
        <f t="shared" ca="1" si="311"/>
        <v>3</v>
      </c>
      <c r="AT102" s="293">
        <f t="shared" ca="1" si="311"/>
        <v>1</v>
      </c>
      <c r="AU102" s="428">
        <f t="shared" ref="AU102:AU113" ca="1" si="312">IF($H$113=144,INDEX($DL$58:$DL$69,MATCH(AI102,$DP$58:$DP$69,0)),"")</f>
        <v>1</v>
      </c>
      <c r="AV102" s="223" t="str">
        <f t="shared" ref="AV102:AV113" ca="1" si="313">INDEX($BD$58:$BD$69,MATCH(AI102,$BM$58:$BM$69,0))</f>
        <v>RD Congo</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Brasil-Japón</v>
      </c>
      <c r="DU102" s="750"/>
      <c r="DV102" s="750"/>
      <c r="DW102" s="11"/>
    </row>
    <row r="103" spans="1:127" ht="16" customHeight="1" x14ac:dyDescent="0.2">
      <c r="A103" s="750" t="s">
        <v>664</v>
      </c>
      <c r="B103" s="750" t="s">
        <v>656</v>
      </c>
      <c r="C103" s="751"/>
      <c r="D103" s="759" t="str">
        <f t="shared" ca="1" si="302"/>
        <v>Paraguay</v>
      </c>
      <c r="E103" s="751" t="s">
        <v>4</v>
      </c>
      <c r="F103" s="751" t="s">
        <v>2</v>
      </c>
      <c r="G103" s="760" t="s">
        <v>2</v>
      </c>
      <c r="H103" s="761">
        <f t="shared" ca="1" si="303"/>
        <v>12</v>
      </c>
      <c r="I103" s="756"/>
      <c r="J103" s="750">
        <v>75</v>
      </c>
      <c r="K103" s="750">
        <v>46202.75</v>
      </c>
      <c r="L103" s="750" t="s">
        <v>687</v>
      </c>
      <c r="M103" s="750" t="str">
        <f t="shared" ca="1" si="304"/>
        <v>Países Bajos</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50"/>
      <c r="P103" s="750"/>
      <c r="Q103" s="750"/>
      <c r="R103" s="750"/>
      <c r="S103" s="750"/>
      <c r="T103" s="750"/>
      <c r="U103" s="750"/>
      <c r="V103" s="178"/>
      <c r="W103" s="841"/>
      <c r="X103" s="195">
        <f ca="1">Horarios!C103</f>
        <v>46202.9375</v>
      </c>
      <c r="Y103" s="196">
        <f ca="1">Horarios!C103</f>
        <v>46202.9375</v>
      </c>
      <c r="Z103" s="282">
        <f t="shared" si="309"/>
        <v>74</v>
      </c>
      <c r="AA103" s="283" t="str">
        <f t="shared" ca="1" si="305"/>
        <v>Alemania</v>
      </c>
      <c r="AB103" s="284">
        <v>3</v>
      </c>
      <c r="AC103" s="287">
        <v>1</v>
      </c>
      <c r="AD103" s="287">
        <v>1</v>
      </c>
      <c r="AE103" s="284">
        <v>4</v>
      </c>
      <c r="AF103" s="286" t="str">
        <f t="shared" ca="1" si="306"/>
        <v>Paraguay</v>
      </c>
      <c r="AG103" s="425">
        <f t="shared" ca="1" si="307"/>
        <v>1</v>
      </c>
      <c r="AH103" s="202">
        <v>74</v>
      </c>
      <c r="AI103" s="223">
        <v>2</v>
      </c>
      <c r="AJ103" s="227">
        <v>2</v>
      </c>
      <c r="AK103" s="494" t="str" cm="1">
        <f t="array" aca="1" ref="AK103" ca="1">Ver_flag_visit</f>
        <v>🇸🇪</v>
      </c>
      <c r="AL103" s="295" t="str">
        <f t="shared" ca="1" si="310"/>
        <v>Suecia</v>
      </c>
      <c r="AM103" s="296">
        <f t="shared" ref="AM103:AT103" ca="1" si="314">+IF($H$113&gt;=48,INDEX($BE$58:$BN$69,MATCH($AL103,$BD$58:$BD$69,0),MATCH(AM$5,$BE$57:$BN$57,0)),$BB59)</f>
        <v>4</v>
      </c>
      <c r="AN103" s="297">
        <f t="shared" ca="1" si="314"/>
        <v>3</v>
      </c>
      <c r="AO103" s="297">
        <f t="shared" ca="1" si="314"/>
        <v>1</v>
      </c>
      <c r="AP103" s="297">
        <f t="shared" ca="1" si="314"/>
        <v>1</v>
      </c>
      <c r="AQ103" s="297">
        <f t="shared" ca="1" si="314"/>
        <v>1</v>
      </c>
      <c r="AR103" s="297">
        <f t="shared" ca="1" si="314"/>
        <v>7</v>
      </c>
      <c r="AS103" s="297">
        <f t="shared" ca="1" si="314"/>
        <v>7</v>
      </c>
      <c r="AT103" s="298">
        <f t="shared" ca="1" si="314"/>
        <v>0</v>
      </c>
      <c r="AU103" s="428">
        <f t="shared" ca="1" si="312"/>
        <v>1</v>
      </c>
      <c r="AV103" s="223" t="str">
        <f t="shared" ca="1" si="313"/>
        <v>Suecia</v>
      </c>
      <c r="AW103" s="435"/>
      <c r="AX103" s="294"/>
      <c r="AY103" s="299"/>
      <c r="AZ103" s="300" t="str">
        <f t="shared" ref="AZ103:AZ110" ca="1" si="315">+IF(OR($H$113&gt;=48,$AJ$99=144),BF117&amp;" - "&amp;BG117,"")</f>
        <v>1A - 3E</v>
      </c>
      <c r="BA103" s="181"/>
      <c r="BB103" s="750"/>
      <c r="BC103" s="756"/>
      <c r="BD103" s="750"/>
      <c r="BE103" s="750"/>
      <c r="BF103" s="750" t="str">
        <f t="shared" ref="BF103:BF110" ca="1" si="316">IFERROR(INDEX($BC$6:$BC$53,MATCH(AL102,$BD$6:$BD$53,0)),"")</f>
        <v>K</v>
      </c>
      <c r="BG103" s="750">
        <f t="shared" ref="BG103:BG110" ca="1" si="317">COUNTIF($BF$103:$BF$110,"&lt;="&amp;BF103)</f>
        <v>7</v>
      </c>
      <c r="BH103" s="750"/>
      <c r="BI103" s="756">
        <v>1</v>
      </c>
      <c r="BJ103" s="750" t="str">
        <f t="shared" ref="BJ103:BJ110" ca="1" si="318">IFERROR(INDEX($BF$103:$BF$110,MATCH(BI103,$BG$103:$BG$110,0)),"Grupo")</f>
        <v>B</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Alemania-Paraguay</v>
      </c>
      <c r="DU103" s="750"/>
      <c r="DV103" s="750"/>
      <c r="DW103" s="11"/>
    </row>
    <row r="104" spans="1:127" ht="16" customHeight="1" x14ac:dyDescent="0.2">
      <c r="A104" s="750" t="s">
        <v>651</v>
      </c>
      <c r="B104" s="750" t="s">
        <v>665</v>
      </c>
      <c r="C104" s="751"/>
      <c r="D104" s="759" t="str">
        <f t="shared" ca="1" si="302"/>
        <v>Marruecos</v>
      </c>
      <c r="E104" s="751" t="s">
        <v>2</v>
      </c>
      <c r="F104" s="751" t="s">
        <v>4</v>
      </c>
      <c r="G104" s="760" t="s">
        <v>73</v>
      </c>
      <c r="H104" s="761">
        <f t="shared" ca="1" si="303"/>
        <v>12</v>
      </c>
      <c r="I104" s="756"/>
      <c r="J104" s="750">
        <v>76</v>
      </c>
      <c r="K104" s="750">
        <v>46202.75</v>
      </c>
      <c r="L104" s="750" t="s">
        <v>688</v>
      </c>
      <c r="M104" s="750" t="str">
        <f t="shared" ca="1" si="304"/>
        <v>Brasil</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50"/>
      <c r="P104" s="750"/>
      <c r="Q104" s="750"/>
      <c r="R104" s="750"/>
      <c r="S104" s="750"/>
      <c r="T104" s="750"/>
      <c r="U104" s="750"/>
      <c r="V104" s="178"/>
      <c r="W104" s="841"/>
      <c r="X104" s="195">
        <f ca="1">Horarios!C104</f>
        <v>46203.125</v>
      </c>
      <c r="Y104" s="196">
        <f ca="1">Horarios!C104</f>
        <v>46203.125</v>
      </c>
      <c r="Z104" s="282">
        <f t="shared" si="309"/>
        <v>75</v>
      </c>
      <c r="AA104" s="283" t="str">
        <f t="shared" ca="1" si="305"/>
        <v>Países Bajos</v>
      </c>
      <c r="AB104" s="284">
        <v>2</v>
      </c>
      <c r="AC104" s="287">
        <v>1</v>
      </c>
      <c r="AD104" s="287">
        <v>1</v>
      </c>
      <c r="AE104" s="284">
        <v>3</v>
      </c>
      <c r="AF104" s="286" t="str">
        <f t="shared" ca="1" si="306"/>
        <v>Marruecos</v>
      </c>
      <c r="AG104" s="425">
        <f t="shared" ca="1" si="307"/>
        <v>1</v>
      </c>
      <c r="AH104" s="202">
        <v>75</v>
      </c>
      <c r="AI104" s="223">
        <v>3</v>
      </c>
      <c r="AJ104" s="227">
        <v>3</v>
      </c>
      <c r="AK104" s="494" t="str" cm="1">
        <f t="array" aca="1" ref="AK104" ca="1">Ver_flag_visit</f>
        <v>🇬🇭</v>
      </c>
      <c r="AL104" s="295" t="str">
        <f t="shared" ca="1" si="310"/>
        <v>Ghana</v>
      </c>
      <c r="AM104" s="296">
        <f t="shared" ref="AM104:AT104" ca="1" si="319">+IF($H$113&gt;=48,INDEX($BE$58:$BN$69,MATCH($AL104,$BD$58:$BD$69,0),MATCH(AM$5,$BE$57:$BN$57,0)),$BB60)</f>
        <v>4</v>
      </c>
      <c r="AN104" s="297">
        <f t="shared" ca="1" si="319"/>
        <v>3</v>
      </c>
      <c r="AO104" s="297">
        <f t="shared" ca="1" si="319"/>
        <v>1</v>
      </c>
      <c r="AP104" s="297">
        <f t="shared" ca="1" si="319"/>
        <v>1</v>
      </c>
      <c r="AQ104" s="297">
        <f t="shared" ca="1" si="319"/>
        <v>1</v>
      </c>
      <c r="AR104" s="297">
        <f t="shared" ca="1" si="319"/>
        <v>2</v>
      </c>
      <c r="AS104" s="297">
        <f t="shared" ca="1" si="319"/>
        <v>2</v>
      </c>
      <c r="AT104" s="298">
        <f t="shared" ca="1" si="319"/>
        <v>0</v>
      </c>
      <c r="AU104" s="428">
        <f t="shared" ca="1" si="312"/>
        <v>2</v>
      </c>
      <c r="AV104" s="223" t="str">
        <f t="shared" ca="1" si="313"/>
        <v>Ecuador</v>
      </c>
      <c r="AW104" s="435">
        <v>4</v>
      </c>
      <c r="AX104" s="294"/>
      <c r="AY104" s="299"/>
      <c r="AZ104" s="300" t="str">
        <f t="shared" ca="1" si="315"/>
        <v>1B - 3J</v>
      </c>
      <c r="BA104" s="181"/>
      <c r="BB104" s="750"/>
      <c r="BC104" s="756"/>
      <c r="BD104" s="750"/>
      <c r="BE104" s="750"/>
      <c r="BF104" s="750" t="str">
        <f t="shared" ca="1" si="316"/>
        <v>F</v>
      </c>
      <c r="BG104" s="750">
        <f t="shared" ca="1" si="317"/>
        <v>4</v>
      </c>
      <c r="BH104" s="750"/>
      <c r="BI104" s="756">
        <v>2</v>
      </c>
      <c r="BJ104" s="750" t="str">
        <f t="shared" ca="1" si="318"/>
        <v>D</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Países Bajos-Marruecos</v>
      </c>
      <c r="DU104" s="750"/>
      <c r="DV104" s="750"/>
      <c r="DW104" s="11"/>
    </row>
    <row r="105" spans="1:127" ht="16" customHeight="1" x14ac:dyDescent="0.2">
      <c r="A105" s="750" t="s">
        <v>673</v>
      </c>
      <c r="B105" s="750" t="s">
        <v>723</v>
      </c>
      <c r="C105" s="751"/>
      <c r="D105" s="759" t="str">
        <f t="shared" ca="1" si="302"/>
        <v>Noruega</v>
      </c>
      <c r="E105" s="751" t="s">
        <v>438</v>
      </c>
      <c r="F105" s="751" t="s">
        <v>721</v>
      </c>
      <c r="G105" s="760" t="s">
        <v>3</v>
      </c>
      <c r="H105" s="761">
        <f t="shared" ca="1" si="303"/>
        <v>12</v>
      </c>
      <c r="I105" s="756"/>
      <c r="J105" s="750">
        <v>77</v>
      </c>
      <c r="K105" s="750">
        <v>46203.75</v>
      </c>
      <c r="L105" s="750" t="s">
        <v>689</v>
      </c>
      <c r="M105" s="750" t="str">
        <f t="shared" ca="1" si="304"/>
        <v>Francia</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50"/>
      <c r="P105" s="750"/>
      <c r="Q105" s="750"/>
      <c r="R105" s="750"/>
      <c r="S105" s="750"/>
      <c r="T105" s="750"/>
      <c r="U105" s="750"/>
      <c r="V105" s="178"/>
      <c r="W105" s="841"/>
      <c r="X105" s="195">
        <f ca="1">Horarios!C105</f>
        <v>46203.791666666664</v>
      </c>
      <c r="Y105" s="196">
        <f ca="1">Horarios!C105</f>
        <v>46203.791666666664</v>
      </c>
      <c r="Z105" s="282">
        <f t="shared" si="309"/>
        <v>78</v>
      </c>
      <c r="AA105" s="283" t="str">
        <f t="shared" ca="1" si="305"/>
        <v>Costa de Marfil</v>
      </c>
      <c r="AB105" s="284"/>
      <c r="AC105" s="287">
        <v>1</v>
      </c>
      <c r="AD105" s="287">
        <v>2</v>
      </c>
      <c r="AE105" s="284"/>
      <c r="AF105" s="286" t="str">
        <f t="shared" ca="1" si="306"/>
        <v>Noruega</v>
      </c>
      <c r="AG105" s="425">
        <f t="shared" ca="1" si="307"/>
        <v>1</v>
      </c>
      <c r="AH105" s="202">
        <v>78</v>
      </c>
      <c r="AI105" s="223">
        <v>4</v>
      </c>
      <c r="AJ105" s="227">
        <v>4</v>
      </c>
      <c r="AK105" s="494" t="str" cm="1">
        <f t="array" aca="1" ref="AK105" ca="1">Ver_flag_visit</f>
        <v>🇪🇨</v>
      </c>
      <c r="AL105" s="295" t="str">
        <f t="shared" ca="1" si="310"/>
        <v>Ecuador</v>
      </c>
      <c r="AM105" s="296">
        <f t="shared" ref="AM105:AT105" ca="1" si="320">+IF($H$113&gt;=48,INDEX($BE$58:$BN$69,MATCH($AL105,$BD$58:$BD$69,0),MATCH(AM$5,$BE$57:$BN$57,0)),$BB61)</f>
        <v>4</v>
      </c>
      <c r="AN105" s="297">
        <f t="shared" ca="1" si="320"/>
        <v>3</v>
      </c>
      <c r="AO105" s="297">
        <f t="shared" ca="1" si="320"/>
        <v>1</v>
      </c>
      <c r="AP105" s="297">
        <f t="shared" ca="1" si="320"/>
        <v>1</v>
      </c>
      <c r="AQ105" s="297">
        <f t="shared" ca="1" si="320"/>
        <v>1</v>
      </c>
      <c r="AR105" s="297">
        <f t="shared" ca="1" si="320"/>
        <v>2</v>
      </c>
      <c r="AS105" s="297">
        <f t="shared" ca="1" si="320"/>
        <v>2</v>
      </c>
      <c r="AT105" s="298">
        <f t="shared" ca="1" si="320"/>
        <v>0</v>
      </c>
      <c r="AU105" s="428">
        <f t="shared" ca="1" si="312"/>
        <v>2</v>
      </c>
      <c r="AV105" s="223" t="str">
        <f t="shared" ca="1" si="313"/>
        <v>Ghana</v>
      </c>
      <c r="AW105" s="435">
        <v>3</v>
      </c>
      <c r="AX105" s="294"/>
      <c r="AY105" s="299"/>
      <c r="AZ105" s="300" t="str">
        <f t="shared" ca="1" si="315"/>
        <v>1D - 3B</v>
      </c>
      <c r="BA105" s="181"/>
      <c r="BB105" s="750"/>
      <c r="BC105" s="756"/>
      <c r="BD105" s="750"/>
      <c r="BE105" s="750"/>
      <c r="BF105" s="750" t="str">
        <f t="shared" ca="1" si="316"/>
        <v>L</v>
      </c>
      <c r="BG105" s="750">
        <f t="shared" ca="1" si="317"/>
        <v>8</v>
      </c>
      <c r="BH105" s="750"/>
      <c r="BI105" s="756">
        <v>3</v>
      </c>
      <c r="BJ105" s="750" t="str">
        <f t="shared" ca="1" si="318"/>
        <v>E</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Costa de Marfil-Noruega</v>
      </c>
      <c r="DU105" s="750"/>
      <c r="DV105" s="750"/>
      <c r="DW105" s="11"/>
    </row>
    <row r="106" spans="1:127" ht="16" customHeight="1" x14ac:dyDescent="0.2">
      <c r="A106" s="750" t="s">
        <v>662</v>
      </c>
      <c r="B106" s="750" t="s">
        <v>674</v>
      </c>
      <c r="C106" s="751"/>
      <c r="D106" s="759" t="str">
        <f t="shared" ca="1" si="302"/>
        <v>Francia</v>
      </c>
      <c r="E106" s="751" t="s">
        <v>3</v>
      </c>
      <c r="F106" s="751" t="s">
        <v>438</v>
      </c>
      <c r="G106" s="760" t="s">
        <v>4</v>
      </c>
      <c r="H106" s="761">
        <f t="shared" ca="1" si="303"/>
        <v>12</v>
      </c>
      <c r="I106" s="756"/>
      <c r="J106" s="750">
        <v>78</v>
      </c>
      <c r="K106" s="750">
        <v>46203.75</v>
      </c>
      <c r="L106" s="750" t="s">
        <v>690</v>
      </c>
      <c r="M106" s="750" t="str">
        <f t="shared" ca="1" si="304"/>
        <v>Costa de Marfil</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50"/>
      <c r="P106" s="750"/>
      <c r="Q106" s="750"/>
      <c r="R106" s="750"/>
      <c r="S106" s="750"/>
      <c r="T106" s="750"/>
      <c r="U106" s="750"/>
      <c r="V106" s="178"/>
      <c r="W106" s="841"/>
      <c r="X106" s="195">
        <f ca="1">Horarios!C106</f>
        <v>46203.958333333336</v>
      </c>
      <c r="Y106" s="196">
        <f ca="1">Horarios!C106</f>
        <v>46203.958333333336</v>
      </c>
      <c r="Z106" s="282">
        <f t="shared" si="309"/>
        <v>77</v>
      </c>
      <c r="AA106" s="283" t="str">
        <f t="shared" ca="1" si="305"/>
        <v>Francia</v>
      </c>
      <c r="AB106" s="284"/>
      <c r="AC106" s="287">
        <v>3</v>
      </c>
      <c r="AD106" s="287">
        <v>0</v>
      </c>
      <c r="AE106" s="284"/>
      <c r="AF106" s="286" t="str">
        <f t="shared" ca="1" si="306"/>
        <v>Suecia</v>
      </c>
      <c r="AG106" s="425">
        <f t="shared" ca="1" si="307"/>
        <v>1</v>
      </c>
      <c r="AH106" s="202">
        <v>77</v>
      </c>
      <c r="AI106" s="223">
        <v>5</v>
      </c>
      <c r="AJ106" s="227">
        <v>5</v>
      </c>
      <c r="AK106" s="494" t="str" cm="1">
        <f t="array" aca="1" ref="AK106" ca="1">Ver_flag_visit</f>
        <v>🇧🇦</v>
      </c>
      <c r="AL106" s="295" t="str">
        <f t="shared" ca="1" si="310"/>
        <v>Bosnia y Herzegovina</v>
      </c>
      <c r="AM106" s="296">
        <f t="shared" ref="AM106:AT106" ca="1" si="321">+IF($H$113&gt;=48,INDEX($BE$58:$BN$69,MATCH($AL106,$BD$58:$BD$69,0),MATCH(AM$5,$BE$57:$BN$57,0)),$BB62)</f>
        <v>4</v>
      </c>
      <c r="AN106" s="297">
        <f t="shared" ca="1" si="321"/>
        <v>3</v>
      </c>
      <c r="AO106" s="297">
        <f t="shared" ca="1" si="321"/>
        <v>1</v>
      </c>
      <c r="AP106" s="297">
        <f t="shared" ca="1" si="321"/>
        <v>1</v>
      </c>
      <c r="AQ106" s="297">
        <f t="shared" ca="1" si="321"/>
        <v>1</v>
      </c>
      <c r="AR106" s="297">
        <f t="shared" ca="1" si="321"/>
        <v>5</v>
      </c>
      <c r="AS106" s="297">
        <f t="shared" ca="1" si="321"/>
        <v>6</v>
      </c>
      <c r="AT106" s="298">
        <f t="shared" ca="1" si="321"/>
        <v>-1</v>
      </c>
      <c r="AU106" s="428">
        <f t="shared" ca="1" si="312"/>
        <v>1</v>
      </c>
      <c r="AV106" s="223" t="str">
        <f t="shared" ca="1" si="313"/>
        <v>Bosnia y Herzegovina</v>
      </c>
      <c r="AW106" s="435"/>
      <c r="AX106" s="294"/>
      <c r="AY106" s="299"/>
      <c r="AZ106" s="300" t="str">
        <f t="shared" ca="1" si="315"/>
        <v>1E - 3D</v>
      </c>
      <c r="BA106" s="181"/>
      <c r="BB106" s="750"/>
      <c r="BC106" s="756"/>
      <c r="BD106" s="750"/>
      <c r="BE106" s="750"/>
      <c r="BF106" s="750" t="str">
        <f t="shared" ca="1" si="316"/>
        <v>E</v>
      </c>
      <c r="BG106" s="750">
        <f t="shared" ca="1" si="317"/>
        <v>3</v>
      </c>
      <c r="BH106" s="750"/>
      <c r="BI106" s="756">
        <v>4</v>
      </c>
      <c r="BJ106" s="750" t="str">
        <f t="shared" ca="1" si="318"/>
        <v>F</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Francia-Suecia</v>
      </c>
      <c r="DU106" s="750"/>
      <c r="DV106" s="750"/>
      <c r="DW106" s="11"/>
    </row>
    <row r="107" spans="1:127" ht="16" customHeight="1" x14ac:dyDescent="0.2">
      <c r="A107" s="750" t="s">
        <v>645</v>
      </c>
      <c r="B107" s="750" t="s">
        <v>724</v>
      </c>
      <c r="C107" s="751"/>
      <c r="D107" s="759" t="str">
        <f t="shared" ca="1" si="302"/>
        <v>México</v>
      </c>
      <c r="E107" s="751" t="s">
        <v>0</v>
      </c>
      <c r="F107" s="751" t="s">
        <v>721</v>
      </c>
      <c r="G107" s="760" t="s">
        <v>6</v>
      </c>
      <c r="H107" s="761">
        <f t="shared" ca="1" si="303"/>
        <v>12</v>
      </c>
      <c r="I107" s="756"/>
      <c r="J107" s="750">
        <v>79</v>
      </c>
      <c r="K107" s="750">
        <v>46203.75</v>
      </c>
      <c r="L107" s="750" t="s">
        <v>691</v>
      </c>
      <c r="M107" s="750" t="str">
        <f t="shared" ca="1" si="304"/>
        <v>México</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50"/>
      <c r="P107" s="750"/>
      <c r="Q107" s="750"/>
      <c r="R107" s="750"/>
      <c r="S107" s="750"/>
      <c r="T107" s="750"/>
      <c r="U107" s="750"/>
      <c r="V107" s="178"/>
      <c r="W107" s="841"/>
      <c r="X107" s="195">
        <f ca="1">Horarios!C107</f>
        <v>46204.125</v>
      </c>
      <c r="Y107" s="196">
        <f ca="1">Horarios!C107</f>
        <v>46204.125</v>
      </c>
      <c r="Z107" s="282">
        <f t="shared" si="309"/>
        <v>79</v>
      </c>
      <c r="AA107" s="283" t="str">
        <f t="shared" ca="1" si="305"/>
        <v>México</v>
      </c>
      <c r="AB107" s="284"/>
      <c r="AC107" s="287">
        <v>2</v>
      </c>
      <c r="AD107" s="287">
        <v>0</v>
      </c>
      <c r="AE107" s="284"/>
      <c r="AF107" s="286" t="str">
        <f t="shared" ca="1" si="306"/>
        <v>Ecuador</v>
      </c>
      <c r="AG107" s="425">
        <f t="shared" ca="1" si="307"/>
        <v>1</v>
      </c>
      <c r="AH107" s="202">
        <v>79</v>
      </c>
      <c r="AI107" s="223">
        <v>6</v>
      </c>
      <c r="AJ107" s="227">
        <v>6</v>
      </c>
      <c r="AK107" s="494" t="str" cm="1">
        <f t="array" aca="1" ref="AK107" ca="1">Ver_flag_visit</f>
        <v>🇩🇿</v>
      </c>
      <c r="AL107" s="295" t="str">
        <f t="shared" ca="1" si="310"/>
        <v>Argelia</v>
      </c>
      <c r="AM107" s="296">
        <f t="shared" ref="AM107:AT107" ca="1" si="322">+IF($H$113&gt;=48,INDEX($BE$58:$BN$69,MATCH($AL107,$BD$58:$BD$69,0),MATCH(AM$5,$BE$57:$BN$57,0)),$BB63)</f>
        <v>4</v>
      </c>
      <c r="AN107" s="297">
        <f t="shared" ca="1" si="322"/>
        <v>3</v>
      </c>
      <c r="AO107" s="297">
        <f t="shared" ca="1" si="322"/>
        <v>1</v>
      </c>
      <c r="AP107" s="297">
        <f t="shared" ca="1" si="322"/>
        <v>1</v>
      </c>
      <c r="AQ107" s="297">
        <f t="shared" ca="1" si="322"/>
        <v>1</v>
      </c>
      <c r="AR107" s="297">
        <f t="shared" ca="1" si="322"/>
        <v>5</v>
      </c>
      <c r="AS107" s="297">
        <f t="shared" ca="1" si="322"/>
        <v>7</v>
      </c>
      <c r="AT107" s="298">
        <f t="shared" ca="1" si="322"/>
        <v>-2</v>
      </c>
      <c r="AU107" s="428">
        <f t="shared" ca="1" si="312"/>
        <v>1</v>
      </c>
      <c r="AV107" s="223" t="str">
        <f ca="1">INDEX($BD$58:$BD$69,MATCH(AI107,$BM$58:$BM$69,0))</f>
        <v>Argelia</v>
      </c>
      <c r="AW107" s="435"/>
      <c r="AX107" s="294"/>
      <c r="AY107" s="299"/>
      <c r="AZ107" s="300" t="str">
        <f t="shared" ca="1" si="315"/>
        <v>1G - 3I</v>
      </c>
      <c r="BA107" s="181"/>
      <c r="BB107" s="750"/>
      <c r="BC107" s="756"/>
      <c r="BD107" s="750"/>
      <c r="BE107" s="756"/>
      <c r="BF107" s="750" t="str">
        <f t="shared" ca="1" si="316"/>
        <v>B</v>
      </c>
      <c r="BG107" s="750">
        <f t="shared" ca="1" si="317"/>
        <v>1</v>
      </c>
      <c r="BH107" s="750"/>
      <c r="BI107" s="750">
        <v>5</v>
      </c>
      <c r="BJ107" s="750" t="str">
        <f t="shared" ca="1" si="318"/>
        <v>I</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México-Ecuador</v>
      </c>
      <c r="DU107" s="750"/>
      <c r="DV107" s="750"/>
      <c r="DW107" s="11"/>
    </row>
    <row r="108" spans="1:127" ht="16" customHeight="1" x14ac:dyDescent="0.2">
      <c r="A108" s="750" t="s">
        <v>682</v>
      </c>
      <c r="B108" s="750" t="s">
        <v>725</v>
      </c>
      <c r="C108" s="751"/>
      <c r="D108" s="759" t="str">
        <f t="shared" ca="1" si="302"/>
        <v>Inglaterra</v>
      </c>
      <c r="E108" s="751" t="s">
        <v>238</v>
      </c>
      <c r="F108" s="751" t="s">
        <v>721</v>
      </c>
      <c r="G108" s="760" t="s">
        <v>437</v>
      </c>
      <c r="H108" s="761">
        <f t="shared" ca="1" si="303"/>
        <v>12</v>
      </c>
      <c r="I108" s="756"/>
      <c r="J108" s="750">
        <v>80</v>
      </c>
      <c r="K108" s="750">
        <v>46204.75</v>
      </c>
      <c r="L108" s="750" t="s">
        <v>692</v>
      </c>
      <c r="M108" s="750" t="str">
        <f t="shared" ca="1" si="304"/>
        <v>Inglaterra</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50"/>
      <c r="P108" s="750"/>
      <c r="Q108" s="750"/>
      <c r="R108" s="750"/>
      <c r="S108" s="750"/>
      <c r="T108" s="750"/>
      <c r="U108" s="750"/>
      <c r="V108" s="178"/>
      <c r="W108" s="841"/>
      <c r="X108" s="195">
        <f ca="1">Horarios!C108</f>
        <v>46204.75</v>
      </c>
      <c r="Y108" s="196">
        <f ca="1">Horarios!C108</f>
        <v>46204.75</v>
      </c>
      <c r="Z108" s="282">
        <f t="shared" si="309"/>
        <v>80</v>
      </c>
      <c r="AA108" s="283" t="str">
        <f t="shared" ca="1" si="305"/>
        <v>Inglaterra</v>
      </c>
      <c r="AB108" s="284"/>
      <c r="AC108" s="287">
        <v>2</v>
      </c>
      <c r="AD108" s="287">
        <v>1</v>
      </c>
      <c r="AE108" s="284"/>
      <c r="AF108" s="286" t="str">
        <f t="shared" ca="1" si="306"/>
        <v>RD Congo</v>
      </c>
      <c r="AG108" s="425">
        <f t="shared" ca="1" si="307"/>
        <v>1</v>
      </c>
      <c r="AH108" s="202">
        <v>80</v>
      </c>
      <c r="AI108" s="223">
        <v>7</v>
      </c>
      <c r="AJ108" s="227">
        <v>7</v>
      </c>
      <c r="AK108" s="494" t="str" cm="1">
        <f t="array" aca="1" ref="AK108" ca="1">Ver_flag_visit</f>
        <v>🇵🇾</v>
      </c>
      <c r="AL108" s="295" t="str">
        <f t="shared" ca="1" si="310"/>
        <v>Paraguay</v>
      </c>
      <c r="AM108" s="296">
        <f t="shared" ref="AM108:AT108" ca="1" si="323">+IF($H$113&gt;=48,INDEX($BE$58:$BN$69,MATCH($AL108,$BD$58:$BD$69,0),MATCH(AM$5,$BE$57:$BN$57,0)),$BB64)</f>
        <v>4</v>
      </c>
      <c r="AN108" s="297">
        <f t="shared" ca="1" si="323"/>
        <v>3</v>
      </c>
      <c r="AO108" s="297">
        <f t="shared" ca="1" si="323"/>
        <v>1</v>
      </c>
      <c r="AP108" s="297">
        <f t="shared" ca="1" si="323"/>
        <v>1</v>
      </c>
      <c r="AQ108" s="297">
        <f t="shared" ca="1" si="323"/>
        <v>1</v>
      </c>
      <c r="AR108" s="297">
        <f t="shared" ca="1" si="323"/>
        <v>2</v>
      </c>
      <c r="AS108" s="297">
        <f t="shared" ca="1" si="323"/>
        <v>4</v>
      </c>
      <c r="AT108" s="298">
        <f t="shared" ca="1" si="323"/>
        <v>-2</v>
      </c>
      <c r="AU108" s="428">
        <f t="shared" ca="1" si="312"/>
        <v>1</v>
      </c>
      <c r="AV108" s="223" t="str">
        <f t="shared" ca="1" si="313"/>
        <v>Paraguay</v>
      </c>
      <c r="AW108" s="435"/>
      <c r="AX108" s="294"/>
      <c r="AY108" s="299"/>
      <c r="AZ108" s="300" t="str">
        <f t="shared" ca="1" si="315"/>
        <v>1I - 3F</v>
      </c>
      <c r="BA108" s="181"/>
      <c r="BB108" s="750"/>
      <c r="BC108" s="750"/>
      <c r="BD108" s="750"/>
      <c r="BE108" s="756"/>
      <c r="BF108" s="750" t="str">
        <f t="shared" ca="1" si="316"/>
        <v>J</v>
      </c>
      <c r="BG108" s="750">
        <f t="shared" ca="1" si="317"/>
        <v>6</v>
      </c>
      <c r="BH108" s="750"/>
      <c r="BI108" s="750">
        <v>6</v>
      </c>
      <c r="BJ108" s="750" t="str">
        <f t="shared" ca="1" si="318"/>
        <v>J</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Inglaterra-RD Congo</v>
      </c>
      <c r="DU108" s="750"/>
      <c r="DV108" s="750"/>
      <c r="DW108" s="11"/>
    </row>
    <row r="109" spans="1:127" ht="16" customHeight="1" x14ac:dyDescent="0.2">
      <c r="A109" s="750" t="s">
        <v>658</v>
      </c>
      <c r="B109" s="750" t="s">
        <v>726</v>
      </c>
      <c r="C109" s="751"/>
      <c r="D109" s="759" t="str">
        <f t="shared" ca="1" si="302"/>
        <v>Bélgica</v>
      </c>
      <c r="E109" s="751" t="s">
        <v>73</v>
      </c>
      <c r="F109" s="751" t="s">
        <v>721</v>
      </c>
      <c r="G109" s="760" t="s">
        <v>438</v>
      </c>
      <c r="H109" s="761">
        <f t="shared" ca="1" si="303"/>
        <v>12</v>
      </c>
      <c r="I109" s="756"/>
      <c r="J109" s="750">
        <v>81</v>
      </c>
      <c r="K109" s="750">
        <v>46204.75</v>
      </c>
      <c r="L109" s="750" t="s">
        <v>693</v>
      </c>
      <c r="M109" s="750" t="str">
        <f t="shared" ca="1" si="304"/>
        <v>Estados Unidos</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50"/>
      <c r="P109" s="750"/>
      <c r="Q109" s="750"/>
      <c r="R109" s="750"/>
      <c r="S109" s="750"/>
      <c r="T109" s="750"/>
      <c r="U109" s="750"/>
      <c r="V109" s="178"/>
      <c r="W109" s="841"/>
      <c r="X109" s="195">
        <f ca="1">Horarios!C109</f>
        <v>46204.916666666664</v>
      </c>
      <c r="Y109" s="196">
        <f ca="1">Horarios!C109</f>
        <v>46204.916666666664</v>
      </c>
      <c r="Z109" s="282">
        <f t="shared" si="309"/>
        <v>82</v>
      </c>
      <c r="AA109" s="283" t="str">
        <f t="shared" ca="1" si="305"/>
        <v>Bélgica</v>
      </c>
      <c r="AB109" s="284"/>
      <c r="AC109" s="287">
        <v>3</v>
      </c>
      <c r="AD109" s="287">
        <v>2</v>
      </c>
      <c r="AE109" s="284"/>
      <c r="AF109" s="286" t="str">
        <f t="shared" ca="1" si="306"/>
        <v>Senegal</v>
      </c>
      <c r="AG109" s="425">
        <f t="shared" ca="1" si="307"/>
        <v>1</v>
      </c>
      <c r="AH109" s="202">
        <v>82</v>
      </c>
      <c r="AI109" s="223">
        <v>8</v>
      </c>
      <c r="AJ109" s="227">
        <v>8</v>
      </c>
      <c r="AK109" s="494" t="str" cm="1">
        <f t="array" aca="1" ref="AK109" ca="1">Ver_flag_visit</f>
        <v>🇸🇳</v>
      </c>
      <c r="AL109" s="295" t="str">
        <f t="shared" ca="1" si="310"/>
        <v>Senegal</v>
      </c>
      <c r="AM109" s="296">
        <f t="shared" ref="AM109:AT109" ca="1" si="324">+IF($H$113&gt;=48,INDEX($BE$58:$BN$69,MATCH($AL109,$BD$58:$BD$69,0),MATCH(AM$5,$BE$57:$BN$57,0)),$BB65)</f>
        <v>3</v>
      </c>
      <c r="AN109" s="297">
        <f t="shared" ca="1" si="324"/>
        <v>3</v>
      </c>
      <c r="AO109" s="297">
        <f t="shared" ca="1" si="324"/>
        <v>1</v>
      </c>
      <c r="AP109" s="297">
        <f t="shared" ca="1" si="324"/>
        <v>0</v>
      </c>
      <c r="AQ109" s="297">
        <f t="shared" ca="1" si="324"/>
        <v>2</v>
      </c>
      <c r="AR109" s="297">
        <f t="shared" ca="1" si="324"/>
        <v>8</v>
      </c>
      <c r="AS109" s="297">
        <f t="shared" ca="1" si="324"/>
        <v>6</v>
      </c>
      <c r="AT109" s="298">
        <f t="shared" ca="1" si="324"/>
        <v>2</v>
      </c>
      <c r="AU109" s="428">
        <f t="shared" ca="1" si="312"/>
        <v>1</v>
      </c>
      <c r="AV109" s="223" t="str">
        <f t="shared" ca="1" si="313"/>
        <v>Senegal</v>
      </c>
      <c r="AW109" s="435"/>
      <c r="AX109" s="294"/>
      <c r="AY109" s="299"/>
      <c r="AZ109" s="300" t="str">
        <f t="shared" ca="1" si="315"/>
        <v>1K - 3L</v>
      </c>
      <c r="BA109" s="181"/>
      <c r="BB109" s="750"/>
      <c r="BC109" s="750"/>
      <c r="BD109" s="750"/>
      <c r="BE109" s="756"/>
      <c r="BF109" s="750" t="str">
        <f t="shared" ca="1" si="316"/>
        <v>D</v>
      </c>
      <c r="BG109" s="750">
        <f t="shared" ca="1" si="317"/>
        <v>2</v>
      </c>
      <c r="BH109" s="750"/>
      <c r="BI109" s="750">
        <v>7</v>
      </c>
      <c r="BJ109" s="750" t="str">
        <f t="shared" ca="1" si="318"/>
        <v>K</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Bélgica-Senegal</v>
      </c>
      <c r="DU109" s="750"/>
      <c r="DV109" s="750"/>
      <c r="DW109" s="11"/>
    </row>
    <row r="110" spans="1:127" ht="16" customHeight="1" x14ac:dyDescent="0.2">
      <c r="A110" s="750" t="s">
        <v>667</v>
      </c>
      <c r="B110" s="750" t="s">
        <v>727</v>
      </c>
      <c r="C110" s="751"/>
      <c r="D110" s="759" t="str">
        <f t="shared" ca="1" si="302"/>
        <v>Estados Unidos</v>
      </c>
      <c r="E110" s="751" t="s">
        <v>6</v>
      </c>
      <c r="F110" s="751" t="s">
        <v>721</v>
      </c>
      <c r="G110" s="760" t="s">
        <v>5</v>
      </c>
      <c r="H110" s="761">
        <f t="shared" ca="1" si="303"/>
        <v>12</v>
      </c>
      <c r="I110" s="756"/>
      <c r="J110" s="750">
        <v>82</v>
      </c>
      <c r="K110" s="750">
        <v>46204.75</v>
      </c>
      <c r="L110" s="750" t="s">
        <v>694</v>
      </c>
      <c r="M110" s="750" t="str">
        <f t="shared" ca="1" si="304"/>
        <v>Bélgica</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50"/>
      <c r="P110" s="750"/>
      <c r="Q110" s="750"/>
      <c r="R110" s="750"/>
      <c r="S110" s="750"/>
      <c r="T110" s="750"/>
      <c r="U110" s="750"/>
      <c r="V110" s="178"/>
      <c r="W110" s="841"/>
      <c r="X110" s="195">
        <f ca="1">Horarios!C110</f>
        <v>46205.083333333336</v>
      </c>
      <c r="Y110" s="196">
        <f ca="1">Horarios!C110</f>
        <v>46205.083333333336</v>
      </c>
      <c r="Z110" s="282">
        <f t="shared" si="309"/>
        <v>81</v>
      </c>
      <c r="AA110" s="283" t="str">
        <f t="shared" ca="1" si="305"/>
        <v>Estados Unidos</v>
      </c>
      <c r="AB110" s="284"/>
      <c r="AC110" s="287">
        <v>2</v>
      </c>
      <c r="AD110" s="287">
        <v>0</v>
      </c>
      <c r="AE110" s="284"/>
      <c r="AF110" s="286" t="str">
        <f t="shared" ca="1" si="306"/>
        <v>Bosnia y Herzegovina</v>
      </c>
      <c r="AG110" s="425">
        <f t="shared" ca="1" si="307"/>
        <v>1</v>
      </c>
      <c r="AH110" s="202">
        <v>81</v>
      </c>
      <c r="AI110" s="223">
        <v>9</v>
      </c>
      <c r="AJ110" s="227">
        <v>9</v>
      </c>
      <c r="AK110" s="494" t="str" cm="1">
        <f t="array" aca="1" ref="AK110" ca="1">Ver_flag_visit</f>
        <v>🇮🇷</v>
      </c>
      <c r="AL110" s="295" t="str">
        <f t="shared" ca="1" si="310"/>
        <v>Irán</v>
      </c>
      <c r="AM110" s="296">
        <f t="shared" ref="AM110:AT110" ca="1" si="325">+IF($H$113&gt;=48,INDEX($BE$58:$BN$69,MATCH($AL110,$BD$58:$BD$69,0),MATCH(AM$5,$BE$57:$BN$57,0)),$BB66)</f>
        <v>3</v>
      </c>
      <c r="AN110" s="297">
        <f t="shared" ca="1" si="325"/>
        <v>3</v>
      </c>
      <c r="AO110" s="297">
        <f t="shared" ca="1" si="325"/>
        <v>0</v>
      </c>
      <c r="AP110" s="297">
        <f t="shared" ca="1" si="325"/>
        <v>3</v>
      </c>
      <c r="AQ110" s="297">
        <f t="shared" ca="1" si="325"/>
        <v>0</v>
      </c>
      <c r="AR110" s="297">
        <f t="shared" ca="1" si="325"/>
        <v>3</v>
      </c>
      <c r="AS110" s="297">
        <f t="shared" ca="1" si="325"/>
        <v>3</v>
      </c>
      <c r="AT110" s="298">
        <f t="shared" ca="1" si="325"/>
        <v>0</v>
      </c>
      <c r="AU110" s="428">
        <f t="shared" ca="1" si="312"/>
        <v>1</v>
      </c>
      <c r="AV110" s="223" t="str">
        <f t="shared" ca="1" si="313"/>
        <v>Irán</v>
      </c>
      <c r="AW110" s="435"/>
      <c r="AX110" s="294"/>
      <c r="AY110" s="299"/>
      <c r="AZ110" s="300" t="str">
        <f t="shared" ca="1" si="315"/>
        <v>1L - 3K</v>
      </c>
      <c r="BA110" s="181"/>
      <c r="BB110" s="750"/>
      <c r="BC110" s="750"/>
      <c r="BD110" s="750"/>
      <c r="BE110" s="756"/>
      <c r="BF110" s="750" t="str">
        <f t="shared" ca="1" si="316"/>
        <v>I</v>
      </c>
      <c r="BG110" s="750">
        <f t="shared" ca="1" si="317"/>
        <v>5</v>
      </c>
      <c r="BH110" s="750"/>
      <c r="BI110" s="756">
        <v>8</v>
      </c>
      <c r="BJ110" s="750" t="str">
        <f t="shared" ca="1" si="318"/>
        <v>L</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Estados Unidos-Bosnia y Herzegovina</v>
      </c>
      <c r="DU110" s="750"/>
      <c r="DV110" s="750"/>
      <c r="DW110" s="11"/>
    </row>
    <row r="111" spans="1:127" ht="16" customHeight="1" x14ac:dyDescent="0.2">
      <c r="A111" s="750" t="s">
        <v>680</v>
      </c>
      <c r="B111" s="750" t="s">
        <v>683</v>
      </c>
      <c r="C111" s="751"/>
      <c r="D111" s="759" t="str">
        <f t="shared" ca="1" si="302"/>
        <v>España</v>
      </c>
      <c r="E111" s="751" t="s">
        <v>439</v>
      </c>
      <c r="F111" s="751" t="s">
        <v>238</v>
      </c>
      <c r="G111" s="760" t="s">
        <v>439</v>
      </c>
      <c r="H111" s="761">
        <f t="shared" ca="1" si="303"/>
        <v>12</v>
      </c>
      <c r="I111" s="756"/>
      <c r="J111" s="750">
        <v>83</v>
      </c>
      <c r="K111" s="750">
        <v>46205.75</v>
      </c>
      <c r="L111" s="750" t="s">
        <v>695</v>
      </c>
      <c r="M111" s="750" t="str">
        <f t="shared" ca="1" si="304"/>
        <v>Portugal</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50"/>
      <c r="P111" s="750"/>
      <c r="Q111" s="750"/>
      <c r="R111" s="750"/>
      <c r="S111" s="750"/>
      <c r="T111" s="750"/>
      <c r="U111" s="750"/>
      <c r="V111" s="178"/>
      <c r="W111" s="841"/>
      <c r="X111" s="195">
        <f ca="1">Horarios!C111</f>
        <v>46205.875</v>
      </c>
      <c r="Y111" s="196">
        <f ca="1">Horarios!C111</f>
        <v>46205.875</v>
      </c>
      <c r="Z111" s="282">
        <f t="shared" si="309"/>
        <v>84</v>
      </c>
      <c r="AA111" s="283" t="str">
        <f t="shared" ca="1" si="305"/>
        <v>España</v>
      </c>
      <c r="AB111" s="284"/>
      <c r="AC111" s="287">
        <v>3</v>
      </c>
      <c r="AD111" s="287">
        <v>0</v>
      </c>
      <c r="AE111" s="284"/>
      <c r="AF111" s="286" t="str">
        <f t="shared" ca="1" si="306"/>
        <v>Austria</v>
      </c>
      <c r="AG111" s="425">
        <f t="shared" ca="1" si="307"/>
        <v>1</v>
      </c>
      <c r="AH111" s="202">
        <v>84</v>
      </c>
      <c r="AI111" s="223">
        <v>10</v>
      </c>
      <c r="AJ111" s="227">
        <v>10</v>
      </c>
      <c r="AK111" s="494" t="str" cm="1">
        <f t="array" aca="1" ref="AK111" ca="1">Ver_flag_visit</f>
        <v>🇰🇷</v>
      </c>
      <c r="AL111" s="295" t="str">
        <f t="shared" ca="1" si="310"/>
        <v>Corea del Sur</v>
      </c>
      <c r="AM111" s="296">
        <f t="shared" ref="AM111:AT111" ca="1" si="326">+IF($H$113&gt;=48,INDEX($BE$58:$BN$69,MATCH($AL111,$BD$58:$BD$69,0),MATCH(AM$5,$BE$57:$BN$57,0)),$BB67)</f>
        <v>3</v>
      </c>
      <c r="AN111" s="297">
        <f t="shared" ca="1" si="326"/>
        <v>3</v>
      </c>
      <c r="AO111" s="297">
        <f t="shared" ca="1" si="326"/>
        <v>1</v>
      </c>
      <c r="AP111" s="297">
        <f t="shared" ca="1" si="326"/>
        <v>0</v>
      </c>
      <c r="AQ111" s="297">
        <f t="shared" ca="1" si="326"/>
        <v>2</v>
      </c>
      <c r="AR111" s="297">
        <f t="shared" ca="1" si="326"/>
        <v>2</v>
      </c>
      <c r="AS111" s="297">
        <f t="shared" ca="1" si="326"/>
        <v>3</v>
      </c>
      <c r="AT111" s="298">
        <f t="shared" ca="1" si="326"/>
        <v>-1</v>
      </c>
      <c r="AU111" s="428">
        <f t="shared" ca="1" si="312"/>
        <v>1</v>
      </c>
      <c r="AV111" s="223" t="str">
        <f t="shared" ca="1" si="313"/>
        <v>Corea del Sur</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España-Austria</v>
      </c>
      <c r="DU111" s="750"/>
      <c r="DV111" s="750"/>
      <c r="DW111" s="11"/>
    </row>
    <row r="112" spans="1:127" ht="16" customHeight="1" x14ac:dyDescent="0.2">
      <c r="A112" s="750" t="s">
        <v>670</v>
      </c>
      <c r="B112" s="750" t="s">
        <v>677</v>
      </c>
      <c r="C112" s="751"/>
      <c r="D112" s="759" t="str">
        <f t="shared" ca="1" si="302"/>
        <v>Portugal</v>
      </c>
      <c r="E112" s="751" t="s">
        <v>437</v>
      </c>
      <c r="F112" s="751" t="s">
        <v>5</v>
      </c>
      <c r="G112" s="760" t="s">
        <v>238</v>
      </c>
      <c r="H112" s="761">
        <f t="shared" ca="1" si="303"/>
        <v>12</v>
      </c>
      <c r="I112" s="756"/>
      <c r="J112" s="750">
        <v>84</v>
      </c>
      <c r="K112" s="750">
        <v>46205.75</v>
      </c>
      <c r="L112" s="750" t="s">
        <v>696</v>
      </c>
      <c r="M112" s="750" t="str">
        <f t="shared" ca="1" si="304"/>
        <v>España</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50"/>
      <c r="P112" s="750"/>
      <c r="Q112" s="750"/>
      <c r="R112" s="750"/>
      <c r="S112" s="750"/>
      <c r="T112" s="750"/>
      <c r="U112" s="750"/>
      <c r="V112" s="178"/>
      <c r="W112" s="841"/>
      <c r="X112" s="195">
        <f ca="1">Horarios!C112</f>
        <v>46206.041666666664</v>
      </c>
      <c r="Y112" s="196">
        <f ca="1">Horarios!C112</f>
        <v>46206.041666666664</v>
      </c>
      <c r="Z112" s="282">
        <f t="shared" si="309"/>
        <v>83</v>
      </c>
      <c r="AA112" s="283" t="str">
        <f t="shared" ca="1" si="305"/>
        <v>Portugal</v>
      </c>
      <c r="AB112" s="284"/>
      <c r="AC112" s="287">
        <v>2</v>
      </c>
      <c r="AD112" s="287">
        <v>1</v>
      </c>
      <c r="AE112" s="284"/>
      <c r="AF112" s="286" t="str">
        <f t="shared" ca="1" si="306"/>
        <v>Croacia</v>
      </c>
      <c r="AG112" s="425">
        <f t="shared" ca="1" si="307"/>
        <v>1</v>
      </c>
      <c r="AH112" s="202">
        <v>83</v>
      </c>
      <c r="AI112" s="223">
        <v>11</v>
      </c>
      <c r="AJ112" s="227">
        <v>11</v>
      </c>
      <c r="AK112" s="494" t="str" cm="1">
        <f t="array" aca="1" ref="AK112" ca="1">Ver_flag_visit</f>
        <v>🏴󠁧󠁢󠁳󠁣󠁴󠁿</v>
      </c>
      <c r="AL112" s="295" t="str">
        <f t="shared" ca="1" si="310"/>
        <v>Escocia</v>
      </c>
      <c r="AM112" s="296">
        <f t="shared" ref="AM112:AT112" ca="1" si="327">+IF($H$113&gt;=48,INDEX($BE$58:$BN$69,MATCH($AL112,$BD$58:$BD$69,0),MATCH(AM$5,$BE$57:$BN$57,0)),$BB68)</f>
        <v>3</v>
      </c>
      <c r="AN112" s="297">
        <f t="shared" ca="1" si="327"/>
        <v>3</v>
      </c>
      <c r="AO112" s="297">
        <f t="shared" ca="1" si="327"/>
        <v>1</v>
      </c>
      <c r="AP112" s="297">
        <f t="shared" ca="1" si="327"/>
        <v>0</v>
      </c>
      <c r="AQ112" s="297">
        <f t="shared" ca="1" si="327"/>
        <v>2</v>
      </c>
      <c r="AR112" s="297">
        <f t="shared" ca="1" si="327"/>
        <v>1</v>
      </c>
      <c r="AS112" s="297">
        <f t="shared" ca="1" si="327"/>
        <v>4</v>
      </c>
      <c r="AT112" s="298">
        <f t="shared" ca="1" si="327"/>
        <v>-3</v>
      </c>
      <c r="AU112" s="428">
        <f t="shared" ca="1" si="312"/>
        <v>1</v>
      </c>
      <c r="AV112" s="223" t="str">
        <f t="shared" ca="1" si="313"/>
        <v>Escocia</v>
      </c>
      <c r="AW112" s="435"/>
      <c r="AX112" s="294"/>
      <c r="AY112" s="301"/>
      <c r="AZ112" s="301"/>
      <c r="BA112" s="181"/>
      <c r="BB112" s="750"/>
      <c r="BC112" s="750"/>
      <c r="BD112" s="758"/>
      <c r="BE112" s="750"/>
      <c r="BF112" s="750"/>
      <c r="BG112" s="750"/>
      <c r="BH112" s="750"/>
      <c r="BI112" s="750" t="str">
        <f ca="1">IFERROR(CONCATENATE(BJ103,BJ104,BJ105,BJ106,BJ107,BJ108,BJ109,BJ110),"¿A/B/C/D/E/F/G/H/I/J/K/L?")</f>
        <v>BDEFIJKL</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Portugal-Croacia</v>
      </c>
      <c r="DU112" s="750"/>
      <c r="DV112" s="750"/>
      <c r="DW112" s="11"/>
    </row>
    <row r="113" spans="1:127" ht="16" customHeight="1" thickBot="1" x14ac:dyDescent="0.25">
      <c r="A113" s="750" t="s">
        <v>648</v>
      </c>
      <c r="B113" s="750" t="s">
        <v>728</v>
      </c>
      <c r="C113" s="751"/>
      <c r="D113" s="759" t="str">
        <f t="shared" ca="1" si="302"/>
        <v>Suiza</v>
      </c>
      <c r="E113" s="751" t="s">
        <v>1</v>
      </c>
      <c r="F113" s="751" t="s">
        <v>721</v>
      </c>
      <c r="G113" s="760" t="s">
        <v>721</v>
      </c>
      <c r="H113" s="761">
        <f ca="1">+IF(AJ99&lt;&gt;144,SUM(H101:H112),AJ99)</f>
        <v>144</v>
      </c>
      <c r="I113" s="756"/>
      <c r="J113" s="750">
        <v>85</v>
      </c>
      <c r="K113" s="750">
        <v>46205.75</v>
      </c>
      <c r="L113" s="750" t="s">
        <v>697</v>
      </c>
      <c r="M113" s="750" t="str">
        <f t="shared" ca="1" si="304"/>
        <v>Suiza</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50"/>
      <c r="P113" s="750"/>
      <c r="Q113" s="750"/>
      <c r="R113" s="750"/>
      <c r="S113" s="750"/>
      <c r="T113" s="750"/>
      <c r="U113" s="750"/>
      <c r="V113" s="178"/>
      <c r="W113" s="841"/>
      <c r="X113" s="195">
        <f ca="1">Horarios!C113</f>
        <v>46206.208333333336</v>
      </c>
      <c r="Y113" s="196">
        <f ca="1">Horarios!C113</f>
        <v>46206.208333333336</v>
      </c>
      <c r="Z113" s="282">
        <f t="shared" si="309"/>
        <v>85</v>
      </c>
      <c r="AA113" s="283" t="str">
        <f t="shared" ca="1" si="305"/>
        <v>Suiza</v>
      </c>
      <c r="AB113" s="284"/>
      <c r="AC113" s="287">
        <v>2</v>
      </c>
      <c r="AD113" s="287">
        <v>0</v>
      </c>
      <c r="AE113" s="285"/>
      <c r="AF113" s="286" t="str">
        <f t="shared" ca="1" si="306"/>
        <v>Argelia</v>
      </c>
      <c r="AG113" s="425">
        <f t="shared" ca="1" si="307"/>
        <v>1</v>
      </c>
      <c r="AH113" s="202">
        <v>85</v>
      </c>
      <c r="AI113" s="223">
        <v>12</v>
      </c>
      <c r="AJ113" s="241">
        <v>12</v>
      </c>
      <c r="AK113" s="495" t="str" cm="1">
        <f t="array" aca="1" ref="AK113" ca="1">Ver_flag_visit</f>
        <v>🇺🇾</v>
      </c>
      <c r="AL113" s="242" t="str">
        <f t="shared" ca="1" si="310"/>
        <v>Uruguay</v>
      </c>
      <c r="AM113" s="243">
        <f t="shared" ref="AM113:AT113" ca="1" si="328">+IF($H$113&gt;=48,INDEX($BE$58:$BN$69,MATCH($AL113,$BD$58:$BD$69,0),MATCH(AM$5,$BE$57:$BN$57,0)),$BB69)</f>
        <v>2</v>
      </c>
      <c r="AN113" s="244">
        <f t="shared" ca="1" si="328"/>
        <v>3</v>
      </c>
      <c r="AO113" s="244">
        <f t="shared" ca="1" si="328"/>
        <v>0</v>
      </c>
      <c r="AP113" s="244">
        <f t="shared" ca="1" si="328"/>
        <v>2</v>
      </c>
      <c r="AQ113" s="244">
        <f t="shared" ca="1" si="328"/>
        <v>1</v>
      </c>
      <c r="AR113" s="244">
        <f t="shared" ca="1" si="328"/>
        <v>3</v>
      </c>
      <c r="AS113" s="244">
        <f t="shared" ca="1" si="328"/>
        <v>4</v>
      </c>
      <c r="AT113" s="245">
        <f t="shared" ca="1" si="328"/>
        <v>-1</v>
      </c>
      <c r="AU113" s="428">
        <f t="shared" ca="1" si="312"/>
        <v>1</v>
      </c>
      <c r="AV113" s="223" t="str">
        <f t="shared" ca="1" si="313"/>
        <v>Uruguay</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Suiza-Argelia</v>
      </c>
      <c r="DU113" s="750"/>
      <c r="DV113" s="750"/>
      <c r="DW113" s="11"/>
    </row>
    <row r="114" spans="1:127" ht="16" customHeight="1" x14ac:dyDescent="0.2">
      <c r="A114" s="750" t="s">
        <v>676</v>
      </c>
      <c r="B114" s="750" t="s">
        <v>671</v>
      </c>
      <c r="C114" s="751"/>
      <c r="D114" s="759" t="str">
        <f t="shared" ca="1" si="302"/>
        <v>Egipto</v>
      </c>
      <c r="E114" s="751" t="s">
        <v>5</v>
      </c>
      <c r="F114" s="751" t="s">
        <v>437</v>
      </c>
      <c r="G114" s="756"/>
      <c r="H114" s="756"/>
      <c r="I114" s="756"/>
      <c r="J114" s="750">
        <v>86</v>
      </c>
      <c r="K114" s="750">
        <v>46206.75</v>
      </c>
      <c r="L114" s="750" t="s">
        <v>698</v>
      </c>
      <c r="M114" s="750" t="str">
        <f t="shared" ca="1" si="304"/>
        <v>Argentina</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50"/>
      <c r="P114" s="750"/>
      <c r="Q114" s="750"/>
      <c r="R114" s="750"/>
      <c r="S114" s="750"/>
      <c r="T114" s="750"/>
      <c r="U114" s="750"/>
      <c r="V114" s="178"/>
      <c r="W114" s="841"/>
      <c r="X114" s="195">
        <f ca="1">Horarios!C114</f>
        <v>46206.833333333336</v>
      </c>
      <c r="Y114" s="196">
        <f ca="1">Horarios!C114</f>
        <v>46206.833333333336</v>
      </c>
      <c r="Z114" s="282">
        <f t="shared" si="309"/>
        <v>88</v>
      </c>
      <c r="AA114" s="283" t="str">
        <f t="shared" ca="1" si="305"/>
        <v>Australia</v>
      </c>
      <c r="AB114" s="284">
        <v>2</v>
      </c>
      <c r="AC114" s="287">
        <v>1</v>
      </c>
      <c r="AD114" s="287">
        <v>1</v>
      </c>
      <c r="AE114" s="284">
        <v>4</v>
      </c>
      <c r="AF114" s="286" t="str">
        <f t="shared" ca="1" si="306"/>
        <v>Egipto</v>
      </c>
      <c r="AG114" s="425">
        <f t="shared" ca="1" si="307"/>
        <v>1</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Australia-Egipto</v>
      </c>
      <c r="DU114" s="756"/>
      <c r="DV114" s="756"/>
      <c r="DW114" s="8"/>
    </row>
    <row r="115" spans="1:127" ht="16" customHeight="1" x14ac:dyDescent="0.2">
      <c r="A115" s="750" t="s">
        <v>679</v>
      </c>
      <c r="B115" s="750" t="s">
        <v>729</v>
      </c>
      <c r="C115" s="751"/>
      <c r="D115" s="759" t="str">
        <f t="shared" ca="1" si="302"/>
        <v>Argentina</v>
      </c>
      <c r="E115" s="751" t="s">
        <v>439</v>
      </c>
      <c r="F115" s="751" t="s">
        <v>721</v>
      </c>
      <c r="G115" s="756"/>
      <c r="H115" s="756"/>
      <c r="I115" s="756"/>
      <c r="J115" s="750">
        <v>87</v>
      </c>
      <c r="K115" s="750">
        <v>46206.75</v>
      </c>
      <c r="L115" s="750" t="s">
        <v>699</v>
      </c>
      <c r="M115" s="750" t="str">
        <f t="shared" ca="1" si="304"/>
        <v>Colombia</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50"/>
      <c r="P115" s="750"/>
      <c r="Q115" s="750"/>
      <c r="R115" s="750"/>
      <c r="S115" s="750"/>
      <c r="T115" s="750"/>
      <c r="U115" s="750"/>
      <c r="V115" s="178"/>
      <c r="W115" s="841"/>
      <c r="X115" s="195">
        <f ca="1">Horarios!C115</f>
        <v>46207</v>
      </c>
      <c r="Y115" s="196">
        <f ca="1">Horarios!C115</f>
        <v>46207</v>
      </c>
      <c r="Z115" s="282">
        <f t="shared" si="309"/>
        <v>86</v>
      </c>
      <c r="AA115" s="283" t="str">
        <f t="shared" ca="1" si="305"/>
        <v>Argentina</v>
      </c>
      <c r="AB115" s="284"/>
      <c r="AC115" s="287">
        <v>3</v>
      </c>
      <c r="AD115" s="287">
        <v>2</v>
      </c>
      <c r="AE115" s="284"/>
      <c r="AF115" s="286" t="str">
        <f t="shared" ca="1" si="306"/>
        <v>Cabo Verde</v>
      </c>
      <c r="AG115" s="425">
        <f t="shared" ca="1" si="307"/>
        <v>1</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Argentina-Cabo Verde</v>
      </c>
      <c r="DU115" s="756"/>
      <c r="DV115" s="756"/>
      <c r="DW115" s="8"/>
    </row>
    <row r="116" spans="1:127" ht="16" customHeight="1" thickBot="1" x14ac:dyDescent="0.25">
      <c r="A116" s="750" t="s">
        <v>659</v>
      </c>
      <c r="B116" s="750" t="s">
        <v>668</v>
      </c>
      <c r="C116" s="751"/>
      <c r="D116" s="759" t="str">
        <f t="shared" ca="1" si="302"/>
        <v>Colombia</v>
      </c>
      <c r="E116" s="751" t="s">
        <v>73</v>
      </c>
      <c r="F116" s="751" t="s">
        <v>6</v>
      </c>
      <c r="G116" s="756"/>
      <c r="H116" s="756"/>
      <c r="I116" s="756"/>
      <c r="J116" s="750">
        <v>88</v>
      </c>
      <c r="K116" s="750">
        <v>46206.75</v>
      </c>
      <c r="L116" s="750" t="s">
        <v>700</v>
      </c>
      <c r="M116" s="750" t="str">
        <f t="shared" ca="1" si="304"/>
        <v>Australia</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50"/>
      <c r="P116" s="750"/>
      <c r="Q116" s="750"/>
      <c r="R116" s="750"/>
      <c r="S116" s="750"/>
      <c r="T116" s="750"/>
      <c r="U116" s="750"/>
      <c r="V116" s="178"/>
      <c r="W116" s="842"/>
      <c r="X116" s="234">
        <f ca="1">Horarios!C116</f>
        <v>46207.145833333336</v>
      </c>
      <c r="Y116" s="235">
        <f ca="1">Horarios!C116</f>
        <v>46207.145833333336</v>
      </c>
      <c r="Z116" s="305">
        <f t="shared" si="309"/>
        <v>87</v>
      </c>
      <c r="AA116" s="306" t="str">
        <f t="shared" ca="1" si="305"/>
        <v>Colombia</v>
      </c>
      <c r="AB116" s="307"/>
      <c r="AC116" s="308">
        <v>1</v>
      </c>
      <c r="AD116" s="308">
        <v>0</v>
      </c>
      <c r="AE116" s="307"/>
      <c r="AF116" s="309" t="str">
        <f t="shared" ca="1" si="306"/>
        <v>Ghana</v>
      </c>
      <c r="AG116" s="425">
        <f t="shared" ca="1" si="307"/>
        <v>1</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Colombia-Ghana</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str">
        <f ca="1">+INDEX(Combinaciones3!$P$2:$W$496,MATCH(1,Combinaciones3!$B$2:$B$497,0),MATCH(WORLDCUP!BF117,Combinaciones3!$P$1:$W$1,0))</f>
        <v>3E</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str">
        <f ca="1">+INDEX(Combinaciones3!$P$2:$W$496,MATCH(1,Combinaciones3!$B$2:$B$497,0),MATCH(WORLDCUP!BF118,Combinaciones3!$P$1:$W$1,0))</f>
        <v>3J</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str">
        <f ca="1">+INDEX(Combinaciones3!$P$2:$W$496,MATCH(1,Combinaciones3!$B$2:$B$497,0),MATCH(WORLDCUP!BF119,Combinaciones3!$P$1:$W$1,0))</f>
        <v>3B</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ca="1" si="329">IF(AND(OR(AC120="",AD120="")),"W"&amp;AH120,IF(AC120&gt;AD120,AA120,IF(AC120&lt;AD120,AF120,IF(AND(AC120=AD120,AB120=AE120),"W"&amp;AH120,IF(AND(AC120=AD120,OR(AB120="",AE120="")),"W"&amp;AH120,IF(AND(AC120=AD120,AB120&gt;AE120),AA120,AF120))))))</f>
        <v>Marruecos</v>
      </c>
      <c r="E120" s="756">
        <v>74</v>
      </c>
      <c r="F120" s="756">
        <v>77</v>
      </c>
      <c r="G120" s="756"/>
      <c r="H120" s="756"/>
      <c r="I120" s="756"/>
      <c r="J120" s="750">
        <v>89</v>
      </c>
      <c r="K120" s="750">
        <v>46207.75</v>
      </c>
      <c r="L120" s="750" t="s">
        <v>701</v>
      </c>
      <c r="M120" s="756" t="str">
        <f t="shared" ref="M120:N127" ca="1" si="330">+INDEX($D$101:$D$147,MATCH(E120,$AH$101:$AH$147,0))</f>
        <v>Paraguay</v>
      </c>
      <c r="N120" s="756" t="str">
        <f t="shared" ca="1" si="330"/>
        <v>Francia</v>
      </c>
      <c r="O120" s="756"/>
      <c r="P120" s="756"/>
      <c r="Q120" s="756"/>
      <c r="R120" s="756"/>
      <c r="S120" s="756"/>
      <c r="T120" s="756"/>
      <c r="U120" s="756"/>
      <c r="V120" s="178"/>
      <c r="W120" s="843" t="s">
        <v>88</v>
      </c>
      <c r="X120" s="195">
        <f ca="1">Horarios!C120</f>
        <v>46207.791666666664</v>
      </c>
      <c r="Y120" s="196">
        <f ca="1">Horarios!C120</f>
        <v>46207.791666666664</v>
      </c>
      <c r="Z120" s="282">
        <f t="shared" ref="Z120:Z127" si="331">AH120</f>
        <v>90</v>
      </c>
      <c r="AA120" s="283" t="str">
        <f t="shared" ref="AA120:AA127" ca="1" si="332">+INDEX($M$101:$M$147,MATCH(AH120,$J$101:$J$147,0))</f>
        <v>Canadá</v>
      </c>
      <c r="AB120" s="284"/>
      <c r="AC120" s="311">
        <v>0</v>
      </c>
      <c r="AD120" s="311">
        <v>3</v>
      </c>
      <c r="AE120" s="284"/>
      <c r="AF120" s="286" t="str">
        <f t="shared" ref="AF120:AF127" ca="1" si="333">+INDEX($N$101:$N$147,MATCH(AH120,$J$101:$J$147,0))</f>
        <v>Marruecos</v>
      </c>
      <c r="AG120" s="425">
        <f t="shared" ref="AG120:AG127" ca="1" si="334">IF(D120="W"&amp;AH120,0,1)</f>
        <v>1</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str">
        <f ca="1">+INDEX(Combinaciones3!$P$2:$W$496,MATCH(1,Combinaciones3!$B$2:$B$497,0),MATCH(WORLDCUP!BF120,Combinaciones3!$P$1:$W$1,0))</f>
        <v>3D</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ca="1" si="242"/>
        <v>Canadá-Marruecos</v>
      </c>
      <c r="DU120" s="756"/>
      <c r="DV120" s="756"/>
      <c r="DW120" s="8"/>
    </row>
    <row r="121" spans="1:127" ht="16" customHeight="1" x14ac:dyDescent="0.2">
      <c r="A121" s="750" t="s">
        <v>732</v>
      </c>
      <c r="B121" s="750" t="s">
        <v>733</v>
      </c>
      <c r="C121" s="751"/>
      <c r="D121" s="759" t="str">
        <f t="shared" ca="1" si="329"/>
        <v>Francia</v>
      </c>
      <c r="E121" s="756">
        <v>73</v>
      </c>
      <c r="F121" s="756">
        <v>75</v>
      </c>
      <c r="G121" s="756"/>
      <c r="H121" s="756"/>
      <c r="I121" s="756"/>
      <c r="J121" s="750">
        <v>90</v>
      </c>
      <c r="K121" s="750">
        <v>46207.875</v>
      </c>
      <c r="L121" s="750" t="s">
        <v>702</v>
      </c>
      <c r="M121" s="756" t="str">
        <f t="shared" ca="1" si="330"/>
        <v>Canadá</v>
      </c>
      <c r="N121" s="756" t="str">
        <f t="shared" ca="1" si="330"/>
        <v>Marruecos</v>
      </c>
      <c r="O121" s="756"/>
      <c r="P121" s="756"/>
      <c r="Q121" s="756"/>
      <c r="R121" s="756"/>
      <c r="S121" s="756"/>
      <c r="T121" s="756"/>
      <c r="U121" s="756"/>
      <c r="V121" s="178"/>
      <c r="W121" s="843"/>
      <c r="X121" s="195">
        <f ca="1">Horarios!C121</f>
        <v>46207.958333333336</v>
      </c>
      <c r="Y121" s="196">
        <f ca="1">Horarios!C121</f>
        <v>46207.958333333336</v>
      </c>
      <c r="Z121" s="282">
        <f t="shared" si="331"/>
        <v>89</v>
      </c>
      <c r="AA121" s="283" t="str">
        <f t="shared" ca="1" si="332"/>
        <v>Paraguay</v>
      </c>
      <c r="AB121" s="284"/>
      <c r="AC121" s="313">
        <v>0</v>
      </c>
      <c r="AD121" s="313">
        <v>1</v>
      </c>
      <c r="AE121" s="284"/>
      <c r="AF121" s="286" t="str">
        <f t="shared" ca="1" si="333"/>
        <v>Francia</v>
      </c>
      <c r="AG121" s="425">
        <f t="shared" ca="1" si="334"/>
        <v>1</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str">
        <f ca="1">+INDEX(Combinaciones3!$P$2:$W$496,MATCH(1,Combinaciones3!$B$2:$B$497,0),MATCH(WORLDCUP!BF121,Combinaciones3!$P$1:$W$1,0))</f>
        <v>3I</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ca="1" si="242"/>
        <v>Paraguay-Francia</v>
      </c>
      <c r="DU121" s="756"/>
      <c r="DV121" s="756"/>
      <c r="DW121" s="8"/>
    </row>
    <row r="122" spans="1:127" ht="16" customHeight="1" x14ac:dyDescent="0.2">
      <c r="A122" s="750" t="s">
        <v>734</v>
      </c>
      <c r="B122" s="750" t="s">
        <v>735</v>
      </c>
      <c r="C122" s="751"/>
      <c r="D122" s="759" t="str">
        <f t="shared" ca="1" si="329"/>
        <v>Noruega</v>
      </c>
      <c r="E122" s="756">
        <v>76</v>
      </c>
      <c r="F122" s="756">
        <v>78</v>
      </c>
      <c r="G122" s="756"/>
      <c r="H122" s="756"/>
      <c r="I122" s="756"/>
      <c r="J122" s="750">
        <v>91</v>
      </c>
      <c r="K122" s="750">
        <v>46208.75</v>
      </c>
      <c r="L122" s="750" t="s">
        <v>703</v>
      </c>
      <c r="M122" s="756" t="str">
        <f t="shared" ca="1" si="330"/>
        <v>Brasil</v>
      </c>
      <c r="N122" s="756" t="str">
        <f t="shared" ca="1" si="330"/>
        <v>Noruega</v>
      </c>
      <c r="O122" s="756"/>
      <c r="P122" s="756"/>
      <c r="Q122" s="756"/>
      <c r="R122" s="756"/>
      <c r="S122" s="756"/>
      <c r="T122" s="756"/>
      <c r="U122" s="756"/>
      <c r="V122" s="178"/>
      <c r="W122" s="843"/>
      <c r="X122" s="195">
        <f ca="1">Horarios!C122</f>
        <v>46208.916666666664</v>
      </c>
      <c r="Y122" s="196">
        <f ca="1">Horarios!C122</f>
        <v>46208.916666666664</v>
      </c>
      <c r="Z122" s="282">
        <f t="shared" si="331"/>
        <v>91</v>
      </c>
      <c r="AA122" s="283" t="str">
        <f t="shared" ca="1" si="332"/>
        <v>Brasil</v>
      </c>
      <c r="AB122" s="284"/>
      <c r="AC122" s="313">
        <v>1</v>
      </c>
      <c r="AD122" s="313">
        <v>2</v>
      </c>
      <c r="AE122" s="284"/>
      <c r="AF122" s="286" t="str">
        <f t="shared" ca="1" si="333"/>
        <v>Noruega</v>
      </c>
      <c r="AG122" s="425">
        <f t="shared" ca="1" si="334"/>
        <v>1</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str">
        <f ca="1">+INDEX(Combinaciones3!$P$2:$W$496,MATCH(1,Combinaciones3!$B$2:$B$497,0),MATCH(WORLDCUP!BF122,Combinaciones3!$P$1:$W$1,0))</f>
        <v>3F</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ca="1" si="242"/>
        <v>Brasil-Noruega</v>
      </c>
      <c r="DU122" s="756"/>
      <c r="DV122" s="756"/>
      <c r="DW122" s="8"/>
    </row>
    <row r="123" spans="1:127" ht="16" customHeight="1" x14ac:dyDescent="0.2">
      <c r="A123" s="750" t="s">
        <v>736</v>
      </c>
      <c r="B123" s="750" t="s">
        <v>737</v>
      </c>
      <c r="C123" s="751"/>
      <c r="D123" s="759" t="str">
        <f t="shared" ca="1" si="329"/>
        <v>Inglaterra</v>
      </c>
      <c r="E123" s="756">
        <v>79</v>
      </c>
      <c r="F123" s="756">
        <v>80</v>
      </c>
      <c r="G123" s="756"/>
      <c r="H123" s="756"/>
      <c r="I123" s="756"/>
      <c r="J123" s="750">
        <v>92</v>
      </c>
      <c r="K123" s="750">
        <v>46208.875</v>
      </c>
      <c r="L123" s="750" t="s">
        <v>704</v>
      </c>
      <c r="M123" s="756" t="str">
        <f t="shared" ca="1" si="330"/>
        <v>México</v>
      </c>
      <c r="N123" s="756" t="str">
        <f t="shared" ca="1" si="330"/>
        <v>Inglaterra</v>
      </c>
      <c r="O123" s="756"/>
      <c r="P123" s="756"/>
      <c r="Q123" s="756"/>
      <c r="R123" s="756"/>
      <c r="S123" s="756"/>
      <c r="T123" s="756"/>
      <c r="U123" s="756"/>
      <c r="V123" s="178"/>
      <c r="W123" s="843"/>
      <c r="X123" s="195">
        <f ca="1">Horarios!C123</f>
        <v>46209.083333333336</v>
      </c>
      <c r="Y123" s="196">
        <f ca="1">Horarios!C123</f>
        <v>46209.083333333336</v>
      </c>
      <c r="Z123" s="282">
        <f t="shared" si="331"/>
        <v>92</v>
      </c>
      <c r="AA123" s="283" t="str">
        <f t="shared" ca="1" si="332"/>
        <v>México</v>
      </c>
      <c r="AB123" s="284"/>
      <c r="AC123" s="313">
        <v>2</v>
      </c>
      <c r="AD123" s="313">
        <v>3</v>
      </c>
      <c r="AE123" s="284"/>
      <c r="AF123" s="286" t="str">
        <f t="shared" ca="1" si="333"/>
        <v>Inglaterra</v>
      </c>
      <c r="AG123" s="425">
        <f t="shared" ca="1" si="334"/>
        <v>1</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str">
        <f ca="1">+INDEX(Combinaciones3!$P$2:$W$496,MATCH(1,Combinaciones3!$B$2:$B$497,0),MATCH(WORLDCUP!BF123,Combinaciones3!$P$1:$W$1,0))</f>
        <v>3L</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ca="1" si="242"/>
        <v>México-Inglaterra</v>
      </c>
      <c r="DU123" s="756"/>
      <c r="DV123" s="756"/>
      <c r="DW123" s="8"/>
    </row>
    <row r="124" spans="1:127" ht="16" customHeight="1" x14ac:dyDescent="0.2">
      <c r="A124" s="750" t="s">
        <v>738</v>
      </c>
      <c r="B124" s="750" t="s">
        <v>739</v>
      </c>
      <c r="C124" s="751"/>
      <c r="D124" s="759" t="str">
        <f t="shared" ca="1" si="329"/>
        <v>España</v>
      </c>
      <c r="E124" s="756">
        <v>83</v>
      </c>
      <c r="F124" s="756">
        <v>84</v>
      </c>
      <c r="G124" s="756"/>
      <c r="H124" s="756"/>
      <c r="I124" s="756"/>
      <c r="J124" s="750">
        <v>93</v>
      </c>
      <c r="K124" s="750">
        <v>46209.75</v>
      </c>
      <c r="L124" s="750" t="s">
        <v>705</v>
      </c>
      <c r="M124" s="756" t="str">
        <f t="shared" ca="1" si="330"/>
        <v>Portugal</v>
      </c>
      <c r="N124" s="756" t="str">
        <f t="shared" ca="1" si="330"/>
        <v>España</v>
      </c>
      <c r="O124" s="756"/>
      <c r="P124" s="756"/>
      <c r="Q124" s="756"/>
      <c r="R124" s="756"/>
      <c r="S124" s="756"/>
      <c r="T124" s="756"/>
      <c r="U124" s="756"/>
      <c r="V124" s="178"/>
      <c r="W124" s="843"/>
      <c r="X124" s="195">
        <f ca="1">Horarios!C124</f>
        <v>46209.875</v>
      </c>
      <c r="Y124" s="196">
        <f ca="1">Horarios!C124</f>
        <v>46209.875</v>
      </c>
      <c r="Z124" s="282">
        <f t="shared" si="331"/>
        <v>93</v>
      </c>
      <c r="AA124" s="283" t="str">
        <f t="shared" ca="1" si="332"/>
        <v>Portugal</v>
      </c>
      <c r="AB124" s="314"/>
      <c r="AC124" s="313">
        <v>0</v>
      </c>
      <c r="AD124" s="313">
        <v>1</v>
      </c>
      <c r="AE124" s="285"/>
      <c r="AF124" s="286" t="str">
        <f t="shared" ca="1" si="333"/>
        <v>España</v>
      </c>
      <c r="AG124" s="425">
        <f t="shared" ca="1" si="334"/>
        <v>1</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str">
        <f ca="1">+INDEX(Combinaciones3!$P$2:$W$496,MATCH(1,Combinaciones3!$B$2:$B$497,0),MATCH(WORLDCUP!BF124,Combinaciones3!$P$1:$W$1,0))</f>
        <v>3K</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ca="1" si="242"/>
        <v>Portugal-España</v>
      </c>
      <c r="DU124" s="756"/>
      <c r="DV124" s="756"/>
      <c r="DW124" s="8"/>
    </row>
    <row r="125" spans="1:127" ht="16" customHeight="1" x14ac:dyDescent="0.2">
      <c r="A125" s="750" t="s">
        <v>740</v>
      </c>
      <c r="B125" s="750" t="s">
        <v>741</v>
      </c>
      <c r="C125" s="751"/>
      <c r="D125" s="759" t="str">
        <f t="shared" ca="1" si="329"/>
        <v>Bélgica</v>
      </c>
      <c r="E125" s="756">
        <v>81</v>
      </c>
      <c r="F125" s="756">
        <v>82</v>
      </c>
      <c r="G125" s="756"/>
      <c r="H125" s="756"/>
      <c r="I125" s="756"/>
      <c r="J125" s="750">
        <v>94</v>
      </c>
      <c r="K125" s="750">
        <v>46209.875</v>
      </c>
      <c r="L125" s="750" t="s">
        <v>706</v>
      </c>
      <c r="M125" s="756" t="str">
        <f t="shared" ca="1" si="330"/>
        <v>Estados Unidos</v>
      </c>
      <c r="N125" s="756" t="str">
        <f t="shared" ca="1" si="330"/>
        <v>Bélgica</v>
      </c>
      <c r="O125" s="756"/>
      <c r="P125" s="756"/>
      <c r="Q125" s="756"/>
      <c r="R125" s="756"/>
      <c r="S125" s="756"/>
      <c r="T125" s="756"/>
      <c r="U125" s="756"/>
      <c r="V125" s="178"/>
      <c r="W125" s="843"/>
      <c r="X125" s="195">
        <f ca="1">Horarios!C125</f>
        <v>46210.083333333336</v>
      </c>
      <c r="Y125" s="196">
        <f ca="1">Horarios!C125</f>
        <v>46210.083333333336</v>
      </c>
      <c r="Z125" s="282">
        <f t="shared" si="331"/>
        <v>94</v>
      </c>
      <c r="AA125" s="283" t="str">
        <f t="shared" ca="1" si="332"/>
        <v>Estados Unidos</v>
      </c>
      <c r="AB125" s="284"/>
      <c r="AC125" s="315">
        <v>1</v>
      </c>
      <c r="AD125" s="315">
        <v>4</v>
      </c>
      <c r="AE125" s="284"/>
      <c r="AF125" s="286" t="str">
        <f t="shared" ca="1" si="333"/>
        <v>Bélgica</v>
      </c>
      <c r="AG125" s="425">
        <f t="shared" ca="1" si="334"/>
        <v>1</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ca="1" si="242"/>
        <v>Estados Unidos-Bélgica</v>
      </c>
      <c r="DU125" s="756"/>
      <c r="DV125" s="756"/>
      <c r="DW125" s="8"/>
    </row>
    <row r="126" spans="1:127" ht="16" customHeight="1" x14ac:dyDescent="0.2">
      <c r="A126" s="750" t="s">
        <v>742</v>
      </c>
      <c r="B126" s="750" t="s">
        <v>743</v>
      </c>
      <c r="C126" s="751"/>
      <c r="D126" s="759" t="str">
        <f t="shared" ca="1" si="329"/>
        <v>Egipto</v>
      </c>
      <c r="E126" s="756">
        <v>86</v>
      </c>
      <c r="F126" s="756">
        <v>88</v>
      </c>
      <c r="G126" s="756"/>
      <c r="H126" s="756"/>
      <c r="I126" s="756"/>
      <c r="J126" s="750">
        <v>95</v>
      </c>
      <c r="K126" s="750">
        <v>46210.75</v>
      </c>
      <c r="L126" s="750" t="s">
        <v>707</v>
      </c>
      <c r="M126" s="756" t="str">
        <f t="shared" ca="1" si="330"/>
        <v>Argentina</v>
      </c>
      <c r="N126" s="756" t="str">
        <f t="shared" ca="1" si="330"/>
        <v>Egipto</v>
      </c>
      <c r="O126" s="756"/>
      <c r="P126" s="756"/>
      <c r="Q126" s="756"/>
      <c r="R126" s="756"/>
      <c r="S126" s="756"/>
      <c r="T126" s="756"/>
      <c r="U126" s="756"/>
      <c r="V126" s="178"/>
      <c r="W126" s="843"/>
      <c r="X126" s="195">
        <f ca="1">Horarios!C126</f>
        <v>46210.75</v>
      </c>
      <c r="Y126" s="196">
        <f ca="1">Horarios!C126</f>
        <v>46210.75</v>
      </c>
      <c r="Z126" s="282">
        <f t="shared" si="331"/>
        <v>95</v>
      </c>
      <c r="AA126" s="283" t="str">
        <f t="shared" ca="1" si="332"/>
        <v>Argentina</v>
      </c>
      <c r="AB126" s="284"/>
      <c r="AC126" s="315">
        <v>0</v>
      </c>
      <c r="AD126" s="315">
        <v>2</v>
      </c>
      <c r="AE126" s="284"/>
      <c r="AF126" s="286" t="str">
        <f t="shared" ca="1" si="333"/>
        <v>Egipto</v>
      </c>
      <c r="AG126" s="425">
        <f t="shared" ca="1" si="334"/>
        <v>1</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ca="1" si="242"/>
        <v>Argentina-Egipto</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ca="1" si="330"/>
        <v>Suiza</v>
      </c>
      <c r="N127" s="756" t="str">
        <f t="shared" ca="1" si="330"/>
        <v>Colombia</v>
      </c>
      <c r="O127" s="756"/>
      <c r="P127" s="756"/>
      <c r="Q127" s="756"/>
      <c r="R127" s="756"/>
      <c r="S127" s="756"/>
      <c r="T127" s="756"/>
      <c r="U127" s="756"/>
      <c r="V127" s="178"/>
      <c r="W127" s="844"/>
      <c r="X127" s="234">
        <f ca="1">Horarios!C127</f>
        <v>46210.916666666664</v>
      </c>
      <c r="Y127" s="235">
        <f ca="1">Horarios!C127</f>
        <v>46210.916666666664</v>
      </c>
      <c r="Z127" s="305">
        <f t="shared" si="331"/>
        <v>96</v>
      </c>
      <c r="AA127" s="306" t="str">
        <f t="shared" ca="1" si="332"/>
        <v>Suiza</v>
      </c>
      <c r="AB127" s="307"/>
      <c r="AC127" s="316"/>
      <c r="AD127" s="316"/>
      <c r="AE127" s="307"/>
      <c r="AF127" s="309" t="str">
        <f t="shared" ca="1" si="333"/>
        <v>Colombia</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ca="1" si="242"/>
        <v>Suiza-Colombia</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ca="1" si="335">+INDEX($D$101:$D$147,MATCH(E131,$AH$101:$AH$147,0))</f>
        <v>Francia</v>
      </c>
      <c r="N131" s="756" t="str">
        <f t="shared" ca="1" si="335"/>
        <v>Marruecos</v>
      </c>
      <c r="O131" s="756"/>
      <c r="P131" s="756"/>
      <c r="Q131" s="756"/>
      <c r="R131" s="756"/>
      <c r="S131" s="756"/>
      <c r="T131" s="756"/>
      <c r="U131" s="756"/>
      <c r="V131" s="178"/>
      <c r="W131" s="845" t="s">
        <v>34</v>
      </c>
      <c r="X131" s="195">
        <f ca="1">Horarios!C131</f>
        <v>46212.916666666664</v>
      </c>
      <c r="Y131" s="196">
        <f ca="1">Horarios!C131</f>
        <v>46212.916666666664</v>
      </c>
      <c r="Z131" s="317">
        <f t="shared" ref="Z131:Z134" si="336">AH131</f>
        <v>97</v>
      </c>
      <c r="AA131" s="283" t="str">
        <f t="shared" ref="AA131:AA134" ca="1" si="337">+INDEX($M$101:$M$147,MATCH(AH131,$J$101:$J$147,0))</f>
        <v>Francia</v>
      </c>
      <c r="AB131" s="314"/>
      <c r="AC131" s="311"/>
      <c r="AD131" s="311"/>
      <c r="AE131" s="285"/>
      <c r="AF131" s="318" t="str">
        <f ca="1">+INDEX($N$101:$N$147,MATCH(AH131,$J$101:$J$147,0))</f>
        <v>Marruecos</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ca="1" si="242"/>
        <v>Francia-Marruecos</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ca="1" si="335"/>
        <v>España</v>
      </c>
      <c r="N132" s="756" t="str">
        <f t="shared" ca="1" si="335"/>
        <v>Bélgica</v>
      </c>
      <c r="O132" s="756"/>
      <c r="P132" s="756"/>
      <c r="Q132" s="756"/>
      <c r="R132" s="756"/>
      <c r="S132" s="756"/>
      <c r="T132" s="756"/>
      <c r="U132" s="756"/>
      <c r="V132" s="178"/>
      <c r="W132" s="845"/>
      <c r="X132" s="195">
        <f ca="1">Horarios!C132</f>
        <v>46213.875</v>
      </c>
      <c r="Y132" s="196">
        <f ca="1">Horarios!C132</f>
        <v>46213.875</v>
      </c>
      <c r="Z132" s="317">
        <f t="shared" si="336"/>
        <v>98</v>
      </c>
      <c r="AA132" s="283" t="str">
        <f t="shared" ca="1" si="337"/>
        <v>España</v>
      </c>
      <c r="AB132" s="284"/>
      <c r="AC132" s="315"/>
      <c r="AD132" s="315"/>
      <c r="AE132" s="284"/>
      <c r="AF132" s="318" t="str">
        <f ca="1">+INDEX($N$101:$N$147,MATCH(AH132,$J$101:$J$147,0))</f>
        <v>Bélgica</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ca="1" si="242"/>
        <v>España-Bélgica</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ca="1" si="335"/>
        <v>Noruega</v>
      </c>
      <c r="N133" s="756" t="str">
        <f t="shared" ca="1" si="335"/>
        <v>Inglaterra</v>
      </c>
      <c r="O133" s="756"/>
      <c r="P133" s="756"/>
      <c r="Q133" s="756"/>
      <c r="R133" s="756"/>
      <c r="S133" s="756"/>
      <c r="T133" s="756"/>
      <c r="U133" s="756"/>
      <c r="V133" s="178"/>
      <c r="W133" s="845"/>
      <c r="X133" s="195">
        <f ca="1">Horarios!C133</f>
        <v>46214.958333333336</v>
      </c>
      <c r="Y133" s="196">
        <f ca="1">Horarios!C133</f>
        <v>46214.958333333336</v>
      </c>
      <c r="Z133" s="317">
        <f t="shared" si="336"/>
        <v>99</v>
      </c>
      <c r="AA133" s="283" t="str">
        <f t="shared" ca="1" si="337"/>
        <v>Noruega</v>
      </c>
      <c r="AB133" s="284"/>
      <c r="AC133" s="315"/>
      <c r="AD133" s="315"/>
      <c r="AE133" s="284"/>
      <c r="AF133" s="318" t="str">
        <f ca="1">+INDEX($N$101:$N$147,MATCH(AH133,$J$101:$J$147,0))</f>
        <v>Inglaterra</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ca="1" si="338">AA133&amp;"-"&amp;AF133</f>
        <v>Noruega-Inglaterra</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ca="1" si="335"/>
        <v>Egipto</v>
      </c>
      <c r="N134" s="756" t="str">
        <f t="shared" si="335"/>
        <v>W96</v>
      </c>
      <c r="O134" s="756"/>
      <c r="P134" s="756"/>
      <c r="Q134" s="756"/>
      <c r="R134" s="756"/>
      <c r="S134" s="756"/>
      <c r="T134" s="756"/>
      <c r="U134" s="756"/>
      <c r="V134" s="178"/>
      <c r="W134" s="846"/>
      <c r="X134" s="234">
        <f ca="1">Horarios!C134</f>
        <v>46215.125</v>
      </c>
      <c r="Y134" s="235">
        <f ca="1">Horarios!C134</f>
        <v>46215.125</v>
      </c>
      <c r="Z134" s="320">
        <f t="shared" si="336"/>
        <v>100</v>
      </c>
      <c r="AA134" s="306" t="str">
        <f t="shared" ca="1" si="337"/>
        <v>Egipto</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ca="1" si="338"/>
        <v>Egipto-W96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47"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48"/>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09" t="str">
        <f ca="1">IF(SUM(COUNTIF(AG4:AG97,0),COUNTIF(AG101:AG160,0)&gt;0),AL148,AL149)</f>
        <v>MUNDIAL EN CURSO</v>
      </c>
      <c r="AK151" s="810"/>
      <c r="AL151" s="810"/>
      <c r="AM151" s="810"/>
      <c r="AN151" s="810"/>
      <c r="AO151" s="810"/>
      <c r="AP151" s="810"/>
      <c r="AQ151" s="810"/>
      <c r="AR151" s="810"/>
      <c r="AS151" s="810"/>
      <c r="AT151" s="810"/>
      <c r="AU151" s="81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12"/>
      <c r="AK152" s="813"/>
      <c r="AL152" s="813"/>
      <c r="AM152" s="813"/>
      <c r="AN152" s="813"/>
      <c r="AO152" s="813"/>
      <c r="AP152" s="813"/>
      <c r="AQ152" s="813"/>
      <c r="AR152" s="813"/>
      <c r="AS152" s="813"/>
      <c r="AT152" s="813"/>
      <c r="AU152" s="81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12"/>
      <c r="AK153" s="813"/>
      <c r="AL153" s="813"/>
      <c r="AM153" s="813"/>
      <c r="AN153" s="813"/>
      <c r="AO153" s="813"/>
      <c r="AP153" s="813"/>
      <c r="AQ153" s="813"/>
      <c r="AR153" s="813"/>
      <c r="AS153" s="813"/>
      <c r="AT153" s="813"/>
      <c r="AU153" s="81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12"/>
      <c r="AK154" s="813"/>
      <c r="AL154" s="813"/>
      <c r="AM154" s="813"/>
      <c r="AN154" s="813"/>
      <c r="AO154" s="813"/>
      <c r="AP154" s="813"/>
      <c r="AQ154" s="813"/>
      <c r="AR154" s="813"/>
      <c r="AS154" s="813"/>
      <c r="AT154" s="813"/>
      <c r="AU154" s="81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23" t="str">
        <f ca="1">IF(SUM(COUNTIF(AG4:AG97,0),COUNTIF(AG101:AG160,0)&gt;0),AM148,AM149)</f>
        <v>Todavía hay emoción</v>
      </c>
      <c r="AK155" s="824"/>
      <c r="AL155" s="824"/>
      <c r="AM155" s="824"/>
      <c r="AN155" s="824"/>
      <c r="AO155" s="824"/>
      <c r="AP155" s="824"/>
      <c r="AQ155" s="824"/>
      <c r="AR155" s="824"/>
      <c r="AS155" s="824"/>
      <c r="AT155" s="824"/>
      <c r="AU155" s="825"/>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23"/>
      <c r="AK156" s="824"/>
      <c r="AL156" s="824"/>
      <c r="AM156" s="824"/>
      <c r="AN156" s="824"/>
      <c r="AO156" s="824"/>
      <c r="AP156" s="824"/>
      <c r="AQ156" s="824"/>
      <c r="AR156" s="824"/>
      <c r="AS156" s="824"/>
      <c r="AT156" s="824"/>
      <c r="AU156" s="825"/>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26"/>
      <c r="AK157" s="827"/>
      <c r="AL157" s="827"/>
      <c r="AM157" s="827"/>
      <c r="AN157" s="827"/>
      <c r="AO157" s="827"/>
      <c r="AP157" s="827"/>
      <c r="AQ157" s="827"/>
      <c r="AR157" s="827"/>
      <c r="AS157" s="827"/>
      <c r="AT157" s="827"/>
      <c r="AU157" s="828"/>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21" t="str">
        <f>+Idiomas!D12</f>
        <v>Donar</v>
      </c>
      <c r="AP161" s="822"/>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253" sqref="AE253:AE258"/>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2</v>
      </c>
      <c r="T1" s="93"/>
      <c r="U1" s="71"/>
      <c r="V1" s="93">
        <f ca="1">+IFERROR(RANK(V2,OFFSET($S$2,0,0,1,$D$5*3),0),"-")</f>
        <v>5</v>
      </c>
      <c r="W1" s="93"/>
      <c r="X1" s="71"/>
      <c r="Y1" s="93">
        <f ca="1">+IFERROR(RANK(Y2,OFFSET($S$2,0,0,1,$D$5*3),0),"-")</f>
        <v>4</v>
      </c>
      <c r="Z1" s="93"/>
      <c r="AA1" s="71"/>
      <c r="AB1" s="93">
        <f ca="1">+IFERROR(RANK(AB2,OFFSET($S$2,0,0,1,$D$5*3),0),"-")</f>
        <v>1</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405.99810000000002</v>
      </c>
      <c r="T2" s="93"/>
      <c r="U2" s="71"/>
      <c r="V2" s="93">
        <f t="shared" ref="V2" ca="1" si="0">V4-(COLUMN()/10000)</f>
        <v>335.99779999999998</v>
      </c>
      <c r="W2" s="93"/>
      <c r="X2" s="71"/>
      <c r="Y2" s="93">
        <f t="shared" ref="Y2" ca="1" si="1">Y4-(COLUMN()/10000)</f>
        <v>371.9975</v>
      </c>
      <c r="Z2" s="93"/>
      <c r="AA2" s="71"/>
      <c r="AB2" s="93">
        <f t="shared" ref="AB2" ca="1" si="2">AB4-(COLUMN()/10000)</f>
        <v>427.99720000000002</v>
      </c>
      <c r="AC2" s="93"/>
      <c r="AD2" s="71"/>
      <c r="AE2" s="93">
        <f t="shared" ref="AE2" ca="1" si="3">AE4-(COLUMN()/10000)</f>
        <v>398.99689999999998</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2</v>
      </c>
      <c r="T3" s="93"/>
      <c r="U3" s="71"/>
      <c r="V3" s="93">
        <f ca="1">RANK(V4,OFFSET($S$4,0,0,1,$D$5*3),0)</f>
        <v>5</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406</v>
      </c>
      <c r="T4" s="74"/>
      <c r="U4" s="71"/>
      <c r="V4" s="73">
        <f ca="1">SUM(W6:W259)/2</f>
        <v>336</v>
      </c>
      <c r="W4" s="74"/>
      <c r="X4" s="71"/>
      <c r="Y4" s="73">
        <f ca="1">SUM(Z6:Z259)/2</f>
        <v>372</v>
      </c>
      <c r="Z4" s="74"/>
      <c r="AA4" s="71"/>
      <c r="AB4" s="73">
        <f ca="1">SUM(AC6:AC259)/2</f>
        <v>428</v>
      </c>
      <c r="AC4" s="74"/>
      <c r="AD4" s="71"/>
      <c r="AE4" s="73">
        <f ca="1">SUM(AF6:AF259)/2</f>
        <v>399</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1958</v>
      </c>
      <c r="T5" s="76"/>
      <c r="U5" s="71">
        <v>1</v>
      </c>
      <c r="V5" s="75" t="s">
        <v>1964</v>
      </c>
      <c r="W5" s="76"/>
      <c r="X5" s="71">
        <v>2</v>
      </c>
      <c r="Y5" s="75" t="s">
        <v>1967</v>
      </c>
      <c r="Z5" s="76"/>
      <c r="AA5" s="71">
        <v>3</v>
      </c>
      <c r="AB5" s="75" t="s">
        <v>1968</v>
      </c>
      <c r="AC5" s="76"/>
      <c r="AD5" s="71">
        <v>4</v>
      </c>
      <c r="AE5" s="75" t="s">
        <v>1969</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2</v>
      </c>
      <c r="U6" s="117"/>
      <c r="V6" s="78" t="s">
        <v>1950</v>
      </c>
      <c r="W6" s="79">
        <f>IFERROR(IF($M6=V6,($D$8+$D$9+$D$10)*$I6,IF($N6=LEFT(V6,1),($D$8+MAX(0,IF($D$50=1,$D$9*(1-(ABS($Q6-ABS(VALUE(MID(V6,FIND("|",V6)+1,FIND("-",V6)-FIND("|",V6)-1))-VALUE(MID(V6,FIND("-",V6)+1,10)))))*$D$50),$D$9*(1-(IF($N6="X",ABS($O6-VALUE(MID(V6,FIND("|",V6)+1,FIND("-",V6)-FIND("|",V6)-1))),ABS($Q6-ABS(VALUE(MID(V6,FIND("|",V6)+1,FIND("-",V6)-FIND("|",V6)-1))-VALUE(MID(V6,FIND("-",V6)+1,10)))))*$D$50)))))*$I6,0)),0)</f>
        <v>2</v>
      </c>
      <c r="X6" s="117"/>
      <c r="Y6" s="78" t="s">
        <v>1941</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1941</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1949</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1943</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1945</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1943</v>
      </c>
      <c r="AC7" s="79">
        <f t="shared" si="10"/>
        <v>0</v>
      </c>
      <c r="AD7" s="117"/>
      <c r="AE7" s="78" t="s">
        <v>1943</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1943</v>
      </c>
      <c r="T8" s="79">
        <f t="shared" si="8"/>
        <v>6</v>
      </c>
      <c r="U8" s="71"/>
      <c r="V8" s="80" t="s">
        <v>1946</v>
      </c>
      <c r="W8" s="79">
        <f t="shared" si="9"/>
        <v>0</v>
      </c>
      <c r="X8" s="71"/>
      <c r="Y8" s="80" t="s">
        <v>1951</v>
      </c>
      <c r="Z8" s="79">
        <f t="shared" si="10"/>
        <v>0</v>
      </c>
      <c r="AA8" s="71"/>
      <c r="AB8" s="80" t="s">
        <v>1943</v>
      </c>
      <c r="AC8" s="79">
        <f t="shared" si="10"/>
        <v>6</v>
      </c>
      <c r="AD8" s="71"/>
      <c r="AE8" s="80" t="s">
        <v>1941</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f>
        <v>46186</v>
      </c>
      <c r="I9" s="54">
        <v>1</v>
      </c>
      <c r="J9" s="102" t="s">
        <v>113</v>
      </c>
      <c r="K9" s="59" t="str">
        <f ca="1">CONCATENATE(WORLDCUP!AA13,"-",WORLDCUP!AF13)</f>
        <v>Catar-Suiza</v>
      </c>
      <c r="L9" s="59"/>
      <c r="M9" s="61" t="str">
        <f>IF(OR(WORLDCUP!AC13="",WORLDCUP!AD13=""),"-",N9&amp;"|"&amp;O9&amp;"-"&amp;P9)</f>
        <v>X|1-1</v>
      </c>
      <c r="N9" s="25" t="str">
        <f>IF(OR(WORLDCUP!AC13="",WORLDCUP!AD13=""),"",IF(WORLDCUP!AC13&gt;WORLDCUP!AD13,"1",IF(WORLDCUP!AC13&lt;WORLDCUP!AD13,"2","X")))</f>
        <v>X</v>
      </c>
      <c r="O9" s="25">
        <f>WORLDCUP!AC13</f>
        <v>1</v>
      </c>
      <c r="P9" s="25">
        <f>WORLDCUP!AD13</f>
        <v>1</v>
      </c>
      <c r="Q9" s="25">
        <f t="shared" si="11"/>
        <v>0</v>
      </c>
      <c r="R9" s="55"/>
      <c r="S9" s="81" t="s">
        <v>1944</v>
      </c>
      <c r="T9" s="79">
        <f t="shared" si="8"/>
        <v>0</v>
      </c>
      <c r="U9" s="71"/>
      <c r="V9" s="81" t="s">
        <v>1946</v>
      </c>
      <c r="W9" s="79">
        <f t="shared" si="9"/>
        <v>0</v>
      </c>
      <c r="X9" s="71"/>
      <c r="Y9" s="81" t="s">
        <v>1942</v>
      </c>
      <c r="Z9" s="79">
        <f t="shared" si="10"/>
        <v>0</v>
      </c>
      <c r="AA9" s="71"/>
      <c r="AB9" s="81" t="s">
        <v>1946</v>
      </c>
      <c r="AC9" s="79">
        <f t="shared" si="10"/>
        <v>0</v>
      </c>
      <c r="AD9" s="71"/>
      <c r="AE9" s="81" t="s">
        <v>1944</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f>
        <v>46187</v>
      </c>
      <c r="I10" s="54">
        <v>1</v>
      </c>
      <c r="J10" s="101" t="s">
        <v>114</v>
      </c>
      <c r="K10" s="62" t="str">
        <f ca="1">CONCATENATE(WORLDCUP!AA20,"-",WORLDCUP!AF20)</f>
        <v>Brasil-Marruecos</v>
      </c>
      <c r="L10" s="59"/>
      <c r="M10" s="61" t="str">
        <f>IF(OR(WORLDCUP!AC20="",WORLDCUP!AD20=""),"-",N10&amp;"|"&amp;O10&amp;"-"&amp;P10)</f>
        <v>X|1-1</v>
      </c>
      <c r="N10" s="25" t="str">
        <f>IF(OR(WORLDCUP!AC20="",WORLDCUP!AD20=""),"",IF(WORLDCUP!AC20&gt;WORLDCUP!AD20,"1",IF(WORLDCUP!AC20&lt;WORLDCUP!AD20,"2","X")))</f>
        <v>X</v>
      </c>
      <c r="O10" s="25">
        <f>WORLDCUP!AC20</f>
        <v>1</v>
      </c>
      <c r="P10" s="25">
        <f>WORLDCUP!AD20</f>
        <v>1</v>
      </c>
      <c r="Q10" s="25">
        <f t="shared" si="11"/>
        <v>0</v>
      </c>
      <c r="R10" s="55"/>
      <c r="S10" s="80" t="s">
        <v>1945</v>
      </c>
      <c r="T10" s="79">
        <f t="shared" si="8"/>
        <v>3</v>
      </c>
      <c r="U10" s="71"/>
      <c r="V10" s="80" t="s">
        <v>1945</v>
      </c>
      <c r="W10" s="79">
        <f t="shared" si="9"/>
        <v>3</v>
      </c>
      <c r="X10" s="71"/>
      <c r="Y10" s="80" t="s">
        <v>1965</v>
      </c>
      <c r="Z10" s="79">
        <f t="shared" si="10"/>
        <v>3</v>
      </c>
      <c r="AA10" s="71"/>
      <c r="AB10" s="80" t="s">
        <v>1941</v>
      </c>
      <c r="AC10" s="79">
        <f t="shared" si="10"/>
        <v>0</v>
      </c>
      <c r="AD10" s="71"/>
      <c r="AE10" s="80" t="s">
        <v>1941</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f>
        <v>46187</v>
      </c>
      <c r="I11" s="54">
        <v>1</v>
      </c>
      <c r="J11" s="101" t="s">
        <v>114</v>
      </c>
      <c r="K11" s="59" t="str">
        <f ca="1">CONCATENATE(WORLDCUP!AA21,"-",WORLDCUP!AF21)</f>
        <v>Haití-Escocia</v>
      </c>
      <c r="L11" s="59"/>
      <c r="M11" s="61" t="str">
        <f>IF(OR(WORLDCUP!AC21="",WORLDCUP!AD21=""),"-",N11&amp;"|"&amp;O11&amp;"-"&amp;P11)</f>
        <v>2|0-1</v>
      </c>
      <c r="N11" s="25" t="str">
        <f>IF(OR(WORLDCUP!AC21="",WORLDCUP!AD21=""),"",IF(WORLDCUP!AC21&gt;WORLDCUP!AD21,"1",IF(WORLDCUP!AC21&lt;WORLDCUP!AD21,"2","X")))</f>
        <v>2</v>
      </c>
      <c r="O11" s="25">
        <f>WORLDCUP!AC21</f>
        <v>0</v>
      </c>
      <c r="P11" s="25">
        <f>WORLDCUP!AD21</f>
        <v>1</v>
      </c>
      <c r="Q11" s="25">
        <f t="shared" si="11"/>
        <v>1</v>
      </c>
      <c r="R11" s="55"/>
      <c r="S11" s="80" t="s">
        <v>1944</v>
      </c>
      <c r="T11" s="79">
        <f t="shared" si="8"/>
        <v>2</v>
      </c>
      <c r="U11" s="71"/>
      <c r="V11" s="80" t="s">
        <v>1944</v>
      </c>
      <c r="W11" s="79">
        <f t="shared" si="9"/>
        <v>2</v>
      </c>
      <c r="X11" s="71"/>
      <c r="Y11" s="80" t="s">
        <v>1942</v>
      </c>
      <c r="Z11" s="79">
        <f t="shared" si="10"/>
        <v>6</v>
      </c>
      <c r="AA11" s="71"/>
      <c r="AB11" s="80" t="s">
        <v>1946</v>
      </c>
      <c r="AC11" s="79">
        <f t="shared" si="10"/>
        <v>2</v>
      </c>
      <c r="AD11" s="71"/>
      <c r="AE11" s="80" t="s">
        <v>1944</v>
      </c>
      <c r="AF11" s="79">
        <f t="shared" si="10"/>
        <v>2</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f>
        <v>46186</v>
      </c>
      <c r="I12" s="54">
        <v>1</v>
      </c>
      <c r="J12" s="102" t="s">
        <v>115</v>
      </c>
      <c r="K12" s="62" t="str">
        <f ca="1">CONCATENATE(WORLDCUP!AA28,"-",WORLDCUP!AF28)</f>
        <v>Estados Unidos-Paraguay</v>
      </c>
      <c r="L12" s="59"/>
      <c r="M12" s="61" t="str">
        <f>IF(OR(WORLDCUP!AC28="",WORLDCUP!AD28=""),"-",N12&amp;"|"&amp;O12&amp;"-"&amp;P12)</f>
        <v>1|4-1</v>
      </c>
      <c r="N12" s="25" t="str">
        <f>IF(OR(WORLDCUP!AC28="",WORLDCUP!AD28=""),"",IF(WORLDCUP!AC28&gt;WORLDCUP!AD28,"1",IF(WORLDCUP!AC28&lt;WORLDCUP!AD28,"2","X")))</f>
        <v>1</v>
      </c>
      <c r="O12" s="25">
        <f>WORLDCUP!AC28</f>
        <v>4</v>
      </c>
      <c r="P12" s="25">
        <f>WORLDCUP!AD28</f>
        <v>1</v>
      </c>
      <c r="Q12" s="25">
        <f t="shared" si="11"/>
        <v>3</v>
      </c>
      <c r="R12" s="55"/>
      <c r="S12" s="80" t="s">
        <v>1941</v>
      </c>
      <c r="T12" s="79">
        <f t="shared" si="8"/>
        <v>2</v>
      </c>
      <c r="U12" s="71"/>
      <c r="V12" s="80" t="s">
        <v>1959</v>
      </c>
      <c r="W12" s="79">
        <f t="shared" si="9"/>
        <v>0</v>
      </c>
      <c r="X12" s="71"/>
      <c r="Y12" s="80" t="s">
        <v>1951</v>
      </c>
      <c r="Z12" s="79">
        <f t="shared" si="10"/>
        <v>0</v>
      </c>
      <c r="AA12" s="71"/>
      <c r="AB12" s="80" t="s">
        <v>1941</v>
      </c>
      <c r="AC12" s="79">
        <f t="shared" si="10"/>
        <v>2</v>
      </c>
      <c r="AD12" s="71"/>
      <c r="AE12" s="80" t="s">
        <v>1949</v>
      </c>
      <c r="AF12" s="79">
        <f t="shared" si="10"/>
        <v>2</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f>
        <v>46187</v>
      </c>
      <c r="I13" s="54">
        <v>1</v>
      </c>
      <c r="J13" s="102" t="s">
        <v>115</v>
      </c>
      <c r="K13" s="59" t="str">
        <f ca="1">CONCATENATE(WORLDCUP!AA29,"-",WORLDCUP!AF29)</f>
        <v>Australia-Turquía</v>
      </c>
      <c r="L13" s="59"/>
      <c r="M13" s="61" t="str">
        <f>IF(OR(WORLDCUP!AC29="",WORLDCUP!AD29=""),"-",N13&amp;"|"&amp;O13&amp;"-"&amp;P13)</f>
        <v>1|2-0</v>
      </c>
      <c r="N13" s="25" t="str">
        <f>IF(OR(WORLDCUP!AC29="",WORLDCUP!AD29=""),"",IF(WORLDCUP!AC29&gt;WORLDCUP!AD29,"1",IF(WORLDCUP!AC29&lt;WORLDCUP!AD29,"2","X")))</f>
        <v>1</v>
      </c>
      <c r="O13" s="25">
        <f>WORLDCUP!AC29</f>
        <v>2</v>
      </c>
      <c r="P13" s="25">
        <f>WORLDCUP!AD29</f>
        <v>0</v>
      </c>
      <c r="Q13" s="25">
        <f t="shared" si="11"/>
        <v>2</v>
      </c>
      <c r="R13" s="55"/>
      <c r="S13" s="80" t="s">
        <v>1946</v>
      </c>
      <c r="T13" s="79">
        <f t="shared" si="8"/>
        <v>0</v>
      </c>
      <c r="U13" s="71"/>
      <c r="V13" s="80" t="s">
        <v>1946</v>
      </c>
      <c r="W13" s="79">
        <f t="shared" si="9"/>
        <v>0</v>
      </c>
      <c r="X13" s="71"/>
      <c r="Y13" s="80" t="s">
        <v>1945</v>
      </c>
      <c r="Z13" s="79">
        <f t="shared" si="10"/>
        <v>0</v>
      </c>
      <c r="AA13" s="71"/>
      <c r="AB13" s="80" t="s">
        <v>1951</v>
      </c>
      <c r="AC13" s="79">
        <f t="shared" si="10"/>
        <v>0</v>
      </c>
      <c r="AD13" s="71"/>
      <c r="AE13" s="80" t="s">
        <v>1946</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f>
        <v>46187</v>
      </c>
      <c r="I14" s="54">
        <v>1</v>
      </c>
      <c r="J14" s="101" t="s">
        <v>116</v>
      </c>
      <c r="K14" s="62" t="str">
        <f ca="1">CONCATENATE(WORLDCUP!AA36,"-",WORLDCUP!AF36)</f>
        <v>Alemania-Curazao</v>
      </c>
      <c r="L14" s="59"/>
      <c r="M14" s="61" t="str">
        <f>IF(OR(WORLDCUP!AC36="",WORLDCUP!AD36=""),"-",N14&amp;"|"&amp;O14&amp;"-"&amp;P14)</f>
        <v>1|7-1</v>
      </c>
      <c r="N14" s="25" t="str">
        <f>IF(OR(WORLDCUP!AC36="",WORLDCUP!AD36=""),"",IF(WORLDCUP!AC36&gt;WORLDCUP!AD36,"1",IF(WORLDCUP!AC36&lt;WORLDCUP!AD36,"2","X")))</f>
        <v>1</v>
      </c>
      <c r="O14" s="25">
        <f>WORLDCUP!AC36</f>
        <v>7</v>
      </c>
      <c r="P14" s="25">
        <f>WORLDCUP!AD36</f>
        <v>1</v>
      </c>
      <c r="Q14" s="25">
        <f t="shared" si="11"/>
        <v>6</v>
      </c>
      <c r="R14" s="55"/>
      <c r="S14" s="80" t="s">
        <v>1947</v>
      </c>
      <c r="T14" s="79">
        <f t="shared" si="8"/>
        <v>2</v>
      </c>
      <c r="U14" s="71"/>
      <c r="V14" s="80" t="s">
        <v>1960</v>
      </c>
      <c r="W14" s="79">
        <f t="shared" si="9"/>
        <v>3</v>
      </c>
      <c r="X14" s="71"/>
      <c r="Y14" s="80" t="s">
        <v>1954</v>
      </c>
      <c r="Z14" s="79">
        <f t="shared" si="10"/>
        <v>2</v>
      </c>
      <c r="AA14" s="71"/>
      <c r="AB14" s="80" t="s">
        <v>1947</v>
      </c>
      <c r="AC14" s="79">
        <f t="shared" si="10"/>
        <v>2</v>
      </c>
      <c r="AD14" s="71"/>
      <c r="AE14" s="80" t="s">
        <v>1960</v>
      </c>
      <c r="AF14" s="79">
        <f t="shared" si="10"/>
        <v>3</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f>
        <v>46188</v>
      </c>
      <c r="I15" s="54">
        <v>1</v>
      </c>
      <c r="J15" s="101" t="s">
        <v>116</v>
      </c>
      <c r="K15" s="59" t="str">
        <f ca="1">CONCATENATE(WORLDCUP!AA37,"-",WORLDCUP!AF37)</f>
        <v>Costa de Marfil-Ecuador</v>
      </c>
      <c r="L15" s="59"/>
      <c r="M15" s="61" t="str">
        <f>IF(OR(WORLDCUP!AC37="",WORLDCUP!AD37=""),"-",N15&amp;"|"&amp;O15&amp;"-"&amp;P15)</f>
        <v>1|1-0</v>
      </c>
      <c r="N15" s="25" t="str">
        <f>IF(OR(WORLDCUP!AC37="",WORLDCUP!AD37=""),"",IF(WORLDCUP!AC37&gt;WORLDCUP!AD37,"1",IF(WORLDCUP!AC37&lt;WORLDCUP!AD37,"2","X")))</f>
        <v>1</v>
      </c>
      <c r="O15" s="25">
        <f>WORLDCUP!AC37</f>
        <v>1</v>
      </c>
      <c r="P15" s="25">
        <f>WORLDCUP!AD37</f>
        <v>0</v>
      </c>
      <c r="Q15" s="25">
        <f t="shared" si="11"/>
        <v>1</v>
      </c>
      <c r="R15" s="55"/>
      <c r="S15" s="80" t="s">
        <v>1945</v>
      </c>
      <c r="T15" s="79">
        <f t="shared" si="8"/>
        <v>0</v>
      </c>
      <c r="U15" s="71"/>
      <c r="V15" s="80" t="s">
        <v>1951</v>
      </c>
      <c r="W15" s="79">
        <f t="shared" si="9"/>
        <v>0</v>
      </c>
      <c r="X15" s="71"/>
      <c r="Y15" s="80" t="s">
        <v>1950</v>
      </c>
      <c r="Z15" s="79">
        <f t="shared" si="10"/>
        <v>6</v>
      </c>
      <c r="AA15" s="71"/>
      <c r="AB15" s="80" t="s">
        <v>1943</v>
      </c>
      <c r="AC15" s="79">
        <f t="shared" si="10"/>
        <v>0</v>
      </c>
      <c r="AD15" s="71"/>
      <c r="AE15" s="80" t="s">
        <v>1942</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4</v>
      </c>
      <c r="H16" s="454">
        <f ca="1">TRUNC(INDEX(WORLDCUP!$X$4:$X$147,MATCH(ADMIN!K16,WORLDCUP!$DT$4:$DT$147,0)))</f>
        <v>46187</v>
      </c>
      <c r="I16" s="54">
        <v>1</v>
      </c>
      <c r="J16" s="102" t="s">
        <v>117</v>
      </c>
      <c r="K16" s="62" t="str">
        <f ca="1">CONCATENATE(WORLDCUP!AA44,"-",WORLDCUP!AF44)</f>
        <v>Países Bajos-Japón</v>
      </c>
      <c r="L16" s="59"/>
      <c r="M16" s="61" t="str">
        <f>IF(OR(WORLDCUP!AC44="",WORLDCUP!AD44=""),"-",N16&amp;"|"&amp;O16&amp;"-"&amp;P16)</f>
        <v>X|2-2</v>
      </c>
      <c r="N16" s="25" t="str">
        <f>IF(OR(WORLDCUP!AC44="",WORLDCUP!AD44=""),"",IF(WORLDCUP!AC44&gt;WORLDCUP!AD44,"1",IF(WORLDCUP!AC44&lt;WORLDCUP!AD44,"2","X")))</f>
        <v>X</v>
      </c>
      <c r="O16" s="25">
        <f>WORLDCUP!AC44</f>
        <v>2</v>
      </c>
      <c r="P16" s="25">
        <f>WORLDCUP!AD44</f>
        <v>2</v>
      </c>
      <c r="Q16" s="25">
        <f t="shared" si="11"/>
        <v>0</v>
      </c>
      <c r="R16" s="55"/>
      <c r="S16" s="80" t="s">
        <v>1948</v>
      </c>
      <c r="T16" s="79">
        <f t="shared" si="8"/>
        <v>0</v>
      </c>
      <c r="U16" s="71"/>
      <c r="V16" s="80" t="s">
        <v>1950</v>
      </c>
      <c r="W16" s="79">
        <f t="shared" si="9"/>
        <v>0</v>
      </c>
      <c r="X16" s="71"/>
      <c r="Y16" s="80" t="s">
        <v>1945</v>
      </c>
      <c r="Z16" s="79">
        <f t="shared" si="10"/>
        <v>6</v>
      </c>
      <c r="AA16" s="71"/>
      <c r="AB16" s="80" t="s">
        <v>1943</v>
      </c>
      <c r="AC16" s="79">
        <f t="shared" si="10"/>
        <v>3</v>
      </c>
      <c r="AD16" s="71"/>
      <c r="AE16" s="80" t="s">
        <v>1950</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f>
        <v>46188</v>
      </c>
      <c r="I17" s="54">
        <v>1</v>
      </c>
      <c r="J17" s="102" t="s">
        <v>117</v>
      </c>
      <c r="K17" s="59" t="str">
        <f ca="1">CONCATENATE(WORLDCUP!AA45,"-",WORLDCUP!AF45)</f>
        <v>Suecia-Túnez</v>
      </c>
      <c r="L17" s="59"/>
      <c r="M17" s="61" t="str">
        <f>IF(OR(WORLDCUP!AC45="",WORLDCUP!AD45=""),"-",N17&amp;"|"&amp;O17&amp;"-"&amp;P17)</f>
        <v>1|5-1</v>
      </c>
      <c r="N17" s="25" t="str">
        <f>IF(OR(WORLDCUP!AC45="",WORLDCUP!AD45=""),"",IF(WORLDCUP!AC45&gt;WORLDCUP!AD45,"1",IF(WORLDCUP!AC45&lt;WORLDCUP!AD45,"2","X")))</f>
        <v>1</v>
      </c>
      <c r="O17" s="25">
        <f>WORLDCUP!AC45</f>
        <v>5</v>
      </c>
      <c r="P17" s="25">
        <f>WORLDCUP!AD45</f>
        <v>1</v>
      </c>
      <c r="Q17" s="25">
        <f t="shared" si="11"/>
        <v>4</v>
      </c>
      <c r="R17" s="55"/>
      <c r="S17" s="80" t="s">
        <v>1942</v>
      </c>
      <c r="T17" s="79">
        <f t="shared" si="8"/>
        <v>0</v>
      </c>
      <c r="U17" s="71"/>
      <c r="V17" s="80" t="s">
        <v>1949</v>
      </c>
      <c r="W17" s="79">
        <f t="shared" si="9"/>
        <v>2</v>
      </c>
      <c r="X17" s="71"/>
      <c r="Y17" s="80" t="s">
        <v>1942</v>
      </c>
      <c r="Z17" s="79">
        <f t="shared" si="10"/>
        <v>0</v>
      </c>
      <c r="AA17" s="71"/>
      <c r="AB17" s="80" t="s">
        <v>1949</v>
      </c>
      <c r="AC17" s="79">
        <f t="shared" si="10"/>
        <v>2</v>
      </c>
      <c r="AD17" s="71"/>
      <c r="AE17" s="80" t="s">
        <v>1941</v>
      </c>
      <c r="AF17" s="79">
        <f t="shared" si="10"/>
        <v>2</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f>
        <v>46188</v>
      </c>
      <c r="I18" s="54">
        <v>1</v>
      </c>
      <c r="J18" s="101" t="s">
        <v>510</v>
      </c>
      <c r="K18" s="62" t="str">
        <f ca="1">CONCATENATE(WORLDCUP!AA52,"-",WORLDCUP!AF52)</f>
        <v>Bélgica-Egipto</v>
      </c>
      <c r="L18" s="59"/>
      <c r="M18" s="61" t="str">
        <f>IF(OR(WORLDCUP!AC52="",WORLDCUP!AD52=""),"-",N18&amp;"|"&amp;O18&amp;"-"&amp;P18)</f>
        <v>X|1-1</v>
      </c>
      <c r="N18" s="25" t="str">
        <f>IF(OR(WORLDCUP!AC52="",WORLDCUP!AD52=""),"",IF(WORLDCUP!AC52&gt;WORLDCUP!AD52,"1",IF(WORLDCUP!AC52&lt;WORLDCUP!AD52,"2","X")))</f>
        <v>X</v>
      </c>
      <c r="O18" s="25">
        <f>WORLDCUP!AC52</f>
        <v>1</v>
      </c>
      <c r="P18" s="25">
        <f>WORLDCUP!AD52</f>
        <v>1</v>
      </c>
      <c r="Q18" s="25">
        <f t="shared" si="11"/>
        <v>0</v>
      </c>
      <c r="R18" s="55"/>
      <c r="S18" s="80" t="s">
        <v>1949</v>
      </c>
      <c r="T18" s="79">
        <f t="shared" si="8"/>
        <v>0</v>
      </c>
      <c r="U18" s="71"/>
      <c r="V18" s="80" t="s">
        <v>1941</v>
      </c>
      <c r="W18" s="79">
        <f t="shared" si="9"/>
        <v>0</v>
      </c>
      <c r="X18" s="71"/>
      <c r="Y18" s="80" t="s">
        <v>1941</v>
      </c>
      <c r="Z18" s="79">
        <f t="shared" si="10"/>
        <v>0</v>
      </c>
      <c r="AA18" s="71"/>
      <c r="AB18" s="80" t="s">
        <v>1941</v>
      </c>
      <c r="AC18" s="79">
        <f t="shared" si="10"/>
        <v>0</v>
      </c>
      <c r="AD18" s="71"/>
      <c r="AE18" s="80" t="s">
        <v>1949</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f>
        <v>46189</v>
      </c>
      <c r="I19" s="54">
        <v>1</v>
      </c>
      <c r="J19" s="101" t="s">
        <v>510</v>
      </c>
      <c r="K19" s="59" t="str">
        <f ca="1">CONCATENATE(WORLDCUP!AA53,"-",WORLDCUP!AF53)</f>
        <v>Irán-Nueva Zelanda</v>
      </c>
      <c r="L19" s="59"/>
      <c r="M19" s="61" t="str">
        <f>IF(OR(WORLDCUP!AC53="",WORLDCUP!AD53=""),"-",N19&amp;"|"&amp;O19&amp;"-"&amp;P19)</f>
        <v>X|2-2</v>
      </c>
      <c r="N19" s="25" t="str">
        <f>IF(OR(WORLDCUP!AC53="",WORLDCUP!AD53=""),"",IF(WORLDCUP!AC53&gt;WORLDCUP!AD53,"1",IF(WORLDCUP!AC53&lt;WORLDCUP!AD53,"2","X")))</f>
        <v>X</v>
      </c>
      <c r="O19" s="25">
        <f>WORLDCUP!AC53</f>
        <v>2</v>
      </c>
      <c r="P19" s="25">
        <f>WORLDCUP!AD53</f>
        <v>2</v>
      </c>
      <c r="Q19" s="25">
        <f t="shared" si="11"/>
        <v>0</v>
      </c>
      <c r="R19" s="55"/>
      <c r="S19" s="80" t="s">
        <v>1950</v>
      </c>
      <c r="T19" s="79">
        <f t="shared" si="8"/>
        <v>0</v>
      </c>
      <c r="U19" s="71"/>
      <c r="V19" s="80" t="s">
        <v>1950</v>
      </c>
      <c r="W19" s="79">
        <f t="shared" si="9"/>
        <v>0</v>
      </c>
      <c r="X19" s="71"/>
      <c r="Y19" s="80" t="s">
        <v>1950</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1943</v>
      </c>
      <c r="AC19" s="79">
        <f t="shared" si="12"/>
        <v>3</v>
      </c>
      <c r="AD19" s="71"/>
      <c r="AE19" s="80" t="s">
        <v>1950</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f>
        <v>46188</v>
      </c>
      <c r="I20" s="54">
        <v>1</v>
      </c>
      <c r="J20" s="102" t="s">
        <v>512</v>
      </c>
      <c r="K20" s="62" t="str">
        <f ca="1">CONCATENATE(WORLDCUP!AA60,"-",WORLDCUP!AF60)</f>
        <v>España-Cabo Verde</v>
      </c>
      <c r="L20" s="59"/>
      <c r="M20" s="61" t="str">
        <f>IF(OR(WORLDCUP!AC60="",WORLDCUP!AD60=""),"-",N20&amp;"|"&amp;O20&amp;"-"&amp;P20)</f>
        <v>X|0-0</v>
      </c>
      <c r="N20" s="25" t="str">
        <f>IF(OR(WORLDCUP!AC60="",WORLDCUP!AD60=""),"",IF(WORLDCUP!AC60&gt;WORLDCUP!AD60,"1",IF(WORLDCUP!AC60&lt;WORLDCUP!AD60,"2","X")))</f>
        <v>X</v>
      </c>
      <c r="O20" s="25">
        <f>WORLDCUP!AC60</f>
        <v>0</v>
      </c>
      <c r="P20" s="25">
        <f>WORLDCUP!AD60</f>
        <v>0</v>
      </c>
      <c r="Q20" s="25">
        <f t="shared" si="11"/>
        <v>0</v>
      </c>
      <c r="R20" s="55"/>
      <c r="S20" s="80" t="s">
        <v>1949</v>
      </c>
      <c r="T20" s="79">
        <f t="shared" si="8"/>
        <v>0</v>
      </c>
      <c r="U20" s="71"/>
      <c r="V20" s="80" t="s">
        <v>1952</v>
      </c>
      <c r="W20" s="79">
        <f t="shared" si="9"/>
        <v>0</v>
      </c>
      <c r="X20" s="71"/>
      <c r="Y20" s="80" t="s">
        <v>1943</v>
      </c>
      <c r="Z20" s="79">
        <f t="shared" si="12"/>
        <v>3</v>
      </c>
      <c r="AA20" s="71"/>
      <c r="AB20" s="80" t="s">
        <v>1947</v>
      </c>
      <c r="AC20" s="79">
        <f t="shared" si="12"/>
        <v>0</v>
      </c>
      <c r="AD20" s="71"/>
      <c r="AE20" s="80" t="s">
        <v>1952</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f>
        <v>46189</v>
      </c>
      <c r="I21" s="54">
        <v>1</v>
      </c>
      <c r="J21" s="102" t="s">
        <v>512</v>
      </c>
      <c r="K21" s="59" t="str">
        <f ca="1">CONCATENATE(WORLDCUP!AA61,"-",WORLDCUP!AF61)</f>
        <v>Arabia Saudita-Uruguay</v>
      </c>
      <c r="L21" s="59"/>
      <c r="M21" s="61" t="str">
        <f>IF(OR(WORLDCUP!AC61="",WORLDCUP!AD61=""),"-",N21&amp;"|"&amp;O21&amp;"-"&amp;P21)</f>
        <v>X|1-1</v>
      </c>
      <c r="N21" s="25" t="str">
        <f>IF(OR(WORLDCUP!AC61="",WORLDCUP!AD61=""),"",IF(WORLDCUP!AC61&gt;WORLDCUP!AD61,"1",IF(WORLDCUP!AC61&lt;WORLDCUP!AD61,"2","X")))</f>
        <v>X</v>
      </c>
      <c r="O21" s="25">
        <f>WORLDCUP!AC61</f>
        <v>1</v>
      </c>
      <c r="P21" s="25">
        <f>WORLDCUP!AD61</f>
        <v>1</v>
      </c>
      <c r="Q21" s="25">
        <f t="shared" si="11"/>
        <v>0</v>
      </c>
      <c r="R21" s="55"/>
      <c r="S21" s="80" t="s">
        <v>1946</v>
      </c>
      <c r="T21" s="79">
        <f t="shared" si="8"/>
        <v>0</v>
      </c>
      <c r="U21" s="71"/>
      <c r="V21" s="80" t="s">
        <v>1942</v>
      </c>
      <c r="W21" s="79">
        <f t="shared" si="9"/>
        <v>0</v>
      </c>
      <c r="X21" s="71"/>
      <c r="Y21" s="80" t="s">
        <v>1946</v>
      </c>
      <c r="Z21" s="79">
        <f t="shared" si="12"/>
        <v>0</v>
      </c>
      <c r="AA21" s="71"/>
      <c r="AB21" s="80" t="s">
        <v>1951</v>
      </c>
      <c r="AC21" s="79">
        <f t="shared" si="12"/>
        <v>0</v>
      </c>
      <c r="AD21" s="71"/>
      <c r="AE21" s="80" t="s">
        <v>1946</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f>
        <v>46189</v>
      </c>
      <c r="I22" s="54">
        <v>1</v>
      </c>
      <c r="J22" s="101" t="s">
        <v>179</v>
      </c>
      <c r="K22" s="62" t="str">
        <f ca="1">CONCATENATE(WORLDCUP!AA68,"-",WORLDCUP!AF68)</f>
        <v>Francia-Senegal</v>
      </c>
      <c r="L22" s="59"/>
      <c r="M22" s="61" t="str">
        <f>IF(OR(WORLDCUP!AC68="",WORLDCUP!AD68=""),"-",N22&amp;"|"&amp;O22&amp;"-"&amp;P22)</f>
        <v>1|3-1</v>
      </c>
      <c r="N22" s="25" t="str">
        <f>IF(OR(WORLDCUP!AC68="",WORLDCUP!AD68=""),"",IF(WORLDCUP!AC68&gt;WORLDCUP!AD68,"1",IF(WORLDCUP!AC68&lt;WORLDCUP!AD68,"2","X")))</f>
        <v>1</v>
      </c>
      <c r="O22" s="25">
        <f>WORLDCUP!AC68</f>
        <v>3</v>
      </c>
      <c r="P22" s="25">
        <f>WORLDCUP!AD68</f>
        <v>1</v>
      </c>
      <c r="Q22" s="25">
        <f t="shared" si="11"/>
        <v>2</v>
      </c>
      <c r="R22" s="55"/>
      <c r="S22" s="80" t="s">
        <v>1947</v>
      </c>
      <c r="T22" s="79">
        <f t="shared" si="8"/>
        <v>2</v>
      </c>
      <c r="U22" s="71"/>
      <c r="V22" s="80" t="s">
        <v>1945</v>
      </c>
      <c r="W22" s="79">
        <f t="shared" si="9"/>
        <v>0</v>
      </c>
      <c r="X22" s="71"/>
      <c r="Y22" s="80" t="s">
        <v>1941</v>
      </c>
      <c r="Z22" s="79">
        <f t="shared" si="12"/>
        <v>2</v>
      </c>
      <c r="AA22" s="71"/>
      <c r="AB22" s="80" t="s">
        <v>1941</v>
      </c>
      <c r="AC22" s="79">
        <f t="shared" si="12"/>
        <v>2</v>
      </c>
      <c r="AD22" s="71"/>
      <c r="AE22" s="80" t="s">
        <v>1949</v>
      </c>
      <c r="AF22" s="79">
        <f t="shared" si="12"/>
        <v>3</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f>
        <v>46190</v>
      </c>
      <c r="I23" s="54">
        <v>1</v>
      </c>
      <c r="J23" s="101" t="s">
        <v>179</v>
      </c>
      <c r="K23" s="62" t="str">
        <f ca="1">CONCATENATE(WORLDCUP!AA69,"-",WORLDCUP!AF69)</f>
        <v>Irak-Noruega</v>
      </c>
      <c r="L23" s="59"/>
      <c r="M23" s="61" t="str">
        <f>IF(OR(WORLDCUP!AC69="",WORLDCUP!AD69=""),"-",N23&amp;"|"&amp;O23&amp;"-"&amp;P23)</f>
        <v>2|1-4</v>
      </c>
      <c r="N23" s="25" t="str">
        <f>IF(OR(WORLDCUP!AC69="",WORLDCUP!AD69=""),"",IF(WORLDCUP!AC69&gt;WORLDCUP!AD69,"1",IF(WORLDCUP!AC69&lt;WORLDCUP!AD69,"2","X")))</f>
        <v>2</v>
      </c>
      <c r="O23" s="25">
        <f>WORLDCUP!AC69</f>
        <v>1</v>
      </c>
      <c r="P23" s="25">
        <f>WORLDCUP!AD69</f>
        <v>4</v>
      </c>
      <c r="Q23" s="25">
        <f t="shared" si="11"/>
        <v>3</v>
      </c>
      <c r="R23" s="55"/>
      <c r="S23" s="80" t="s">
        <v>1946</v>
      </c>
      <c r="T23" s="79">
        <f t="shared" si="8"/>
        <v>2</v>
      </c>
      <c r="U23" s="71"/>
      <c r="V23" s="80" t="s">
        <v>1961</v>
      </c>
      <c r="W23" s="79">
        <f t="shared" si="9"/>
        <v>2</v>
      </c>
      <c r="X23" s="71"/>
      <c r="Y23" s="80" t="s">
        <v>1944</v>
      </c>
      <c r="Z23" s="79">
        <f t="shared" si="12"/>
        <v>3</v>
      </c>
      <c r="AA23" s="71"/>
      <c r="AB23" s="80" t="s">
        <v>1946</v>
      </c>
      <c r="AC23" s="79">
        <f t="shared" si="12"/>
        <v>2</v>
      </c>
      <c r="AD23" s="71"/>
      <c r="AE23" s="80" t="s">
        <v>1955</v>
      </c>
      <c r="AF23" s="79">
        <f t="shared" si="12"/>
        <v>2</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f>
        <v>46190</v>
      </c>
      <c r="I24" s="54">
        <v>1</v>
      </c>
      <c r="J24" s="102" t="s">
        <v>26</v>
      </c>
      <c r="K24" s="59" t="str">
        <f ca="1">CONCATENATE(WORLDCUP!AA76,"-",WORLDCUP!AF76)</f>
        <v>Argentina-Argelia</v>
      </c>
      <c r="L24" s="59"/>
      <c r="M24" s="61" t="str">
        <f>IF(OR(WORLDCUP!AC76="",WORLDCUP!AD76=""),"-",N24&amp;"|"&amp;O24&amp;"-"&amp;P24)</f>
        <v>1|3-0</v>
      </c>
      <c r="N24" s="25" t="str">
        <f>IF(OR(WORLDCUP!AC76="",WORLDCUP!AD76=""),"",IF(WORLDCUP!AC76&gt;WORLDCUP!AD76,"1",IF(WORLDCUP!AC76&lt;WORLDCUP!AD76,"2","X")))</f>
        <v>1</v>
      </c>
      <c r="O24" s="25">
        <f>WORLDCUP!AC76</f>
        <v>3</v>
      </c>
      <c r="P24" s="25">
        <f>WORLDCUP!AD76</f>
        <v>0</v>
      </c>
      <c r="Q24" s="25">
        <f t="shared" si="11"/>
        <v>3</v>
      </c>
      <c r="R24" s="55"/>
      <c r="S24" s="82" t="s">
        <v>1949</v>
      </c>
      <c r="T24" s="83">
        <f t="shared" si="8"/>
        <v>2</v>
      </c>
      <c r="U24" s="71"/>
      <c r="V24" s="82" t="s">
        <v>1941</v>
      </c>
      <c r="W24" s="83">
        <f t="shared" si="9"/>
        <v>2</v>
      </c>
      <c r="X24" s="71"/>
      <c r="Y24" s="82" t="s">
        <v>1943</v>
      </c>
      <c r="Z24" s="83">
        <f t="shared" si="12"/>
        <v>0</v>
      </c>
      <c r="AA24" s="71"/>
      <c r="AB24" s="82" t="s">
        <v>1949</v>
      </c>
      <c r="AC24" s="83">
        <f t="shared" si="12"/>
        <v>2</v>
      </c>
      <c r="AD24" s="71"/>
      <c r="AE24" s="82" t="s">
        <v>1947</v>
      </c>
      <c r="AF24" s="83">
        <f t="shared" si="12"/>
        <v>6</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f>
        <v>46190</v>
      </c>
      <c r="I25" s="54">
        <v>1</v>
      </c>
      <c r="J25" s="102" t="s">
        <v>26</v>
      </c>
      <c r="K25" s="59" t="str">
        <f ca="1">CONCATENATE(WORLDCUP!AA77,"-",WORLDCUP!AF77)</f>
        <v>Austria-Jordania</v>
      </c>
      <c r="L25" s="59"/>
      <c r="M25" s="61" t="str">
        <f>IF(OR(WORLDCUP!AC77="",WORLDCUP!AD77=""),"-",N25&amp;"|"&amp;O25&amp;"-"&amp;P25)</f>
        <v>1|3-1</v>
      </c>
      <c r="N25" s="25" t="str">
        <f>IF(OR(WORLDCUP!AC77="",WORLDCUP!AD77=""),"",IF(WORLDCUP!AC77&gt;WORLDCUP!AD77,"1",IF(WORLDCUP!AC77&lt;WORLDCUP!AD77,"2","X")))</f>
        <v>1</v>
      </c>
      <c r="O25" s="25">
        <f>WORLDCUP!AC77</f>
        <v>3</v>
      </c>
      <c r="P25" s="25">
        <f>WORLDCUP!AD77</f>
        <v>1</v>
      </c>
      <c r="Q25" s="25">
        <f t="shared" si="11"/>
        <v>2</v>
      </c>
      <c r="R25" s="55"/>
      <c r="S25" s="80" t="s">
        <v>1949</v>
      </c>
      <c r="T25" s="79">
        <f t="shared" si="8"/>
        <v>3</v>
      </c>
      <c r="U25" s="71"/>
      <c r="V25" s="80" t="s">
        <v>1947</v>
      </c>
      <c r="W25" s="79">
        <f t="shared" si="9"/>
        <v>2</v>
      </c>
      <c r="X25" s="71"/>
      <c r="Y25" s="80" t="s">
        <v>1950</v>
      </c>
      <c r="Z25" s="79">
        <f t="shared" si="12"/>
        <v>2</v>
      </c>
      <c r="AA25" s="71"/>
      <c r="AB25" s="80" t="s">
        <v>1941</v>
      </c>
      <c r="AC25" s="79">
        <f t="shared" si="12"/>
        <v>2</v>
      </c>
      <c r="AD25" s="71"/>
      <c r="AE25" s="80" t="s">
        <v>1947</v>
      </c>
      <c r="AF25" s="79">
        <f t="shared" si="12"/>
        <v>2</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f>
        <v>46190</v>
      </c>
      <c r="I26" s="54">
        <v>1</v>
      </c>
      <c r="J26" s="101" t="s">
        <v>515</v>
      </c>
      <c r="K26" s="62" t="str">
        <f ca="1">CONCATENATE(WORLDCUP!AA84,"-",WORLDCUP!AF84)</f>
        <v>Portugal-RD Congo</v>
      </c>
      <c r="L26" s="59"/>
      <c r="M26" s="61" t="str">
        <f>IF(OR(WORLDCUP!AC84="",WORLDCUP!AD84=""),"-",N26&amp;"|"&amp;O26&amp;"-"&amp;P26)</f>
        <v>X|1-1</v>
      </c>
      <c r="N26" s="25" t="str">
        <f>IF(OR(WORLDCUP!AC84="",WORLDCUP!AD84=""),"",IF(WORLDCUP!AC84&gt;WORLDCUP!AD84,"1",IF(WORLDCUP!AC84&lt;WORLDCUP!AD84,"2","X")))</f>
        <v>X</v>
      </c>
      <c r="O26" s="25">
        <f>WORLDCUP!AC84</f>
        <v>1</v>
      </c>
      <c r="P26" s="25">
        <f>WORLDCUP!AD84</f>
        <v>1</v>
      </c>
      <c r="Q26" s="25">
        <f t="shared" si="11"/>
        <v>0</v>
      </c>
      <c r="R26" s="55"/>
      <c r="S26" s="80" t="s">
        <v>1941</v>
      </c>
      <c r="T26" s="79">
        <f t="shared" si="8"/>
        <v>0</v>
      </c>
      <c r="U26" s="71"/>
      <c r="V26" s="80" t="s">
        <v>1947</v>
      </c>
      <c r="W26" s="79">
        <f t="shared" si="9"/>
        <v>0</v>
      </c>
      <c r="X26" s="71"/>
      <c r="Y26" s="80" t="s">
        <v>1950</v>
      </c>
      <c r="Z26" s="79">
        <f t="shared" si="12"/>
        <v>0</v>
      </c>
      <c r="AA26" s="71"/>
      <c r="AB26" s="80" t="s">
        <v>1947</v>
      </c>
      <c r="AC26" s="79">
        <f t="shared" si="12"/>
        <v>0</v>
      </c>
      <c r="AD26" s="71"/>
      <c r="AE26" s="80" t="s">
        <v>1947</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f>
        <v>46191</v>
      </c>
      <c r="I27" s="54">
        <v>1</v>
      </c>
      <c r="J27" s="101" t="s">
        <v>515</v>
      </c>
      <c r="K27" s="59" t="str">
        <f ca="1">CONCATENATE(WORLDCUP!AA85,"-",WORLDCUP!AF85)</f>
        <v>Uzbekistán-Colombia</v>
      </c>
      <c r="L27" s="59"/>
      <c r="M27" s="59" t="str">
        <f>IF(OR(WORLDCUP!AC85="",WORLDCUP!AD85=""),"-",N27&amp;"|"&amp;O27&amp;"-"&amp;P27)</f>
        <v>2|1-3</v>
      </c>
      <c r="N27" s="25" t="str">
        <f>IF(OR(WORLDCUP!AC85="",WORLDCUP!AD85=""),"",IF(WORLDCUP!AC85&gt;WORLDCUP!AD85,"1",IF(WORLDCUP!AC85&lt;WORLDCUP!AD85,"2","X")))</f>
        <v>2</v>
      </c>
      <c r="O27" s="25">
        <f>WORLDCUP!AC85</f>
        <v>1</v>
      </c>
      <c r="P27" s="25">
        <f>WORLDCUP!AD85</f>
        <v>3</v>
      </c>
      <c r="Q27" s="25">
        <f t="shared" si="11"/>
        <v>2</v>
      </c>
      <c r="R27" s="55"/>
      <c r="S27" s="80" t="s">
        <v>1946</v>
      </c>
      <c r="T27" s="79">
        <f t="shared" si="8"/>
        <v>3</v>
      </c>
      <c r="U27" s="71"/>
      <c r="V27" s="80" t="s">
        <v>1946</v>
      </c>
      <c r="W27" s="79">
        <f t="shared" si="9"/>
        <v>3</v>
      </c>
      <c r="X27" s="71"/>
      <c r="Y27" s="80" t="s">
        <v>1946</v>
      </c>
      <c r="Z27" s="79">
        <f t="shared" si="12"/>
        <v>3</v>
      </c>
      <c r="AA27" s="71"/>
      <c r="AB27" s="80" t="s">
        <v>1951</v>
      </c>
      <c r="AC27" s="79">
        <f t="shared" si="12"/>
        <v>2</v>
      </c>
      <c r="AD27" s="71"/>
      <c r="AE27" s="80" t="s">
        <v>1946</v>
      </c>
      <c r="AF27" s="79">
        <f t="shared" si="12"/>
        <v>3</v>
      </c>
      <c r="AG27" s="71"/>
      <c r="AH27" s="71"/>
    </row>
    <row r="28" spans="1:34" x14ac:dyDescent="0.2">
      <c r="A28" s="55"/>
      <c r="B28" s="55"/>
      <c r="C28" s="445" t="str">
        <f>Idiomas!D324</f>
        <v>SEMIFINALES - Signo 1X2  (local, empate, visitante)</v>
      </c>
      <c r="D28" s="68">
        <v>6</v>
      </c>
      <c r="E28" s="117"/>
      <c r="F28" s="453">
        <f t="shared" si="7"/>
        <v>6</v>
      </c>
      <c r="G28" s="453">
        <f ca="1">VLOOKUP(H28,Equipos!$Q$1:$R$25,2,0)</f>
        <v>7</v>
      </c>
      <c r="H28" s="454">
        <f ca="1">TRUNC(INDEX(WORLDCUP!$X$4:$X$147,MATCH(ADMIN!K28,WORLDCUP!$DT$4:$DT$147,0)))</f>
        <v>46190</v>
      </c>
      <c r="I28" s="54">
        <v>1</v>
      </c>
      <c r="J28" s="102" t="s">
        <v>1196</v>
      </c>
      <c r="K28" s="59" t="str">
        <f ca="1">CONCATENATE(WORLDCUP!AA92,"-",WORLDCUP!AF92)</f>
        <v>Inglaterra-Croacia</v>
      </c>
      <c r="L28" s="59"/>
      <c r="M28" s="61" t="str">
        <f>IF(OR(WORLDCUP!AC92="",WORLDCUP!AD92=""),"-",N28&amp;"|"&amp;O28&amp;"-"&amp;P28)</f>
        <v>1|4-2</v>
      </c>
      <c r="N28" s="25" t="str">
        <f>IF(OR(WORLDCUP!AC92="",WORLDCUP!AD92=""),"",IF(WORLDCUP!AC92&gt;WORLDCUP!AD92,"1",IF(WORLDCUP!AC92&lt;WORLDCUP!AD92,"2","X")))</f>
        <v>1</v>
      </c>
      <c r="O28" s="25">
        <f>WORLDCUP!AC92</f>
        <v>4</v>
      </c>
      <c r="P28" s="25">
        <f>WORLDCUP!AD92</f>
        <v>2</v>
      </c>
      <c r="Q28" s="25">
        <f t="shared" si="11"/>
        <v>2</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1953</v>
      </c>
      <c r="W28" s="79">
        <f t="shared" si="9"/>
        <v>3</v>
      </c>
      <c r="X28" s="71"/>
      <c r="Y28" s="80" t="s">
        <v>1943</v>
      </c>
      <c r="Z28" s="79">
        <f t="shared" si="12"/>
        <v>0</v>
      </c>
      <c r="AA28" s="71"/>
      <c r="AB28" s="80" t="s">
        <v>1949</v>
      </c>
      <c r="AC28" s="79">
        <f t="shared" si="12"/>
        <v>3</v>
      </c>
      <c r="AD28" s="71"/>
      <c r="AE28" s="80" t="s">
        <v>1950</v>
      </c>
      <c r="AF28" s="79">
        <f t="shared" si="12"/>
        <v>2</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f>
        <v>46191</v>
      </c>
      <c r="I29" s="54">
        <v>1</v>
      </c>
      <c r="J29" s="102" t="s">
        <v>1196</v>
      </c>
      <c r="K29" s="63" t="str">
        <f ca="1">CONCATENATE(WORLDCUP!AA93,"-",WORLDCUP!AF93)</f>
        <v>Ghana-Panamá</v>
      </c>
      <c r="L29" s="64"/>
      <c r="M29" s="65" t="str">
        <f>IF(OR(WORLDCUP!AC93="",WORLDCUP!AD93=""),"-",N29&amp;"|"&amp;O29&amp;"-"&amp;P29)</f>
        <v>1|1-0</v>
      </c>
      <c r="N29" s="25" t="str">
        <f>IF(OR(WORLDCUP!AC93="",WORLDCUP!AD93=""),"",IF(WORLDCUP!AC93&gt;WORLDCUP!AD93,"1",IF(WORLDCUP!AC93&lt;WORLDCUP!AD93,"2","X")))</f>
        <v>1</v>
      </c>
      <c r="O29" s="25">
        <f>WORLDCUP!AC93</f>
        <v>1</v>
      </c>
      <c r="P29" s="25">
        <f>WORLDCUP!AD93</f>
        <v>0</v>
      </c>
      <c r="Q29" s="25">
        <f t="shared" si="11"/>
        <v>1</v>
      </c>
      <c r="R29" s="55"/>
      <c r="S29" s="84" t="s">
        <v>1943</v>
      </c>
      <c r="T29" s="85">
        <f t="shared" si="13"/>
        <v>0</v>
      </c>
      <c r="U29" s="71"/>
      <c r="V29" s="84" t="s">
        <v>1947</v>
      </c>
      <c r="W29" s="85">
        <f t="shared" si="9"/>
        <v>2</v>
      </c>
      <c r="X29" s="71"/>
      <c r="Y29" s="84" t="s">
        <v>1947</v>
      </c>
      <c r="Z29" s="85">
        <f t="shared" si="12"/>
        <v>2</v>
      </c>
      <c r="AA29" s="71"/>
      <c r="AB29" s="84" t="s">
        <v>1941</v>
      </c>
      <c r="AC29" s="85">
        <f t="shared" si="12"/>
        <v>3</v>
      </c>
      <c r="AD29" s="71"/>
      <c r="AE29" s="84" t="s">
        <v>1950</v>
      </c>
      <c r="AF29" s="85">
        <f t="shared" si="12"/>
        <v>6</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6</v>
      </c>
      <c r="U30" s="71"/>
      <c r="V30" s="82" t="s">
        <v>1941</v>
      </c>
      <c r="W30" s="83">
        <f t="shared" si="9"/>
        <v>0</v>
      </c>
      <c r="X30" s="71"/>
      <c r="Y30" s="82" t="s">
        <v>1951</v>
      </c>
      <c r="Z30" s="83">
        <f t="shared" si="12"/>
        <v>0</v>
      </c>
      <c r="AA30" s="71"/>
      <c r="AB30" s="82" t="s">
        <v>1941</v>
      </c>
      <c r="AC30" s="83">
        <f t="shared" si="12"/>
        <v>0</v>
      </c>
      <c r="AD30" s="71"/>
      <c r="AE30" s="82" t="s">
        <v>1949</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f>
        <v>46192</v>
      </c>
      <c r="I31" s="54">
        <v>1</v>
      </c>
      <c r="J31" s="101" t="s">
        <v>118</v>
      </c>
      <c r="K31" s="62" t="str">
        <f ca="1">CONCATENATE(WORLDCUP!AA7,"-",WORLDCUP!AF7)</f>
        <v>México-Corea del Sur</v>
      </c>
      <c r="L31" s="59"/>
      <c r="M31" s="61" t="str">
        <f>IF(OR(WORLDCUP!AC7="",WORLDCUP!AD7=""),"-",N31&amp;"|"&amp;O31&amp;"-"&amp;P31)</f>
        <v>1|1-0</v>
      </c>
      <c r="N31" s="25" t="str">
        <f>IF(OR(WORLDCUP!AC7="",WORLDCUP!AD7=""),"",IF(WORLDCUP!AC7&gt;WORLDCUP!AD7,"1",IF(WORLDCUP!AC7&lt;WORLDCUP!AD7,"2","X")))</f>
        <v>1</v>
      </c>
      <c r="O31" s="25">
        <f>WORLDCUP!AC7</f>
        <v>1</v>
      </c>
      <c r="P31" s="25">
        <f>WORLDCUP!AD7</f>
        <v>0</v>
      </c>
      <c r="Q31" s="25">
        <f t="shared" si="11"/>
        <v>1</v>
      </c>
      <c r="R31" s="55"/>
      <c r="S31" s="80" t="s">
        <v>1951</v>
      </c>
      <c r="T31" s="79">
        <f t="shared" si="13"/>
        <v>0</v>
      </c>
      <c r="U31" s="71"/>
      <c r="V31" s="80" t="s">
        <v>1949</v>
      </c>
      <c r="W31" s="79">
        <f t="shared" si="9"/>
        <v>2</v>
      </c>
      <c r="X31" s="71"/>
      <c r="Y31" s="80" t="s">
        <v>1955</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1943</v>
      </c>
      <c r="AC31" s="79">
        <f t="shared" si="14"/>
        <v>0</v>
      </c>
      <c r="AD31" s="71"/>
      <c r="AE31" s="80" t="s">
        <v>1943</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f>
        <v>46191</v>
      </c>
      <c r="I32" s="54">
        <v>1</v>
      </c>
      <c r="J32" s="102" t="s">
        <v>119</v>
      </c>
      <c r="K32" s="59" t="str">
        <f ca="1">CONCATENATE(WORLDCUP!AA14,"-",WORLDCUP!AF14)</f>
        <v>Suiza-Bosnia y Herzegovina</v>
      </c>
      <c r="L32" s="59"/>
      <c r="M32" s="61" t="str">
        <f>IF(OR(WORLDCUP!AC14="",WORLDCUP!AD14=""),"-",N32&amp;"|"&amp;O32&amp;"-"&amp;P32)</f>
        <v>1|4-1</v>
      </c>
      <c r="N32" s="25" t="str">
        <f>IF(OR(WORLDCUP!AC14="",WORLDCUP!AD14=""),"",IF(WORLDCUP!AC14&gt;WORLDCUP!AD14,"1",IF(WORLDCUP!AC14&lt;WORLDCUP!AD14,"2","X")))</f>
        <v>1</v>
      </c>
      <c r="O32" s="25">
        <f>WORLDCUP!AC14</f>
        <v>4</v>
      </c>
      <c r="P32" s="25">
        <f>WORLDCUP!AD14</f>
        <v>1</v>
      </c>
      <c r="Q32" s="25">
        <f t="shared" si="11"/>
        <v>3</v>
      </c>
      <c r="R32" s="55"/>
      <c r="S32" s="80" t="s">
        <v>1941</v>
      </c>
      <c r="T32" s="79">
        <f t="shared" si="13"/>
        <v>2</v>
      </c>
      <c r="U32" s="71"/>
      <c r="V32" s="80" t="s">
        <v>1941</v>
      </c>
      <c r="W32" s="79">
        <f t="shared" si="9"/>
        <v>2</v>
      </c>
      <c r="X32" s="71"/>
      <c r="Y32" s="80" t="s">
        <v>1945</v>
      </c>
      <c r="Z32" s="79">
        <f t="shared" si="14"/>
        <v>0</v>
      </c>
      <c r="AA32" s="71"/>
      <c r="AB32" s="80" t="s">
        <v>1950</v>
      </c>
      <c r="AC32" s="79">
        <f t="shared" si="14"/>
        <v>2</v>
      </c>
      <c r="AD32" s="71"/>
      <c r="AE32" s="80" t="s">
        <v>1941</v>
      </c>
      <c r="AF32" s="79">
        <f t="shared" si="14"/>
        <v>2</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f>
        <v>46192</v>
      </c>
      <c r="I33" s="54">
        <v>1</v>
      </c>
      <c r="J33" s="102" t="s">
        <v>119</v>
      </c>
      <c r="K33" s="62" t="str">
        <f ca="1">CONCATENATE(WORLDCUP!AA15,"-",WORLDCUP!AF15)</f>
        <v>Canadá-Catar</v>
      </c>
      <c r="L33" s="59"/>
      <c r="M33" s="61" t="str">
        <f>IF(OR(WORLDCUP!AC15="",WORLDCUP!AD15=""),"-",N33&amp;"|"&amp;O33&amp;"-"&amp;P33)</f>
        <v>1|6-0</v>
      </c>
      <c r="N33" s="25" t="str">
        <f>IF(OR(WORLDCUP!AC15="",WORLDCUP!AD15=""),"",IF(WORLDCUP!AC15&gt;WORLDCUP!AD15,"1",IF(WORLDCUP!AC15&lt;WORLDCUP!AD15,"2","X")))</f>
        <v>1</v>
      </c>
      <c r="O33" s="25">
        <f>WORLDCUP!AC15</f>
        <v>6</v>
      </c>
      <c r="P33" s="25">
        <f>WORLDCUP!AD15</f>
        <v>0</v>
      </c>
      <c r="Q33" s="25">
        <f t="shared" si="11"/>
        <v>6</v>
      </c>
      <c r="R33" s="55"/>
      <c r="S33" s="80" t="s">
        <v>1941</v>
      </c>
      <c r="T33" s="79">
        <f t="shared" si="13"/>
        <v>2</v>
      </c>
      <c r="U33" s="71"/>
      <c r="V33" s="80" t="s">
        <v>1950</v>
      </c>
      <c r="W33" s="79">
        <f t="shared" si="9"/>
        <v>2</v>
      </c>
      <c r="X33" s="71"/>
      <c r="Y33" s="80" t="s">
        <v>1953</v>
      </c>
      <c r="Z33" s="79">
        <f t="shared" si="14"/>
        <v>2</v>
      </c>
      <c r="AA33" s="71"/>
      <c r="AB33" s="80" t="s">
        <v>1941</v>
      </c>
      <c r="AC33" s="79">
        <f t="shared" si="14"/>
        <v>2</v>
      </c>
      <c r="AD33" s="71"/>
      <c r="AE33" s="80" t="s">
        <v>1949</v>
      </c>
      <c r="AF33" s="79">
        <f t="shared" si="14"/>
        <v>2</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f>
        <v>46193</v>
      </c>
      <c r="I34" s="54">
        <v>1</v>
      </c>
      <c r="J34" s="101" t="s">
        <v>120</v>
      </c>
      <c r="K34" s="59" t="str">
        <f ca="1">CONCATENATE(WORLDCUP!AA22,"-",WORLDCUP!AF22)</f>
        <v>Escocia-Marruecos</v>
      </c>
      <c r="L34" s="59"/>
      <c r="M34" s="61" t="str">
        <f>IF(OR(WORLDCUP!AC22="",WORLDCUP!AD22=""),"-",N34&amp;"|"&amp;O34&amp;"-"&amp;P34)</f>
        <v>2|0-1</v>
      </c>
      <c r="N34" s="25" t="str">
        <f>IF(OR(WORLDCUP!AC22="",WORLDCUP!AD22=""),"",IF(WORLDCUP!AC22&gt;WORLDCUP!AD22,"1",IF(WORLDCUP!AC22&lt;WORLDCUP!AD22,"2","X")))</f>
        <v>2</v>
      </c>
      <c r="O34" s="25">
        <f>WORLDCUP!AC22</f>
        <v>0</v>
      </c>
      <c r="P34" s="25">
        <f>WORLDCUP!AD22</f>
        <v>1</v>
      </c>
      <c r="Q34" s="25">
        <f t="shared" si="11"/>
        <v>1</v>
      </c>
      <c r="R34" s="55"/>
      <c r="S34" s="80" t="s">
        <v>1951</v>
      </c>
      <c r="T34" s="79">
        <f t="shared" si="13"/>
        <v>3</v>
      </c>
      <c r="U34" s="71"/>
      <c r="V34" s="80" t="s">
        <v>1951</v>
      </c>
      <c r="W34" s="79">
        <f t="shared" si="9"/>
        <v>3</v>
      </c>
      <c r="X34" s="71"/>
      <c r="Y34" s="80" t="s">
        <v>1946</v>
      </c>
      <c r="Z34" s="79">
        <f t="shared" si="14"/>
        <v>2</v>
      </c>
      <c r="AA34" s="71"/>
      <c r="AB34" s="80" t="s">
        <v>1943</v>
      </c>
      <c r="AC34" s="79">
        <f t="shared" si="14"/>
        <v>0</v>
      </c>
      <c r="AD34" s="71"/>
      <c r="AE34" s="80" t="s">
        <v>1943</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f>
        <v>46193</v>
      </c>
      <c r="I35" s="54">
        <v>1</v>
      </c>
      <c r="J35" s="101" t="s">
        <v>120</v>
      </c>
      <c r="K35" s="62" t="str">
        <f ca="1">CONCATENATE(WORLDCUP!AA23,"-",WORLDCUP!AF23)</f>
        <v>Brasil-Haití</v>
      </c>
      <c r="L35" s="59"/>
      <c r="M35" s="61" t="str">
        <f>IF(OR(WORLDCUP!AC23="",WORLDCUP!AD23=""),"-",N35&amp;"|"&amp;O35&amp;"-"&amp;P35)</f>
        <v>1|3-0</v>
      </c>
      <c r="N35" s="25" t="str">
        <f>IF(OR(WORLDCUP!AC23="",WORLDCUP!AD23=""),"",IF(WORLDCUP!AC23&gt;WORLDCUP!AD23,"1",IF(WORLDCUP!AC23&lt;WORLDCUP!AD23,"2","X")))</f>
        <v>1</v>
      </c>
      <c r="O35" s="25">
        <f>WORLDCUP!AC23</f>
        <v>3</v>
      </c>
      <c r="P35" s="25">
        <f>WORLDCUP!AD23</f>
        <v>0</v>
      </c>
      <c r="Q35" s="25">
        <f t="shared" si="11"/>
        <v>3</v>
      </c>
      <c r="R35" s="55"/>
      <c r="S35" s="80" t="s">
        <v>1952</v>
      </c>
      <c r="T35" s="79">
        <f t="shared" si="13"/>
        <v>2</v>
      </c>
      <c r="U35" s="71"/>
      <c r="V35" s="80" t="s">
        <v>1960</v>
      </c>
      <c r="W35" s="79">
        <f t="shared" si="9"/>
        <v>2</v>
      </c>
      <c r="X35" s="71"/>
      <c r="Y35" s="80" t="s">
        <v>1941</v>
      </c>
      <c r="Z35" s="79">
        <f t="shared" si="14"/>
        <v>2</v>
      </c>
      <c r="AA35" s="71"/>
      <c r="AB35" s="80" t="s">
        <v>1947</v>
      </c>
      <c r="AC35" s="79">
        <f t="shared" si="14"/>
        <v>6</v>
      </c>
      <c r="AD35" s="71"/>
      <c r="AE35" s="80" t="s">
        <v>1954</v>
      </c>
      <c r="AF35" s="79">
        <f t="shared" si="14"/>
        <v>2</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f>
        <v>46192</v>
      </c>
      <c r="I36" s="54">
        <v>1</v>
      </c>
      <c r="J36" s="102" t="s">
        <v>121</v>
      </c>
      <c r="K36" s="59" t="str">
        <f ca="1">CONCATENATE(WORLDCUP!AA30,"-",WORLDCUP!AF30)</f>
        <v>Estados Unidos-Australia</v>
      </c>
      <c r="L36" s="59"/>
      <c r="M36" s="61" t="str">
        <f>IF(OR(WORLDCUP!AC30="",WORLDCUP!AD30=""),"-",N36&amp;"|"&amp;O36&amp;"-"&amp;P36)</f>
        <v>1|2-0</v>
      </c>
      <c r="N36" s="25" t="str">
        <f>IF(OR(WORLDCUP!AC30="",WORLDCUP!AD30=""),"",IF(WORLDCUP!AC30&gt;WORLDCUP!AD30,"1",IF(WORLDCUP!AC30&lt;WORLDCUP!AD30,"2","X")))</f>
        <v>1</v>
      </c>
      <c r="O36" s="25">
        <f>WORLDCUP!AC30</f>
        <v>2</v>
      </c>
      <c r="P36" s="25">
        <f>WORLDCUP!AD30</f>
        <v>0</v>
      </c>
      <c r="Q36" s="25">
        <f t="shared" si="11"/>
        <v>2</v>
      </c>
      <c r="R36" s="55"/>
      <c r="S36" s="80" t="s">
        <v>1945</v>
      </c>
      <c r="T36" s="79">
        <f t="shared" si="13"/>
        <v>0</v>
      </c>
      <c r="U36" s="71"/>
      <c r="V36" s="80" t="s">
        <v>1950</v>
      </c>
      <c r="W36" s="79">
        <f t="shared" si="9"/>
        <v>2</v>
      </c>
      <c r="X36" s="71"/>
      <c r="Y36" s="80" t="s">
        <v>1950</v>
      </c>
      <c r="Z36" s="79">
        <f t="shared" si="14"/>
        <v>2</v>
      </c>
      <c r="AA36" s="71"/>
      <c r="AB36" s="80" t="s">
        <v>1941</v>
      </c>
      <c r="AC36" s="79">
        <f t="shared" si="14"/>
        <v>2</v>
      </c>
      <c r="AD36" s="71"/>
      <c r="AE36" s="80" t="s">
        <v>1950</v>
      </c>
      <c r="AF36" s="79">
        <f t="shared" si="14"/>
        <v>2</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f>
        <v>46193</v>
      </c>
      <c r="I37" s="54">
        <v>1</v>
      </c>
      <c r="J37" s="102" t="s">
        <v>121</v>
      </c>
      <c r="K37" s="62" t="str">
        <f ca="1">CONCATENATE(WORLDCUP!AA31,"-",WORLDCUP!AF31)</f>
        <v>Turquía-Paraguay</v>
      </c>
      <c r="L37" s="59"/>
      <c r="M37" s="61" t="str">
        <f>IF(OR(WORLDCUP!AC31="",WORLDCUP!AD31=""),"-",N37&amp;"|"&amp;O37&amp;"-"&amp;P37)</f>
        <v>2|0-1</v>
      </c>
      <c r="N37" s="25" t="str">
        <f>IF(OR(WORLDCUP!AC31="",WORLDCUP!AD31=""),"",IF(WORLDCUP!AC31&gt;WORLDCUP!AD31,"1",IF(WORLDCUP!AC31&lt;WORLDCUP!AD31,"2","X")))</f>
        <v>2</v>
      </c>
      <c r="O37" s="25">
        <f>WORLDCUP!AC31</f>
        <v>0</v>
      </c>
      <c r="P37" s="25">
        <f>WORLDCUP!AD31</f>
        <v>1</v>
      </c>
      <c r="Q37" s="25">
        <f t="shared" si="11"/>
        <v>1</v>
      </c>
      <c r="R37" s="55"/>
      <c r="S37" s="80" t="s">
        <v>1943</v>
      </c>
      <c r="T37" s="79">
        <f t="shared" si="8"/>
        <v>0</v>
      </c>
      <c r="U37" s="71"/>
      <c r="V37" s="80" t="s">
        <v>1941</v>
      </c>
      <c r="W37" s="79">
        <f t="shared" si="9"/>
        <v>0</v>
      </c>
      <c r="X37" s="71"/>
      <c r="Y37" s="80" t="s">
        <v>1950</v>
      </c>
      <c r="Z37" s="79">
        <f t="shared" si="14"/>
        <v>0</v>
      </c>
      <c r="AA37" s="71"/>
      <c r="AB37" s="80" t="s">
        <v>1943</v>
      </c>
      <c r="AC37" s="79">
        <f t="shared" si="14"/>
        <v>0</v>
      </c>
      <c r="AD37" s="71"/>
      <c r="AE37" s="80" t="s">
        <v>1941</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10</v>
      </c>
      <c r="H38" s="454">
        <f ca="1">TRUNC(INDEX(WORLDCUP!$X$4:$X$147,MATCH(ADMIN!K38,WORLDCUP!$DT$4:$DT$147,0)))</f>
        <v>46193</v>
      </c>
      <c r="I38" s="54">
        <v>1</v>
      </c>
      <c r="J38" s="101" t="s">
        <v>122</v>
      </c>
      <c r="K38" s="59" t="str">
        <f ca="1">CONCATENATE(WORLDCUP!AA38,"-",WORLDCUP!AF38)</f>
        <v>Alemania-Costa de Marfil</v>
      </c>
      <c r="L38" s="59"/>
      <c r="M38" s="61" t="str">
        <f>IF(OR(WORLDCUP!AC38="",WORLDCUP!AD38=""),"-",N38&amp;"|"&amp;O38&amp;"-"&amp;P38)</f>
        <v>1|2-1</v>
      </c>
      <c r="N38" s="25" t="str">
        <f>IF(OR(WORLDCUP!AC38="",WORLDCUP!AD38=""),"",IF(WORLDCUP!AC38&gt;WORLDCUP!AD38,"1",IF(WORLDCUP!AC38&lt;WORLDCUP!AD38,"2","X")))</f>
        <v>1</v>
      </c>
      <c r="O38" s="25">
        <f>WORLDCUP!AC38</f>
        <v>2</v>
      </c>
      <c r="P38" s="25">
        <f>WORLDCUP!AD38</f>
        <v>1</v>
      </c>
      <c r="Q38" s="25">
        <f t="shared" si="11"/>
        <v>1</v>
      </c>
      <c r="R38" s="55"/>
      <c r="S38" s="80" t="s">
        <v>1941</v>
      </c>
      <c r="T38" s="79">
        <f t="shared" si="8"/>
        <v>6</v>
      </c>
      <c r="U38" s="71"/>
      <c r="V38" s="80" t="s">
        <v>1943</v>
      </c>
      <c r="W38" s="79">
        <f t="shared" si="9"/>
        <v>0</v>
      </c>
      <c r="X38" s="71"/>
      <c r="Y38" s="80" t="s">
        <v>1945</v>
      </c>
      <c r="Z38" s="79">
        <f t="shared" si="14"/>
        <v>0</v>
      </c>
      <c r="AA38" s="71"/>
      <c r="AB38" s="80" t="s">
        <v>1941</v>
      </c>
      <c r="AC38" s="79">
        <f t="shared" si="14"/>
        <v>6</v>
      </c>
      <c r="AD38" s="71"/>
      <c r="AE38" s="80" t="s">
        <v>1953</v>
      </c>
      <c r="AF38" s="79">
        <f t="shared" si="14"/>
        <v>2</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f>
        <v>46194</v>
      </c>
      <c r="I39" s="54">
        <v>1</v>
      </c>
      <c r="J39" s="101" t="s">
        <v>122</v>
      </c>
      <c r="K39" s="62" t="str">
        <f ca="1">CONCATENATE(WORLDCUP!AA39,"-",WORLDCUP!AF39)</f>
        <v>Ecuador-Curazao</v>
      </c>
      <c r="L39" s="59"/>
      <c r="M39" s="61" t="str">
        <f>IF(OR(WORLDCUP!AC39="",WORLDCUP!AD39=""),"-",N39&amp;"|"&amp;O39&amp;"-"&amp;P39)</f>
        <v>X|0-0</v>
      </c>
      <c r="N39" s="25" t="str">
        <f>IF(OR(WORLDCUP!AC39="",WORLDCUP!AD39=""),"",IF(WORLDCUP!AC39&gt;WORLDCUP!AD39,"1",IF(WORLDCUP!AC39&lt;WORLDCUP!AD39,"2","X")))</f>
        <v>X</v>
      </c>
      <c r="O39" s="25">
        <f>WORLDCUP!AC39</f>
        <v>0</v>
      </c>
      <c r="P39" s="25">
        <f>WORLDCUP!AD39</f>
        <v>0</v>
      </c>
      <c r="Q39" s="25">
        <f t="shared" si="11"/>
        <v>0</v>
      </c>
      <c r="R39" s="55"/>
      <c r="S39" s="80" t="s">
        <v>1949</v>
      </c>
      <c r="T39" s="79">
        <f t="shared" si="8"/>
        <v>0</v>
      </c>
      <c r="U39" s="71"/>
      <c r="V39" s="80" t="s">
        <v>1952</v>
      </c>
      <c r="W39" s="79">
        <f t="shared" si="9"/>
        <v>0</v>
      </c>
      <c r="X39" s="71"/>
      <c r="Y39" s="80" t="s">
        <v>1949</v>
      </c>
      <c r="Z39" s="79">
        <f t="shared" si="14"/>
        <v>0</v>
      </c>
      <c r="AA39" s="71"/>
      <c r="AB39" s="80" t="s">
        <v>1949</v>
      </c>
      <c r="AC39" s="79">
        <f t="shared" si="14"/>
        <v>0</v>
      </c>
      <c r="AD39" s="71"/>
      <c r="AE39" s="80" t="s">
        <v>1947</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f>
        <v>46193</v>
      </c>
      <c r="I40" s="54">
        <v>1</v>
      </c>
      <c r="J40" s="102" t="s">
        <v>123</v>
      </c>
      <c r="K40" s="59" t="str">
        <f ca="1">CONCATENATE(WORLDCUP!AA46,"-",WORLDCUP!AF46)</f>
        <v>Países Bajos-Suecia</v>
      </c>
      <c r="L40" s="59"/>
      <c r="M40" s="61" t="str">
        <f>IF(OR(WORLDCUP!AC46="",WORLDCUP!AD46=""),"-",N40&amp;"|"&amp;O40&amp;"-"&amp;P40)</f>
        <v>1|5-1</v>
      </c>
      <c r="N40" s="25" t="str">
        <f>IF(OR(WORLDCUP!AC46="",WORLDCUP!AD46=""),"",IF(WORLDCUP!AC46&gt;WORLDCUP!AD46,"1",IF(WORLDCUP!AC46&lt;WORLDCUP!AD46,"2","X")))</f>
        <v>1</v>
      </c>
      <c r="O40" s="25">
        <f>WORLDCUP!AC46</f>
        <v>5</v>
      </c>
      <c r="P40" s="25">
        <f>WORLDCUP!AD46</f>
        <v>1</v>
      </c>
      <c r="Q40" s="25">
        <f t="shared" si="11"/>
        <v>4</v>
      </c>
      <c r="R40" s="55"/>
      <c r="S40" s="80" t="s">
        <v>1941</v>
      </c>
      <c r="T40" s="79">
        <f t="shared" si="8"/>
        <v>2</v>
      </c>
      <c r="U40" s="71"/>
      <c r="V40" s="80" t="s">
        <v>1949</v>
      </c>
      <c r="W40" s="79">
        <f t="shared" si="9"/>
        <v>2</v>
      </c>
      <c r="X40" s="71"/>
      <c r="Y40" s="80" t="s">
        <v>1941</v>
      </c>
      <c r="Z40" s="79">
        <f t="shared" si="14"/>
        <v>2</v>
      </c>
      <c r="AA40" s="71"/>
      <c r="AB40" s="80" t="s">
        <v>1941</v>
      </c>
      <c r="AC40" s="79">
        <f t="shared" si="14"/>
        <v>2</v>
      </c>
      <c r="AD40" s="71"/>
      <c r="AE40" s="80" t="s">
        <v>1943</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f>
        <v>46194</v>
      </c>
      <c r="I41" s="54">
        <v>1</v>
      </c>
      <c r="J41" s="102" t="s">
        <v>123</v>
      </c>
      <c r="K41" s="62" t="str">
        <f ca="1">CONCATENATE(WORLDCUP!AA47,"-",WORLDCUP!AF47)</f>
        <v>Túnez-Japón</v>
      </c>
      <c r="L41" s="59"/>
      <c r="M41" s="61" t="str">
        <f>IF(OR(WORLDCUP!AC47="",WORLDCUP!AD47=""),"-",N41&amp;"|"&amp;O41&amp;"-"&amp;P41)</f>
        <v>2|0-4</v>
      </c>
      <c r="N41" s="25" t="str">
        <f>IF(OR(WORLDCUP!AC47="",WORLDCUP!AD47=""),"",IF(WORLDCUP!AC47&gt;WORLDCUP!AD47,"1",IF(WORLDCUP!AC47&lt;WORLDCUP!AD47,"2","X")))</f>
        <v>2</v>
      </c>
      <c r="O41" s="25">
        <f>WORLDCUP!AC47</f>
        <v>0</v>
      </c>
      <c r="P41" s="25">
        <f>WORLDCUP!AD47</f>
        <v>4</v>
      </c>
      <c r="Q41" s="25">
        <f t="shared" si="11"/>
        <v>4</v>
      </c>
      <c r="R41" s="55"/>
      <c r="S41" s="80" t="s">
        <v>1951</v>
      </c>
      <c r="T41" s="79">
        <f t="shared" si="8"/>
        <v>2</v>
      </c>
      <c r="U41" s="71"/>
      <c r="V41" s="80" t="s">
        <v>1946</v>
      </c>
      <c r="W41" s="79">
        <f t="shared" si="9"/>
        <v>2</v>
      </c>
      <c r="X41" s="71"/>
      <c r="Y41" s="80" t="s">
        <v>1942</v>
      </c>
      <c r="Z41" s="79">
        <f t="shared" si="14"/>
        <v>2</v>
      </c>
      <c r="AA41" s="71"/>
      <c r="AB41" s="80" t="s">
        <v>1942</v>
      </c>
      <c r="AC41" s="79">
        <f t="shared" si="14"/>
        <v>2</v>
      </c>
      <c r="AD41" s="71"/>
      <c r="AE41" s="80" t="s">
        <v>1946</v>
      </c>
      <c r="AF41" s="79">
        <f t="shared" si="14"/>
        <v>2</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f>
        <v>46194</v>
      </c>
      <c r="I42" s="54">
        <v>1</v>
      </c>
      <c r="J42" s="101" t="s">
        <v>511</v>
      </c>
      <c r="K42" s="59" t="str">
        <f ca="1">CONCATENATE(WORLDCUP!AA54,"-",WORLDCUP!AF54)</f>
        <v>Bélgica-Irán</v>
      </c>
      <c r="L42" s="59"/>
      <c r="M42" s="61" t="str">
        <f>IF(OR(WORLDCUP!AC54="",WORLDCUP!AD54=""),"-",N42&amp;"|"&amp;O42&amp;"-"&amp;P42)</f>
        <v>X|0-0</v>
      </c>
      <c r="N42" s="25" t="str">
        <f>IF(OR(WORLDCUP!AC54="",WORLDCUP!AD54=""),"",IF(WORLDCUP!AC54&gt;WORLDCUP!AD54,"1",IF(WORLDCUP!AC54&lt;WORLDCUP!AD54,"2","X")))</f>
        <v>X</v>
      </c>
      <c r="O42" s="25">
        <f>WORLDCUP!AC54</f>
        <v>0</v>
      </c>
      <c r="P42" s="25">
        <f>WORLDCUP!AD54</f>
        <v>0</v>
      </c>
      <c r="Q42" s="25">
        <f t="shared" si="11"/>
        <v>0</v>
      </c>
      <c r="R42" s="55"/>
      <c r="S42" s="82" t="s">
        <v>1947</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1949</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1950</v>
      </c>
      <c r="Z42" s="83">
        <f t="shared" si="14"/>
        <v>0</v>
      </c>
      <c r="AA42" s="71"/>
      <c r="AB42" s="82" t="s">
        <v>1949</v>
      </c>
      <c r="AC42" s="83">
        <f t="shared" si="14"/>
        <v>0</v>
      </c>
      <c r="AD42" s="71"/>
      <c r="AE42" s="82" t="s">
        <v>1941</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f>
        <v>46195</v>
      </c>
      <c r="I43" s="54">
        <v>1</v>
      </c>
      <c r="J43" s="101" t="s">
        <v>511</v>
      </c>
      <c r="K43" s="62" t="str">
        <f ca="1">CONCATENATE(WORLDCUP!AA55,"-",WORLDCUP!AF55)</f>
        <v>Nueva Zelanda-Egipto</v>
      </c>
      <c r="L43" s="59"/>
      <c r="M43" s="61" t="str">
        <f>IF(OR(WORLDCUP!AC55="",WORLDCUP!AD55=""),"-",N43&amp;"|"&amp;O43&amp;"-"&amp;P43)</f>
        <v>2|1-3</v>
      </c>
      <c r="N43" s="25" t="str">
        <f>IF(OR(WORLDCUP!AC55="",WORLDCUP!AD55=""),"",IF(WORLDCUP!AC55&gt;WORLDCUP!AD55,"1",IF(WORLDCUP!AC55&lt;WORLDCUP!AD55,"2","X")))</f>
        <v>2</v>
      </c>
      <c r="O43" s="25">
        <f>WORLDCUP!AC55</f>
        <v>1</v>
      </c>
      <c r="P43" s="25">
        <f>WORLDCUP!AD55</f>
        <v>3</v>
      </c>
      <c r="Q43" s="25">
        <f t="shared" si="11"/>
        <v>2</v>
      </c>
      <c r="R43" s="55"/>
      <c r="S43" s="80" t="s">
        <v>1946</v>
      </c>
      <c r="T43" s="79">
        <f t="shared" si="8"/>
        <v>3</v>
      </c>
      <c r="U43" s="71"/>
      <c r="V43" s="80" t="s">
        <v>1955</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6</v>
      </c>
      <c r="X43" s="71"/>
      <c r="Y43" s="80" t="s">
        <v>1951</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2</v>
      </c>
      <c r="AA43" s="71"/>
      <c r="AB43" s="80" t="s">
        <v>1946</v>
      </c>
      <c r="AC43" s="79">
        <f t="shared" si="16"/>
        <v>3</v>
      </c>
      <c r="AD43" s="71"/>
      <c r="AE43" s="80" t="s">
        <v>1951</v>
      </c>
      <c r="AF43" s="79">
        <f t="shared" si="16"/>
        <v>2</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f>
        <v>46194</v>
      </c>
      <c r="I44" s="54">
        <v>1</v>
      </c>
      <c r="J44" s="102" t="s">
        <v>513</v>
      </c>
      <c r="K44" s="62" t="str">
        <f ca="1">CONCATENATE(WORLDCUP!AA62,"-",WORLDCUP!AF62)</f>
        <v>España-Arabia Saudita</v>
      </c>
      <c r="L44" s="59"/>
      <c r="M44" s="61" t="str">
        <f>IF(OR(WORLDCUP!AC62="",WORLDCUP!AD62=""),"-",N44&amp;"|"&amp;O44&amp;"-"&amp;P44)</f>
        <v>1|4-0</v>
      </c>
      <c r="N44" s="25" t="str">
        <f>IF(OR(WORLDCUP!AC62="",WORLDCUP!AD62=""),"",IF(WORLDCUP!AC62&gt;WORLDCUP!AD62,"1",IF(WORLDCUP!AC62&lt;WORLDCUP!AD62,"2","X")))</f>
        <v>1</v>
      </c>
      <c r="O44" s="25">
        <f>WORLDCUP!AC62</f>
        <v>4</v>
      </c>
      <c r="P44" s="25">
        <f>WORLDCUP!AD62</f>
        <v>0</v>
      </c>
      <c r="Q44" s="25">
        <f t="shared" si="11"/>
        <v>4</v>
      </c>
      <c r="R44" s="55"/>
      <c r="S44" s="80" t="s">
        <v>1953</v>
      </c>
      <c r="T44" s="79">
        <f t="shared" si="8"/>
        <v>2</v>
      </c>
      <c r="U44" s="71"/>
      <c r="V44" s="80" t="s">
        <v>1962</v>
      </c>
      <c r="W44" s="79">
        <f t="shared" si="15"/>
        <v>3</v>
      </c>
      <c r="X44" s="71"/>
      <c r="Y44" s="80" t="s">
        <v>1949</v>
      </c>
      <c r="Z44" s="79">
        <f t="shared" si="16"/>
        <v>2</v>
      </c>
      <c r="AA44" s="71"/>
      <c r="AB44" s="80" t="s">
        <v>1949</v>
      </c>
      <c r="AC44" s="79">
        <f t="shared" si="16"/>
        <v>2</v>
      </c>
      <c r="AD44" s="71"/>
      <c r="AE44" s="80" t="s">
        <v>1949</v>
      </c>
      <c r="AF44" s="79">
        <f t="shared" si="16"/>
        <v>2</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f>
        <v>46195</v>
      </c>
      <c r="I45" s="54">
        <v>1</v>
      </c>
      <c r="J45" s="102" t="s">
        <v>513</v>
      </c>
      <c r="K45" s="59" t="str">
        <f ca="1">CONCATENATE(WORLDCUP!AA63,"-",WORLDCUP!AF63)</f>
        <v>Uruguay-Cabo Verde</v>
      </c>
      <c r="L45" s="59"/>
      <c r="M45" s="61" t="str">
        <f>IF(OR(WORLDCUP!AC63="",WORLDCUP!AD63=""),"-",N45&amp;"|"&amp;O45&amp;"-"&amp;P45)</f>
        <v>X|2-2</v>
      </c>
      <c r="N45" s="25" t="str">
        <f>IF(OR(WORLDCUP!AC63="",WORLDCUP!AD63=""),"",IF(WORLDCUP!AC63&gt;WORLDCUP!AD63,"1",IF(WORLDCUP!AC63&lt;WORLDCUP!AD63,"2","X")))</f>
        <v>X</v>
      </c>
      <c r="O45" s="25">
        <f>WORLDCUP!AC63</f>
        <v>2</v>
      </c>
      <c r="P45" s="25">
        <f>WORLDCUP!AD63</f>
        <v>2</v>
      </c>
      <c r="Q45" s="25">
        <f t="shared" si="11"/>
        <v>0</v>
      </c>
      <c r="R45" s="55"/>
      <c r="S45" s="80" t="s">
        <v>1947</v>
      </c>
      <c r="T45" s="79">
        <f t="shared" si="8"/>
        <v>0</v>
      </c>
      <c r="U45" s="71"/>
      <c r="V45" s="80" t="s">
        <v>1949</v>
      </c>
      <c r="W45" s="79">
        <f t="shared" si="15"/>
        <v>0</v>
      </c>
      <c r="X45" s="71"/>
      <c r="Y45" s="80" t="s">
        <v>1950</v>
      </c>
      <c r="Z45" s="79">
        <f t="shared" si="16"/>
        <v>0</v>
      </c>
      <c r="AA45" s="71"/>
      <c r="AB45" s="80" t="s">
        <v>1949</v>
      </c>
      <c r="AC45" s="79">
        <f t="shared" si="16"/>
        <v>0</v>
      </c>
      <c r="AD45" s="71"/>
      <c r="AE45" s="80" t="s">
        <v>1953</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12</v>
      </c>
      <c r="H46" s="454">
        <f ca="1">TRUNC(INDEX(WORLDCUP!$X$4:$X$147,MATCH(ADMIN!K46,WORLDCUP!$DT$4:$DT$147,0)))</f>
        <v>46195</v>
      </c>
      <c r="I46" s="54">
        <v>1</v>
      </c>
      <c r="J46" s="101" t="s">
        <v>514</v>
      </c>
      <c r="K46" s="59" t="str">
        <f ca="1">CONCATENATE(WORLDCUP!AA70,"-",WORLDCUP!AF70)</f>
        <v>Francia-Irak</v>
      </c>
      <c r="L46" s="59"/>
      <c r="M46" s="61" t="str">
        <f>IF(OR(WORLDCUP!AC70="",WORLDCUP!AD70=""),"-",N46&amp;"|"&amp;O46&amp;"-"&amp;P46)</f>
        <v>1|3-0</v>
      </c>
      <c r="N46" s="25" t="str">
        <f>IF(OR(WORLDCUP!AC70="",WORLDCUP!AD70=""),"",IF(WORLDCUP!AC70&gt;WORLDCUP!AD70,"1",IF(WORLDCUP!AC70&lt;WORLDCUP!AD70,"2","X")))</f>
        <v>1</v>
      </c>
      <c r="O46" s="25">
        <f>WORLDCUP!AC70</f>
        <v>3</v>
      </c>
      <c r="P46" s="25">
        <f>WORLDCUP!AD70</f>
        <v>0</v>
      </c>
      <c r="Q46" s="25">
        <f t="shared" si="11"/>
        <v>3</v>
      </c>
      <c r="R46" s="55"/>
      <c r="S46" s="80" t="s">
        <v>1954</v>
      </c>
      <c r="T46" s="79">
        <f t="shared" si="8"/>
        <v>2</v>
      </c>
      <c r="U46" s="71"/>
      <c r="V46" s="80" t="s">
        <v>1954</v>
      </c>
      <c r="W46" s="79">
        <f t="shared" si="15"/>
        <v>2</v>
      </c>
      <c r="X46" s="71"/>
      <c r="Y46" s="80" t="s">
        <v>1949</v>
      </c>
      <c r="Z46" s="79">
        <f t="shared" si="16"/>
        <v>2</v>
      </c>
      <c r="AA46" s="71"/>
      <c r="AB46" s="80" t="s">
        <v>1947</v>
      </c>
      <c r="AC46" s="79">
        <f t="shared" si="16"/>
        <v>6</v>
      </c>
      <c r="AD46" s="71"/>
      <c r="AE46" s="80" t="s">
        <v>1947</v>
      </c>
      <c r="AF46" s="79">
        <f t="shared" si="16"/>
        <v>6</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f>
        <v>46196</v>
      </c>
      <c r="I47" s="54">
        <v>1</v>
      </c>
      <c r="J47" s="101" t="s">
        <v>514</v>
      </c>
      <c r="K47" s="62" t="str">
        <f ca="1">CONCATENATE(WORLDCUP!AA71,"-",WORLDCUP!AF71)</f>
        <v>Noruega-Senegal</v>
      </c>
      <c r="L47" s="59"/>
      <c r="M47" s="61" t="str">
        <f>IF(OR(WORLDCUP!AC71="",WORLDCUP!AD71=""),"-",N47&amp;"|"&amp;O47&amp;"-"&amp;P47)</f>
        <v>1|3-2</v>
      </c>
      <c r="N47" s="25" t="str">
        <f>IF(OR(WORLDCUP!AC71="",WORLDCUP!AD71=""),"",IF(WORLDCUP!AC71&gt;WORLDCUP!AD71,"1",IF(WORLDCUP!AC71&lt;WORLDCUP!AD71,"2","X")))</f>
        <v>1</v>
      </c>
      <c r="O47" s="25">
        <f>WORLDCUP!AC71</f>
        <v>3</v>
      </c>
      <c r="P47" s="25">
        <f>WORLDCUP!AD71</f>
        <v>2</v>
      </c>
      <c r="Q47" s="25">
        <f t="shared" si="11"/>
        <v>1</v>
      </c>
      <c r="R47" s="55"/>
      <c r="S47" s="80" t="s">
        <v>1950</v>
      </c>
      <c r="T47" s="79">
        <f t="shared" si="8"/>
        <v>3</v>
      </c>
      <c r="U47" s="71"/>
      <c r="V47" s="80" t="s">
        <v>1941</v>
      </c>
      <c r="W47" s="79">
        <f t="shared" si="15"/>
        <v>3</v>
      </c>
      <c r="X47" s="71"/>
      <c r="Y47" s="80" t="s">
        <v>1945</v>
      </c>
      <c r="Z47" s="79">
        <f t="shared" si="16"/>
        <v>0</v>
      </c>
      <c r="AA47" s="71"/>
      <c r="AB47" s="80" t="s">
        <v>1945</v>
      </c>
      <c r="AC47" s="79">
        <f t="shared" si="16"/>
        <v>0</v>
      </c>
      <c r="AD47" s="71"/>
      <c r="AE47" s="80" t="s">
        <v>1941</v>
      </c>
      <c r="AF47" s="79">
        <f t="shared" si="16"/>
        <v>3</v>
      </c>
      <c r="AG47" s="71"/>
      <c r="AH47" s="71"/>
    </row>
    <row r="48" spans="1:34" x14ac:dyDescent="0.2">
      <c r="A48" s="55"/>
      <c r="B48" s="55"/>
      <c r="C48" s="17"/>
      <c r="D48" s="17"/>
      <c r="E48" s="95"/>
      <c r="F48" s="453">
        <f t="shared" si="7"/>
        <v>6</v>
      </c>
      <c r="G48" s="453">
        <f ca="1">VLOOKUP(H48,Equipos!$Q$1:$R$25,2,0)</f>
        <v>12</v>
      </c>
      <c r="H48" s="454">
        <f ca="1">TRUNC(INDEX(WORLDCUP!$X$4:$X$147,MATCH(ADMIN!K48,WORLDCUP!$DT$4:$DT$147,0)))</f>
        <v>46195</v>
      </c>
      <c r="I48" s="54">
        <v>1</v>
      </c>
      <c r="J48" s="102" t="s">
        <v>27</v>
      </c>
      <c r="K48" s="59" t="str">
        <f ca="1">CONCATENATE(WORLDCUP!AA78,"-",WORLDCUP!AF78)</f>
        <v>Argentina-Austria</v>
      </c>
      <c r="L48" s="59"/>
      <c r="M48" s="59" t="str">
        <f>IF(OR(WORLDCUP!AC78="",WORLDCUP!AD78=""),"-",N48&amp;"|"&amp;O48&amp;"-"&amp;P48)</f>
        <v>1|2-0</v>
      </c>
      <c r="N48" s="25" t="str">
        <f>IF(OR(WORLDCUP!AC78="",WORLDCUP!AD78=""),"",IF(WORLDCUP!AC78&gt;WORLDCUP!AD78,"1",IF(WORLDCUP!AC78&lt;WORLDCUP!AD78,"2","X")))</f>
        <v>1</v>
      </c>
      <c r="O48" s="25">
        <f>WORLDCUP!AC78</f>
        <v>2</v>
      </c>
      <c r="P48" s="25">
        <f>WORLDCUP!AD78</f>
        <v>0</v>
      </c>
      <c r="Q48" s="25">
        <f t="shared" si="11"/>
        <v>2</v>
      </c>
      <c r="R48" s="55"/>
      <c r="S48" s="80" t="s">
        <v>1941</v>
      </c>
      <c r="T48" s="79">
        <f t="shared" si="8"/>
        <v>2</v>
      </c>
      <c r="U48" s="71"/>
      <c r="V48" s="80" t="s">
        <v>1951</v>
      </c>
      <c r="W48" s="79">
        <f t="shared" si="15"/>
        <v>0</v>
      </c>
      <c r="X48" s="71"/>
      <c r="Y48" s="80" t="s">
        <v>1952</v>
      </c>
      <c r="Z48" s="79">
        <f t="shared" si="16"/>
        <v>2</v>
      </c>
      <c r="AA48" s="71"/>
      <c r="AB48" s="80" t="s">
        <v>1941</v>
      </c>
      <c r="AC48" s="79">
        <f t="shared" si="16"/>
        <v>2</v>
      </c>
      <c r="AD48" s="71"/>
      <c r="AE48" s="80" t="s">
        <v>1950</v>
      </c>
      <c r="AF48" s="79">
        <f t="shared" si="16"/>
        <v>2</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f>
        <v>46196</v>
      </c>
      <c r="I49" s="54">
        <v>1</v>
      </c>
      <c r="J49" s="102" t="s">
        <v>27</v>
      </c>
      <c r="K49" s="59" t="str">
        <f ca="1">CONCATENATE(WORLDCUP!AA79,"-",WORLDCUP!AF79)</f>
        <v>Jordania-Argelia</v>
      </c>
      <c r="L49" s="59"/>
      <c r="M49" s="61" t="str">
        <f>IF(OR(WORLDCUP!AC79="",WORLDCUP!AD79=""),"-",N49&amp;"|"&amp;O49&amp;"-"&amp;P49)</f>
        <v>2|1-2</v>
      </c>
      <c r="N49" s="25" t="str">
        <f>IF(OR(WORLDCUP!AC79="",WORLDCUP!AD79=""),"",IF(WORLDCUP!AC79&gt;WORLDCUP!AD79,"1",IF(WORLDCUP!AC79&lt;WORLDCUP!AD79,"2","X")))</f>
        <v>2</v>
      </c>
      <c r="O49" s="25">
        <f>WORLDCUP!AC79</f>
        <v>1</v>
      </c>
      <c r="P49" s="25">
        <f>WORLDCUP!AD79</f>
        <v>2</v>
      </c>
      <c r="Q49" s="25">
        <f t="shared" si="11"/>
        <v>1</v>
      </c>
      <c r="R49" s="55"/>
      <c r="S49" s="80" t="s">
        <v>1942</v>
      </c>
      <c r="T49" s="79">
        <f t="shared" si="8"/>
        <v>3</v>
      </c>
      <c r="U49" s="71"/>
      <c r="V49" s="80" t="s">
        <v>1946</v>
      </c>
      <c r="W49" s="79">
        <f t="shared" si="15"/>
        <v>2</v>
      </c>
      <c r="X49" s="71"/>
      <c r="Y49" s="80" t="s">
        <v>1942</v>
      </c>
      <c r="Z49" s="79">
        <f t="shared" si="16"/>
        <v>3</v>
      </c>
      <c r="AA49" s="71"/>
      <c r="AB49" s="80" t="s">
        <v>1942</v>
      </c>
      <c r="AC49" s="79">
        <f t="shared" si="16"/>
        <v>3</v>
      </c>
      <c r="AD49" s="71"/>
      <c r="AE49" s="80" t="s">
        <v>1942</v>
      </c>
      <c r="AF49" s="79">
        <f t="shared" si="16"/>
        <v>3</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f>
        <v>46196</v>
      </c>
      <c r="I50" s="54">
        <v>1</v>
      </c>
      <c r="J50" s="101" t="s">
        <v>300</v>
      </c>
      <c r="K50" s="62" t="str">
        <f ca="1">CONCATENATE(WORLDCUP!AA86,"-",WORLDCUP!AF86)</f>
        <v>Portugal-Uzbekistán</v>
      </c>
      <c r="L50" s="59"/>
      <c r="M50" s="61" t="str">
        <f>IF(OR(WORLDCUP!AC86="",WORLDCUP!AD86=""),"-",N50&amp;"|"&amp;O50&amp;"-"&amp;P50)</f>
        <v>1|5-0</v>
      </c>
      <c r="N50" s="25" t="str">
        <f>IF(OR(WORLDCUP!AC86="",WORLDCUP!AD86=""),"",IF(WORLDCUP!AC86&gt;WORLDCUP!AD86,"1",IF(WORLDCUP!AC86&lt;WORLDCUP!AD86,"2","X")))</f>
        <v>1</v>
      </c>
      <c r="O50" s="25">
        <f>WORLDCUP!AC86</f>
        <v>5</v>
      </c>
      <c r="P50" s="25">
        <f>WORLDCUP!AD86</f>
        <v>0</v>
      </c>
      <c r="Q50" s="25">
        <f t="shared" si="11"/>
        <v>5</v>
      </c>
      <c r="R50" s="55"/>
      <c r="S50" s="80" t="s">
        <v>1950</v>
      </c>
      <c r="T50" s="79">
        <f t="shared" si="8"/>
        <v>2</v>
      </c>
      <c r="U50" s="71"/>
      <c r="V50" s="80" t="s">
        <v>1952</v>
      </c>
      <c r="W50" s="79">
        <f t="shared" si="15"/>
        <v>2</v>
      </c>
      <c r="X50" s="71"/>
      <c r="Y50" s="80" t="s">
        <v>1949</v>
      </c>
      <c r="Z50" s="79">
        <f t="shared" si="16"/>
        <v>2</v>
      </c>
      <c r="AA50" s="71"/>
      <c r="AB50" s="80" t="s">
        <v>1949</v>
      </c>
      <c r="AC50" s="79">
        <f t="shared" si="16"/>
        <v>2</v>
      </c>
      <c r="AD50" s="71"/>
      <c r="AE50" s="80" t="s">
        <v>1941</v>
      </c>
      <c r="AF50" s="79">
        <f t="shared" si="16"/>
        <v>2</v>
      </c>
      <c r="AG50" s="71"/>
      <c r="AH50" s="71"/>
    </row>
    <row r="51" spans="1:34" x14ac:dyDescent="0.2">
      <c r="A51" s="55"/>
      <c r="B51" s="55"/>
      <c r="C51" s="17"/>
      <c r="D51" s="17"/>
      <c r="E51" s="95"/>
      <c r="F51" s="453">
        <f t="shared" si="7"/>
        <v>6</v>
      </c>
      <c r="G51" s="453">
        <f ca="1">VLOOKUP(H51,Equipos!$Q$1:$R$25,2,0)</f>
        <v>14</v>
      </c>
      <c r="H51" s="454">
        <f ca="1">TRUNC(INDEX(WORLDCUP!$X$4:$X$147,MATCH(ADMIN!K51,WORLDCUP!$DT$4:$DT$147,0)))</f>
        <v>46197</v>
      </c>
      <c r="I51" s="54">
        <v>1</v>
      </c>
      <c r="J51" s="101" t="s">
        <v>300</v>
      </c>
      <c r="K51" s="59" t="str">
        <f ca="1">CONCATENATE(WORLDCUP!AA87,"-",WORLDCUP!AF87)</f>
        <v>Colombia-RD Congo</v>
      </c>
      <c r="L51" s="59"/>
      <c r="M51" s="61" t="str">
        <f>IF(OR(WORLDCUP!AC87="",WORLDCUP!AD87=""),"-",N51&amp;"|"&amp;O51&amp;"-"&amp;P51)</f>
        <v>1|1-0</v>
      </c>
      <c r="N51" s="25" t="str">
        <f>IF(OR(WORLDCUP!AC87="",WORLDCUP!AD87=""),"",IF(WORLDCUP!AC87&gt;WORLDCUP!AD87,"1",IF(WORLDCUP!AC87&lt;WORLDCUP!AD87,"2","X")))</f>
        <v>1</v>
      </c>
      <c r="O51" s="25">
        <f>WORLDCUP!AC87</f>
        <v>1</v>
      </c>
      <c r="P51" s="25">
        <f>WORLDCUP!AD87</f>
        <v>0</v>
      </c>
      <c r="Q51" s="25">
        <f t="shared" si="11"/>
        <v>1</v>
      </c>
      <c r="R51" s="55"/>
      <c r="S51" s="80" t="s">
        <v>1953</v>
      </c>
      <c r="T51" s="79">
        <f t="shared" si="8"/>
        <v>2</v>
      </c>
      <c r="U51" s="71"/>
      <c r="V51" s="80" t="s">
        <v>1949</v>
      </c>
      <c r="W51" s="79">
        <f t="shared" si="15"/>
        <v>2</v>
      </c>
      <c r="X51" s="71"/>
      <c r="Y51" s="80" t="s">
        <v>1941</v>
      </c>
      <c r="Z51" s="79">
        <f t="shared" si="16"/>
        <v>3</v>
      </c>
      <c r="AA51" s="71"/>
      <c r="AB51" s="80" t="s">
        <v>1941</v>
      </c>
      <c r="AC51" s="79">
        <f t="shared" si="16"/>
        <v>3</v>
      </c>
      <c r="AD51" s="71"/>
      <c r="AE51" s="80" t="s">
        <v>1949</v>
      </c>
      <c r="AF51" s="79">
        <f t="shared" si="16"/>
        <v>2</v>
      </c>
      <c r="AG51" s="71"/>
      <c r="AH51" s="71"/>
    </row>
    <row r="52" spans="1:34" x14ac:dyDescent="0.2">
      <c r="A52" s="55"/>
      <c r="B52" s="55"/>
      <c r="C52" s="17"/>
      <c r="D52" s="17"/>
      <c r="E52" s="95"/>
      <c r="F52" s="453">
        <f t="shared" si="7"/>
        <v>6</v>
      </c>
      <c r="G52" s="453">
        <f ca="1">VLOOKUP(H52,Equipos!$Q$1:$R$25,2,0)</f>
        <v>13</v>
      </c>
      <c r="H52" s="454">
        <f ca="1">TRUNC(INDEX(WORLDCUP!$X$4:$X$147,MATCH(ADMIN!K52,WORLDCUP!$DT$4:$DT$147,0)))</f>
        <v>46196</v>
      </c>
      <c r="I52" s="54">
        <v>1</v>
      </c>
      <c r="J52" s="102" t="s">
        <v>1197</v>
      </c>
      <c r="K52" s="62" t="str">
        <f ca="1">CONCATENATE(WORLDCUP!AA94,"-",WORLDCUP!AF94)</f>
        <v>Inglaterra-Ghana</v>
      </c>
      <c r="L52" s="59"/>
      <c r="M52" s="61" t="str">
        <f>IF(OR(WORLDCUP!AC94="",WORLDCUP!AD94=""),"-",N52&amp;"|"&amp;O52&amp;"-"&amp;P52)</f>
        <v>X|0-0</v>
      </c>
      <c r="N52" s="25" t="str">
        <f>IF(OR(WORLDCUP!AC94="",WORLDCUP!AD94=""),"",IF(WORLDCUP!AC94&gt;WORLDCUP!AD94,"1",IF(WORLDCUP!AC94&lt;WORLDCUP!AD94,"2","X")))</f>
        <v>X</v>
      </c>
      <c r="O52" s="25">
        <f>WORLDCUP!AC94</f>
        <v>0</v>
      </c>
      <c r="P52" s="25">
        <f>WORLDCUP!AD94</f>
        <v>0</v>
      </c>
      <c r="Q52" s="25">
        <f t="shared" si="11"/>
        <v>0</v>
      </c>
      <c r="R52" s="55"/>
      <c r="S52" s="80" t="s">
        <v>1949</v>
      </c>
      <c r="T52" s="79">
        <f t="shared" si="8"/>
        <v>0</v>
      </c>
      <c r="U52" s="71"/>
      <c r="V52" s="80" t="s">
        <v>1941</v>
      </c>
      <c r="W52" s="79">
        <f t="shared" si="15"/>
        <v>0</v>
      </c>
      <c r="X52" s="71"/>
      <c r="Y52" s="80" t="s">
        <v>1941</v>
      </c>
      <c r="Z52" s="79">
        <f t="shared" si="16"/>
        <v>0</v>
      </c>
      <c r="AA52" s="71"/>
      <c r="AB52" s="80" t="s">
        <v>1947</v>
      </c>
      <c r="AC52" s="79">
        <f t="shared" si="16"/>
        <v>0</v>
      </c>
      <c r="AD52" s="71"/>
      <c r="AE52" s="80" t="s">
        <v>1949</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f>
        <v>46197</v>
      </c>
      <c r="I53" s="54">
        <v>1</v>
      </c>
      <c r="J53" s="102" t="s">
        <v>1197</v>
      </c>
      <c r="K53" s="63" t="str">
        <f ca="1">CONCATENATE(WORLDCUP!AA95,"-",WORLDCUP!AF95)</f>
        <v>Panamá-Croacia</v>
      </c>
      <c r="L53" s="64"/>
      <c r="M53" s="65" t="str">
        <f>IF(OR(WORLDCUP!AC95="",WORLDCUP!AD95=""),"-",N53&amp;"|"&amp;O53&amp;"-"&amp;P53)</f>
        <v>2|1-2</v>
      </c>
      <c r="N53" s="25" t="str">
        <f>IF(OR(WORLDCUP!AC95="",WORLDCUP!AD95=""),"",IF(WORLDCUP!AC95&gt;WORLDCUP!AD95,"1",IF(WORLDCUP!AC95&lt;WORLDCUP!AD95,"2","X")))</f>
        <v>2</v>
      </c>
      <c r="O53" s="25">
        <f>WORLDCUP!AC95</f>
        <v>1</v>
      </c>
      <c r="P53" s="25">
        <f>WORLDCUP!AD95</f>
        <v>2</v>
      </c>
      <c r="Q53" s="25">
        <f t="shared" si="11"/>
        <v>1</v>
      </c>
      <c r="R53" s="55"/>
      <c r="S53" s="84" t="s">
        <v>1951</v>
      </c>
      <c r="T53" s="85">
        <f t="shared" si="8"/>
        <v>6</v>
      </c>
      <c r="U53" s="71"/>
      <c r="V53" s="84" t="s">
        <v>1944</v>
      </c>
      <c r="W53" s="85">
        <f t="shared" si="15"/>
        <v>2</v>
      </c>
      <c r="X53" s="71"/>
      <c r="Y53" s="84" t="s">
        <v>1942</v>
      </c>
      <c r="Z53" s="85">
        <f t="shared" si="16"/>
        <v>3</v>
      </c>
      <c r="AA53" s="71"/>
      <c r="AB53" s="84" t="s">
        <v>1946</v>
      </c>
      <c r="AC53" s="85">
        <f t="shared" si="16"/>
        <v>2</v>
      </c>
      <c r="AD53" s="71"/>
      <c r="AE53" s="84" t="s">
        <v>1944</v>
      </c>
      <c r="AF53" s="85">
        <f t="shared" si="16"/>
        <v>2</v>
      </c>
      <c r="AG53" s="71"/>
      <c r="AH53" s="71"/>
    </row>
    <row r="54" spans="1:34" x14ac:dyDescent="0.2">
      <c r="A54" s="55"/>
      <c r="B54" s="55"/>
      <c r="C54" s="17"/>
      <c r="D54" s="209"/>
      <c r="E54" s="95"/>
      <c r="F54" s="453">
        <f t="shared" si="7"/>
        <v>6</v>
      </c>
      <c r="G54" s="453">
        <f ca="1">VLOOKUP(H54,Equipos!$Q$1:$R$25,2,0)</f>
        <v>15</v>
      </c>
      <c r="H54" s="454">
        <f ca="1">TRUNC(INDEX(WORLDCUP!$X$4:$X$147,MATCH(ADMIN!K54,WORLDCUP!$DT$4:$DT$147,0)))</f>
        <v>46198</v>
      </c>
      <c r="I54" s="54">
        <v>1</v>
      </c>
      <c r="J54" s="101" t="s">
        <v>124</v>
      </c>
      <c r="K54" s="59" t="str">
        <f ca="1">CONCATENATE(WORLDCUP!AA8,"-",WORLDCUP!AF8)</f>
        <v>República Checa-México</v>
      </c>
      <c r="L54" s="59"/>
      <c r="M54" s="61" t="str">
        <f>IF(OR(WORLDCUP!AC8="",WORLDCUP!AD8=""),"-",N54&amp;"|"&amp;O54&amp;"-"&amp;P54)</f>
        <v>2|0-3</v>
      </c>
      <c r="N54" s="25" t="str">
        <f>IF(OR(WORLDCUP!AC8="",WORLDCUP!AD8=""),"",IF(WORLDCUP!AC8&gt;WORLDCUP!AD8,"1",IF(WORLDCUP!AC8&lt;WORLDCUP!AD8,"2","X")))</f>
        <v>2</v>
      </c>
      <c r="O54" s="25">
        <f>WORLDCUP!AC8</f>
        <v>0</v>
      </c>
      <c r="P54" s="25">
        <f>WORLDCUP!AD8</f>
        <v>3</v>
      </c>
      <c r="Q54" s="25">
        <f t="shared" si="11"/>
        <v>3</v>
      </c>
      <c r="R54" s="55"/>
      <c r="S54" s="82" t="s">
        <v>1945</v>
      </c>
      <c r="T54" s="83">
        <f t="shared" si="8"/>
        <v>0</v>
      </c>
      <c r="U54" s="71"/>
      <c r="V54" s="82" t="s">
        <v>1942</v>
      </c>
      <c r="W54" s="83">
        <f t="shared" si="15"/>
        <v>2</v>
      </c>
      <c r="X54" s="71"/>
      <c r="Y54" s="82" t="s">
        <v>1950</v>
      </c>
      <c r="Z54" s="83">
        <f t="shared" si="16"/>
        <v>0</v>
      </c>
      <c r="AA54" s="71"/>
      <c r="AB54" s="82" t="s">
        <v>1951</v>
      </c>
      <c r="AC54" s="83">
        <f t="shared" si="16"/>
        <v>2</v>
      </c>
      <c r="AD54" s="71"/>
      <c r="AE54" s="82" t="s">
        <v>1942</v>
      </c>
      <c r="AF54" s="83">
        <f t="shared" si="16"/>
        <v>2</v>
      </c>
      <c r="AG54" s="71"/>
      <c r="AH54" s="71"/>
    </row>
    <row r="55" spans="1:34" x14ac:dyDescent="0.2">
      <c r="A55" s="55"/>
      <c r="B55" s="55"/>
      <c r="C55" s="17"/>
      <c r="D55" s="17"/>
      <c r="E55" s="95"/>
      <c r="F55" s="453">
        <f t="shared" si="7"/>
        <v>6</v>
      </c>
      <c r="G55" s="453">
        <f ca="1">VLOOKUP(H55,Equipos!$Q$1:$R$25,2,0)</f>
        <v>15</v>
      </c>
      <c r="H55" s="454">
        <f ca="1">TRUNC(INDEX(WORLDCUP!$X$4:$X$147,MATCH(ADMIN!K55,WORLDCUP!$DT$4:$DT$147,0)))</f>
        <v>46198</v>
      </c>
      <c r="I55" s="54">
        <v>1</v>
      </c>
      <c r="J55" s="101" t="s">
        <v>124</v>
      </c>
      <c r="K55" s="59" t="str">
        <f ca="1">CONCATENATE(WORLDCUP!AA9,"-",WORLDCUP!AF9)</f>
        <v>Sudáfrica-Corea del Sur</v>
      </c>
      <c r="L55" s="59"/>
      <c r="M55" s="61" t="str">
        <f>IF(OR(WORLDCUP!AC9="",WORLDCUP!AD9=""),"-",N55&amp;"|"&amp;O55&amp;"-"&amp;P55)</f>
        <v>1|1-0</v>
      </c>
      <c r="N55" s="25" t="str">
        <f>IF(OR(WORLDCUP!AC9="",WORLDCUP!AD9=""),"",IF(WORLDCUP!AC9&gt;WORLDCUP!AD9,"1",IF(WORLDCUP!AC9&lt;WORLDCUP!AD9,"2","X")))</f>
        <v>1</v>
      </c>
      <c r="O55" s="25">
        <f>WORLDCUP!AC9</f>
        <v>1</v>
      </c>
      <c r="P55" s="25">
        <f>WORLDCUP!AD9</f>
        <v>0</v>
      </c>
      <c r="Q55" s="25">
        <f t="shared" si="11"/>
        <v>1</v>
      </c>
      <c r="R55" s="55"/>
      <c r="S55" s="80" t="s">
        <v>1941</v>
      </c>
      <c r="T55" s="79">
        <f t="shared" si="8"/>
        <v>3</v>
      </c>
      <c r="U55" s="71"/>
      <c r="V55" s="80" t="s">
        <v>1942</v>
      </c>
      <c r="W55" s="79">
        <f t="shared" si="15"/>
        <v>0</v>
      </c>
      <c r="X55" s="71"/>
      <c r="Y55" s="80" t="s">
        <v>1946</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1942</v>
      </c>
      <c r="AC55" s="79">
        <f t="shared" si="17"/>
        <v>0</v>
      </c>
      <c r="AD55" s="71"/>
      <c r="AE55" s="80" t="s">
        <v>1951</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f>
        <v>46197</v>
      </c>
      <c r="I56" s="54">
        <v>1</v>
      </c>
      <c r="J56" s="102" t="s">
        <v>125</v>
      </c>
      <c r="K56" s="62" t="str">
        <f ca="1">CONCATENATE(WORLDCUP!AA16,"-",WORLDCUP!AF16)</f>
        <v>Suiza-Canadá</v>
      </c>
      <c r="L56" s="59"/>
      <c r="M56" s="61" t="str">
        <f>IF(OR(WORLDCUP!AC16="",WORLDCUP!AD16=""),"-",N56&amp;"|"&amp;O56&amp;"-"&amp;P56)</f>
        <v>1|2-1</v>
      </c>
      <c r="N56" s="25" t="str">
        <f>IF(OR(WORLDCUP!AC16="",WORLDCUP!AD16=""),"",IF(WORLDCUP!AC16&gt;WORLDCUP!AD16,"1",IF(WORLDCUP!AC16&lt;WORLDCUP!AD16,"2","X")))</f>
        <v>1</v>
      </c>
      <c r="O56" s="25">
        <f>WORLDCUP!AC16</f>
        <v>2</v>
      </c>
      <c r="P56" s="25">
        <f>WORLDCUP!AD16</f>
        <v>1</v>
      </c>
      <c r="Q56" s="25">
        <f t="shared" si="11"/>
        <v>1</v>
      </c>
      <c r="R56" s="55"/>
      <c r="S56" s="80" t="s">
        <v>1945</v>
      </c>
      <c r="T56" s="79">
        <f t="shared" si="8"/>
        <v>0</v>
      </c>
      <c r="U56" s="71"/>
      <c r="V56" s="80" t="s">
        <v>1953</v>
      </c>
      <c r="W56" s="79">
        <f t="shared" si="15"/>
        <v>2</v>
      </c>
      <c r="X56" s="71"/>
      <c r="Y56" s="80" t="s">
        <v>1959</v>
      </c>
      <c r="Z56" s="79">
        <f t="shared" si="17"/>
        <v>0</v>
      </c>
      <c r="AA56" s="71"/>
      <c r="AB56" s="80" t="s">
        <v>1941</v>
      </c>
      <c r="AC56" s="79">
        <f t="shared" si="17"/>
        <v>6</v>
      </c>
      <c r="AD56" s="71"/>
      <c r="AE56" s="80" t="s">
        <v>1950</v>
      </c>
      <c r="AF56" s="79">
        <f t="shared" si="17"/>
        <v>3</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f>
        <v>46197</v>
      </c>
      <c r="I57" s="54">
        <v>1</v>
      </c>
      <c r="J57" s="102" t="s">
        <v>125</v>
      </c>
      <c r="K57" s="59" t="str">
        <f ca="1">CONCATENATE(WORLDCUP!AA17,"-",WORLDCUP!AF17)</f>
        <v>Bosnia y Herzegovina-Catar</v>
      </c>
      <c r="L57" s="59"/>
      <c r="M57" s="61" t="str">
        <f>IF(OR(WORLDCUP!AC17="",WORLDCUP!AD17=""),"-",N57&amp;"|"&amp;O57&amp;"-"&amp;P57)</f>
        <v>1|3-1</v>
      </c>
      <c r="N57" s="25" t="str">
        <f>IF(OR(WORLDCUP!AC17="",WORLDCUP!AD17=""),"",IF(WORLDCUP!AC17&gt;WORLDCUP!AD17,"1",IF(WORLDCUP!AC17&lt;WORLDCUP!AD17,"2","X")))</f>
        <v>1</v>
      </c>
      <c r="O57" s="25">
        <f>WORLDCUP!AC17</f>
        <v>3</v>
      </c>
      <c r="P57" s="25">
        <f>WORLDCUP!AD17</f>
        <v>1</v>
      </c>
      <c r="Q57" s="25">
        <f t="shared" si="11"/>
        <v>2</v>
      </c>
      <c r="R57" s="55"/>
      <c r="S57" s="80" t="s">
        <v>1943</v>
      </c>
      <c r="T57" s="79">
        <f t="shared" si="8"/>
        <v>0</v>
      </c>
      <c r="U57" s="71"/>
      <c r="V57" s="80" t="s">
        <v>1952</v>
      </c>
      <c r="W57" s="79">
        <f t="shared" si="15"/>
        <v>2</v>
      </c>
      <c r="X57" s="71"/>
      <c r="Y57" s="80" t="s">
        <v>1942</v>
      </c>
      <c r="Z57" s="79">
        <f t="shared" si="17"/>
        <v>0</v>
      </c>
      <c r="AA57" s="71"/>
      <c r="AB57" s="80" t="s">
        <v>1943</v>
      </c>
      <c r="AC57" s="79">
        <f t="shared" si="17"/>
        <v>0</v>
      </c>
      <c r="AD57" s="71"/>
      <c r="AE57" s="80" t="s">
        <v>1949</v>
      </c>
      <c r="AF57" s="79">
        <f t="shared" si="17"/>
        <v>3</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f>
        <v>46198</v>
      </c>
      <c r="I58" s="54">
        <v>1</v>
      </c>
      <c r="J58" s="101" t="s">
        <v>126</v>
      </c>
      <c r="K58" s="62" t="str">
        <f ca="1">CONCATENATE(WORLDCUP!AA24,"-",WORLDCUP!AF24)</f>
        <v>Escocia-Brasil</v>
      </c>
      <c r="L58" s="59"/>
      <c r="M58" s="61" t="str">
        <f>IF(OR(WORLDCUP!AC24="",WORLDCUP!AD24=""),"-",N58&amp;"|"&amp;O58&amp;"-"&amp;P58)</f>
        <v>2|0-3</v>
      </c>
      <c r="N58" s="25" t="str">
        <f>IF(OR(WORLDCUP!AC24="",WORLDCUP!AD24=""),"",IF(WORLDCUP!AC24&gt;WORLDCUP!AD24,"1",IF(WORLDCUP!AC24&lt;WORLDCUP!AD24,"2","X")))</f>
        <v>2</v>
      </c>
      <c r="O58" s="25">
        <f>WORLDCUP!AC24</f>
        <v>0</v>
      </c>
      <c r="P58" s="25">
        <f>WORLDCUP!AD24</f>
        <v>3</v>
      </c>
      <c r="Q58" s="25">
        <f t="shared" si="11"/>
        <v>3</v>
      </c>
      <c r="R58" s="55"/>
      <c r="S58" s="80" t="s">
        <v>1955</v>
      </c>
      <c r="T58" s="79">
        <f t="shared" si="8"/>
        <v>2</v>
      </c>
      <c r="U58" s="71"/>
      <c r="V58" s="80" t="s">
        <v>1951</v>
      </c>
      <c r="W58" s="79">
        <f t="shared" si="15"/>
        <v>2</v>
      </c>
      <c r="X58" s="71"/>
      <c r="Y58" s="80" t="s">
        <v>1963</v>
      </c>
      <c r="Z58" s="79">
        <f t="shared" si="17"/>
        <v>2</v>
      </c>
      <c r="AA58" s="71"/>
      <c r="AB58" s="80" t="s">
        <v>1946</v>
      </c>
      <c r="AC58" s="79">
        <f t="shared" si="17"/>
        <v>2</v>
      </c>
      <c r="AD58" s="71"/>
      <c r="AE58" s="80" t="s">
        <v>1946</v>
      </c>
      <c r="AF58" s="79">
        <f t="shared" si="17"/>
        <v>2</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f>
        <v>46198</v>
      </c>
      <c r="I59" s="54">
        <v>1</v>
      </c>
      <c r="J59" s="101" t="s">
        <v>126</v>
      </c>
      <c r="K59" s="59" t="str">
        <f ca="1">CONCATENATE(WORLDCUP!AA25,"-",WORLDCUP!AF25)</f>
        <v>Marruecos-Haití</v>
      </c>
      <c r="L59" s="59"/>
      <c r="M59" s="61" t="str">
        <f>IF(OR(WORLDCUP!AC25="",WORLDCUP!AD25=""),"-",N59&amp;"|"&amp;O59&amp;"-"&amp;P59)</f>
        <v>1|4-2</v>
      </c>
      <c r="N59" s="25" t="str">
        <f>IF(OR(WORLDCUP!AC25="",WORLDCUP!AD25=""),"",IF(WORLDCUP!AC25&gt;WORLDCUP!AD25,"1",IF(WORLDCUP!AC25&lt;WORLDCUP!AD25,"2","X")))</f>
        <v>1</v>
      </c>
      <c r="O59" s="25">
        <f>WORLDCUP!AC25</f>
        <v>4</v>
      </c>
      <c r="P59" s="25">
        <f>WORLDCUP!AD25</f>
        <v>2</v>
      </c>
      <c r="Q59" s="25">
        <f t="shared" si="11"/>
        <v>2</v>
      </c>
      <c r="R59" s="55"/>
      <c r="S59" s="80" t="s">
        <v>1949</v>
      </c>
      <c r="T59" s="79">
        <f t="shared" si="8"/>
        <v>3</v>
      </c>
      <c r="U59" s="71"/>
      <c r="V59" s="80" t="s">
        <v>1952</v>
      </c>
      <c r="W59" s="79">
        <f t="shared" si="15"/>
        <v>2</v>
      </c>
      <c r="X59" s="71"/>
      <c r="Y59" s="80" t="s">
        <v>1950</v>
      </c>
      <c r="Z59" s="79">
        <f t="shared" si="17"/>
        <v>2</v>
      </c>
      <c r="AA59" s="71"/>
      <c r="AB59" s="80" t="s">
        <v>1949</v>
      </c>
      <c r="AC59" s="79">
        <f t="shared" si="17"/>
        <v>3</v>
      </c>
      <c r="AD59" s="71"/>
      <c r="AE59" s="80" t="s">
        <v>1947</v>
      </c>
      <c r="AF59" s="79">
        <f t="shared" si="17"/>
        <v>2</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f>
        <v>46199</v>
      </c>
      <c r="I60" s="54">
        <v>1</v>
      </c>
      <c r="J60" s="102" t="s">
        <v>127</v>
      </c>
      <c r="K60" s="62" t="str">
        <f ca="1">CONCATENATE(WORLDCUP!AA32,"-",WORLDCUP!AF32)</f>
        <v>Turquía-Estados Unidos</v>
      </c>
      <c r="L60" s="59"/>
      <c r="M60" s="61" t="str">
        <f>IF(OR(WORLDCUP!AC32="",WORLDCUP!AD32=""),"-",N60&amp;"|"&amp;O60&amp;"-"&amp;P60)</f>
        <v>1|3-2</v>
      </c>
      <c r="N60" s="25" t="str">
        <f>IF(OR(WORLDCUP!AC32="",WORLDCUP!AD32=""),"",IF(WORLDCUP!AC32&gt;WORLDCUP!AD32,"1",IF(WORLDCUP!AC32&lt;WORLDCUP!AD32,"2","X")))</f>
        <v>1</v>
      </c>
      <c r="O60" s="25">
        <f>WORLDCUP!AC32</f>
        <v>3</v>
      </c>
      <c r="P60" s="25">
        <f>WORLDCUP!AD32</f>
        <v>2</v>
      </c>
      <c r="Q60" s="25">
        <f t="shared" si="11"/>
        <v>1</v>
      </c>
      <c r="R60" s="55"/>
      <c r="S60" s="82" t="s">
        <v>1941</v>
      </c>
      <c r="T60" s="83">
        <f t="shared" si="8"/>
        <v>3</v>
      </c>
      <c r="U60" s="71"/>
      <c r="V60" s="82" t="s">
        <v>1953</v>
      </c>
      <c r="W60" s="83">
        <f t="shared" si="15"/>
        <v>2</v>
      </c>
      <c r="X60" s="71"/>
      <c r="Y60" s="82" t="s">
        <v>1943</v>
      </c>
      <c r="Z60" s="83">
        <f t="shared" si="17"/>
        <v>0</v>
      </c>
      <c r="AA60" s="71"/>
      <c r="AB60" s="82" t="s">
        <v>1943</v>
      </c>
      <c r="AC60" s="83">
        <f t="shared" si="17"/>
        <v>0</v>
      </c>
      <c r="AD60" s="71"/>
      <c r="AE60" s="82" t="s">
        <v>1950</v>
      </c>
      <c r="AF60" s="83">
        <f t="shared" si="17"/>
        <v>3</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f>
        <v>46199</v>
      </c>
      <c r="I61" s="54">
        <v>1</v>
      </c>
      <c r="J61" s="102" t="s">
        <v>127</v>
      </c>
      <c r="K61" s="59" t="str">
        <f ca="1">CONCATENATE(WORLDCUP!AA33,"-",WORLDCUP!AF33)</f>
        <v>Paraguay-Australia</v>
      </c>
      <c r="L61" s="59"/>
      <c r="M61" s="61" t="str">
        <f>IF(OR(WORLDCUP!AC33="",WORLDCUP!AD33=""),"-",N61&amp;"|"&amp;O61&amp;"-"&amp;P61)</f>
        <v>X|0-0</v>
      </c>
      <c r="N61" s="25" t="str">
        <f>IF(OR(WORLDCUP!AC33="",WORLDCUP!AD33=""),"",IF(WORLDCUP!AC33&gt;WORLDCUP!AD33,"1",IF(WORLDCUP!AC33&lt;WORLDCUP!AD33,"2","X")))</f>
        <v>X</v>
      </c>
      <c r="O61" s="25">
        <f>WORLDCUP!AC33</f>
        <v>0</v>
      </c>
      <c r="P61" s="25">
        <f>WORLDCUP!AD33</f>
        <v>0</v>
      </c>
      <c r="Q61" s="25">
        <f t="shared" si="11"/>
        <v>0</v>
      </c>
      <c r="R61" s="55"/>
      <c r="S61" s="80" t="s">
        <v>1941</v>
      </c>
      <c r="T61" s="79">
        <f t="shared" si="8"/>
        <v>0</v>
      </c>
      <c r="U61" s="71"/>
      <c r="V61" s="80" t="s">
        <v>1949</v>
      </c>
      <c r="W61" s="79">
        <f t="shared" si="15"/>
        <v>0</v>
      </c>
      <c r="X61" s="71"/>
      <c r="Y61" s="80" t="s">
        <v>1959</v>
      </c>
      <c r="Z61" s="79">
        <f t="shared" si="17"/>
        <v>6</v>
      </c>
      <c r="AA61" s="71"/>
      <c r="AB61" s="80" t="s">
        <v>1943</v>
      </c>
      <c r="AC61" s="79">
        <f t="shared" si="17"/>
        <v>3</v>
      </c>
      <c r="AD61" s="71"/>
      <c r="AE61" s="80" t="s">
        <v>1943</v>
      </c>
      <c r="AF61" s="79">
        <f t="shared" si="17"/>
        <v>3</v>
      </c>
      <c r="AG61" s="71"/>
      <c r="AH61" s="71"/>
    </row>
    <row r="62" spans="1:34" x14ac:dyDescent="0.2">
      <c r="A62" s="55"/>
      <c r="B62" s="55"/>
      <c r="C62" s="53" t="str">
        <f>"MAX. "&amp;$K$249</f>
        <v>MAX. CUADRO DE HONOR</v>
      </c>
      <c r="D62" s="132">
        <f>SUM($D$39:$D$47)</f>
        <v>135</v>
      </c>
      <c r="E62" s="117"/>
      <c r="F62" s="453">
        <f t="shared" si="7"/>
        <v>6</v>
      </c>
      <c r="G62" s="453">
        <f ca="1">VLOOKUP(H62,Equipos!$Q$1:$R$25,2,0)</f>
        <v>15</v>
      </c>
      <c r="H62" s="454">
        <f ca="1">TRUNC(INDEX(WORLDCUP!$X$4:$X$147,MATCH(ADMIN!K62,WORLDCUP!$DT$4:$DT$147,0)))</f>
        <v>46198</v>
      </c>
      <c r="I62" s="54">
        <v>1</v>
      </c>
      <c r="J62" s="101" t="s">
        <v>128</v>
      </c>
      <c r="K62" s="62" t="str">
        <f ca="1">CONCATENATE(WORLDCUP!AA40,"-",WORLDCUP!AF40)</f>
        <v>Curazao-Costa de Marfil</v>
      </c>
      <c r="L62" s="59"/>
      <c r="M62" s="61" t="str">
        <f>IF(OR(WORLDCUP!AC40="",WORLDCUP!AD40=""),"-",N62&amp;"|"&amp;O62&amp;"-"&amp;P62)</f>
        <v>2|0-2</v>
      </c>
      <c r="N62" s="25" t="str">
        <f>IF(OR(WORLDCUP!AC40="",WORLDCUP!AD40=""),"",IF(WORLDCUP!AC40&gt;WORLDCUP!AD40,"1",IF(WORLDCUP!AC40&lt;WORLDCUP!AD40,"2","X")))</f>
        <v>2</v>
      </c>
      <c r="O62" s="25">
        <f>WORLDCUP!AC40</f>
        <v>0</v>
      </c>
      <c r="P62" s="25">
        <f>WORLDCUP!AD40</f>
        <v>2</v>
      </c>
      <c r="Q62" s="25">
        <f t="shared" si="11"/>
        <v>2</v>
      </c>
      <c r="R62" s="55"/>
      <c r="S62" s="80" t="s">
        <v>1951</v>
      </c>
      <c r="T62" s="79">
        <f t="shared" si="8"/>
        <v>2</v>
      </c>
      <c r="U62" s="71"/>
      <c r="V62" s="80" t="s">
        <v>1961</v>
      </c>
      <c r="W62" s="79">
        <f t="shared" si="15"/>
        <v>2</v>
      </c>
      <c r="X62" s="71"/>
      <c r="Y62" s="80" t="s">
        <v>1943</v>
      </c>
      <c r="Z62" s="79">
        <f t="shared" si="17"/>
        <v>0</v>
      </c>
      <c r="AA62" s="71"/>
      <c r="AB62" s="80" t="s">
        <v>1946</v>
      </c>
      <c r="AC62" s="79">
        <f t="shared" si="17"/>
        <v>6</v>
      </c>
      <c r="AD62" s="71"/>
      <c r="AE62" s="80" t="s">
        <v>1951</v>
      </c>
      <c r="AF62" s="79">
        <f t="shared" si="17"/>
        <v>2</v>
      </c>
      <c r="AG62" s="71"/>
      <c r="AH62" s="71"/>
    </row>
    <row r="63" spans="1:34" x14ac:dyDescent="0.2">
      <c r="A63" s="55"/>
      <c r="B63" s="55"/>
      <c r="C63" s="55"/>
      <c r="D63" s="55"/>
      <c r="E63" s="117"/>
      <c r="F63" s="453">
        <f t="shared" si="7"/>
        <v>6</v>
      </c>
      <c r="G63" s="453">
        <f ca="1">VLOOKUP(H63,Equipos!$Q$1:$R$25,2,0)</f>
        <v>15</v>
      </c>
      <c r="H63" s="454">
        <f ca="1">TRUNC(INDEX(WORLDCUP!$X$4:$X$147,MATCH(ADMIN!K63,WORLDCUP!$DT$4:$DT$147,0)))</f>
        <v>46198</v>
      </c>
      <c r="I63" s="54">
        <v>1</v>
      </c>
      <c r="J63" s="101" t="s">
        <v>128</v>
      </c>
      <c r="K63" s="59" t="str">
        <f ca="1">CONCATENATE(WORLDCUP!AA41,"-",WORLDCUP!AF41)</f>
        <v>Ecuador-Alemania</v>
      </c>
      <c r="L63" s="59"/>
      <c r="M63" s="61" t="str">
        <f>IF(OR(WORLDCUP!AC41="",WORLDCUP!AD41=""),"-",N63&amp;"|"&amp;O63&amp;"-"&amp;P63)</f>
        <v>1|2-1</v>
      </c>
      <c r="N63" s="25" t="str">
        <f>IF(OR(WORLDCUP!AC41="",WORLDCUP!AD41=""),"",IF(WORLDCUP!AC41&gt;WORLDCUP!AD41,"1",IF(WORLDCUP!AC41&lt;WORLDCUP!AD41,"2","X")))</f>
        <v>1</v>
      </c>
      <c r="O63" s="25">
        <f>WORLDCUP!AC41</f>
        <v>2</v>
      </c>
      <c r="P63" s="25">
        <f>WORLDCUP!AD41</f>
        <v>1</v>
      </c>
      <c r="Q63" s="25">
        <f t="shared" si="11"/>
        <v>1</v>
      </c>
      <c r="R63" s="55"/>
      <c r="S63" s="80" t="s">
        <v>1945</v>
      </c>
      <c r="T63" s="79">
        <f t="shared" si="8"/>
        <v>0</v>
      </c>
      <c r="U63" s="71"/>
      <c r="V63" s="80" t="s">
        <v>1941</v>
      </c>
      <c r="W63" s="79">
        <f t="shared" si="15"/>
        <v>6</v>
      </c>
      <c r="X63" s="71"/>
      <c r="Y63" s="80" t="s">
        <v>1966</v>
      </c>
      <c r="Z63" s="79">
        <f t="shared" si="17"/>
        <v>0</v>
      </c>
      <c r="AA63" s="71"/>
      <c r="AB63" s="80" t="s">
        <v>1951</v>
      </c>
      <c r="AC63" s="79">
        <f t="shared" si="17"/>
        <v>0</v>
      </c>
      <c r="AD63" s="71"/>
      <c r="AE63" s="80" t="s">
        <v>1942</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f>
        <v>46199</v>
      </c>
      <c r="I64" s="54">
        <v>1</v>
      </c>
      <c r="J64" s="102" t="s">
        <v>129</v>
      </c>
      <c r="K64" s="62" t="str">
        <f ca="1">CONCATENATE(WORLDCUP!AA48,"-",WORLDCUP!AF48)</f>
        <v>Japón-Suecia</v>
      </c>
      <c r="L64" s="59"/>
      <c r="M64" s="61" t="str">
        <f>IF(OR(WORLDCUP!AC48="",WORLDCUP!AD48=""),"-",N64&amp;"|"&amp;O64&amp;"-"&amp;P64)</f>
        <v>X|1-1</v>
      </c>
      <c r="N64" s="25" t="str">
        <f>IF(OR(WORLDCUP!AC48="",WORLDCUP!AD48=""),"",IF(WORLDCUP!AC48&gt;WORLDCUP!AD48,"1",IF(WORLDCUP!AC48&lt;WORLDCUP!AD48,"2","X")))</f>
        <v>X</v>
      </c>
      <c r="O64" s="25">
        <f>WORLDCUP!AC48</f>
        <v>1</v>
      </c>
      <c r="P64" s="25">
        <f>WORLDCUP!AD48</f>
        <v>1</v>
      </c>
      <c r="Q64" s="25">
        <f t="shared" si="11"/>
        <v>0</v>
      </c>
      <c r="R64" s="55"/>
      <c r="S64" s="80" t="s">
        <v>1943</v>
      </c>
      <c r="T64" s="79">
        <f t="shared" si="8"/>
        <v>6</v>
      </c>
      <c r="U64" s="71"/>
      <c r="V64" s="80" t="s">
        <v>1941</v>
      </c>
      <c r="W64" s="79">
        <f t="shared" si="15"/>
        <v>0</v>
      </c>
      <c r="X64" s="71"/>
      <c r="Y64" s="80" t="s">
        <v>1959</v>
      </c>
      <c r="Z64" s="79">
        <f t="shared" si="17"/>
        <v>3</v>
      </c>
      <c r="AA64" s="71"/>
      <c r="AB64" s="80" t="s">
        <v>1943</v>
      </c>
      <c r="AC64" s="79">
        <f t="shared" si="17"/>
        <v>6</v>
      </c>
      <c r="AD64" s="71"/>
      <c r="AE64" s="80" t="s">
        <v>1943</v>
      </c>
      <c r="AF64" s="79">
        <f t="shared" si="17"/>
        <v>6</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f>
        <v>46199</v>
      </c>
      <c r="I65" s="54">
        <v>1</v>
      </c>
      <c r="J65" s="102" t="s">
        <v>129</v>
      </c>
      <c r="K65" s="62" t="str">
        <f ca="1">CONCATENATE(WORLDCUP!AA49,"-",WORLDCUP!AF49)</f>
        <v>Túnez-Países Bajos</v>
      </c>
      <c r="L65" s="59"/>
      <c r="M65" s="61" t="str">
        <f>IF(OR(WORLDCUP!AC49="",WORLDCUP!AD49=""),"-",N65&amp;"|"&amp;O65&amp;"-"&amp;P65)</f>
        <v>2|1-3</v>
      </c>
      <c r="N65" s="25" t="str">
        <f>IF(OR(WORLDCUP!AC49="",WORLDCUP!AD49=""),"",IF(WORLDCUP!AC49&gt;WORLDCUP!AD49,"1",IF(WORLDCUP!AC49&lt;WORLDCUP!AD49,"2","X")))</f>
        <v>2</v>
      </c>
      <c r="O65" s="25">
        <f>WORLDCUP!AC49</f>
        <v>1</v>
      </c>
      <c r="P65" s="25">
        <f>WORLDCUP!AD49</f>
        <v>3</v>
      </c>
      <c r="Q65" s="25">
        <f t="shared" si="11"/>
        <v>2</v>
      </c>
      <c r="R65" s="55"/>
      <c r="S65" s="80" t="s">
        <v>1955</v>
      </c>
      <c r="T65" s="79">
        <f t="shared" si="8"/>
        <v>6</v>
      </c>
      <c r="U65" s="71"/>
      <c r="V65" s="80" t="s">
        <v>1955</v>
      </c>
      <c r="W65" s="79">
        <f t="shared" si="15"/>
        <v>6</v>
      </c>
      <c r="X65" s="71"/>
      <c r="Y65" s="80" t="s">
        <v>1955</v>
      </c>
      <c r="Z65" s="79">
        <f t="shared" si="17"/>
        <v>6</v>
      </c>
      <c r="AA65" s="71"/>
      <c r="AB65" s="80" t="s">
        <v>1946</v>
      </c>
      <c r="AC65" s="79">
        <f t="shared" si="17"/>
        <v>3</v>
      </c>
      <c r="AD65" s="71"/>
      <c r="AE65" s="80" t="s">
        <v>1946</v>
      </c>
      <c r="AF65" s="79">
        <f t="shared" si="17"/>
        <v>3</v>
      </c>
      <c r="AG65" s="71"/>
      <c r="AH65" s="71"/>
    </row>
    <row r="66" spans="1:34" x14ac:dyDescent="0.2">
      <c r="A66" s="55"/>
      <c r="B66" s="55"/>
      <c r="C66" s="17"/>
      <c r="D66" s="17"/>
      <c r="E66" s="117"/>
      <c r="F66" s="453">
        <f t="shared" si="7"/>
        <v>6</v>
      </c>
      <c r="G66" s="453">
        <f ca="1">VLOOKUP(H66,Equipos!$Q$1:$R$25,2,0)</f>
        <v>17</v>
      </c>
      <c r="H66" s="454">
        <f ca="1">TRUNC(INDEX(WORLDCUP!$X$4:$X$147,MATCH(ADMIN!K66,WORLDCUP!$DT$4:$DT$147,0)))</f>
        <v>46200</v>
      </c>
      <c r="I66" s="54">
        <v>1</v>
      </c>
      <c r="J66" s="101" t="s">
        <v>180</v>
      </c>
      <c r="K66" s="59" t="str">
        <f ca="1">CONCATENATE(WORLDCUP!AA56,"-",WORLDCUP!AF56)</f>
        <v>Egipto-Irán</v>
      </c>
      <c r="L66" s="59"/>
      <c r="M66" s="61" t="str">
        <f>IF(OR(WORLDCUP!AC56="",WORLDCUP!AD56=""),"-",N66&amp;"|"&amp;O66&amp;"-"&amp;P66)</f>
        <v>X|1-1</v>
      </c>
      <c r="N66" s="25" t="str">
        <f>IF(OR(WORLDCUP!AC56="",WORLDCUP!AD56=""),"",IF(WORLDCUP!AC56&gt;WORLDCUP!AD56,"1",IF(WORLDCUP!AC56&lt;WORLDCUP!AD56,"2","X")))</f>
        <v>X</v>
      </c>
      <c r="O66" s="25">
        <f>WORLDCUP!AC56</f>
        <v>1</v>
      </c>
      <c r="P66" s="25">
        <f>WORLDCUP!AD56</f>
        <v>1</v>
      </c>
      <c r="Q66" s="25">
        <f t="shared" si="11"/>
        <v>0</v>
      </c>
      <c r="R66" s="55"/>
      <c r="S66" s="80" t="s">
        <v>1941</v>
      </c>
      <c r="T66" s="79">
        <f t="shared" si="8"/>
        <v>0</v>
      </c>
      <c r="U66" s="71"/>
      <c r="V66" s="80" t="s">
        <v>1941</v>
      </c>
      <c r="W66" s="79">
        <f t="shared" si="15"/>
        <v>0</v>
      </c>
      <c r="X66" s="71"/>
      <c r="Y66" s="80" t="s">
        <v>1950</v>
      </c>
      <c r="Z66" s="79">
        <f t="shared" si="17"/>
        <v>0</v>
      </c>
      <c r="AA66" s="71"/>
      <c r="AB66" s="80" t="s">
        <v>1950</v>
      </c>
      <c r="AC66" s="79">
        <f t="shared" si="17"/>
        <v>0</v>
      </c>
      <c r="AD66" s="71"/>
      <c r="AE66" s="80" t="s">
        <v>1943</v>
      </c>
      <c r="AF66" s="79">
        <f t="shared" si="17"/>
        <v>6</v>
      </c>
      <c r="AG66" s="71"/>
      <c r="AH66" s="71"/>
    </row>
    <row r="67" spans="1:34" x14ac:dyDescent="0.2">
      <c r="A67" s="55"/>
      <c r="B67" s="55"/>
      <c r="C67" s="17"/>
      <c r="D67" s="17"/>
      <c r="E67" s="117"/>
      <c r="F67" s="453">
        <f t="shared" si="7"/>
        <v>6</v>
      </c>
      <c r="G67" s="453">
        <f ca="1">VLOOKUP(H67,Equipos!$Q$1:$R$25,2,0)</f>
        <v>17</v>
      </c>
      <c r="H67" s="454">
        <f ca="1">TRUNC(INDEX(WORLDCUP!$X$4:$X$147,MATCH(ADMIN!K67,WORLDCUP!$DT$4:$DT$147,0)))</f>
        <v>46200</v>
      </c>
      <c r="I67" s="54">
        <v>1</v>
      </c>
      <c r="J67" s="101" t="s">
        <v>180</v>
      </c>
      <c r="K67" s="59" t="str">
        <f ca="1">CONCATENATE(WORLDCUP!AA57,"-",WORLDCUP!AF57)</f>
        <v>Nueva Zelanda-Bélgica</v>
      </c>
      <c r="L67" s="59"/>
      <c r="M67" s="61" t="str">
        <f>IF(OR(WORLDCUP!AC57="",WORLDCUP!AD57=""),"-",N67&amp;"|"&amp;O67&amp;"-"&amp;P67)</f>
        <v>2|1-5</v>
      </c>
      <c r="N67" s="25" t="str">
        <f>IF(OR(WORLDCUP!AC57="",WORLDCUP!AD57=""),"",IF(WORLDCUP!AC57&gt;WORLDCUP!AD57,"1",IF(WORLDCUP!AC57&lt;WORLDCUP!AD57,"2","X")))</f>
        <v>2</v>
      </c>
      <c r="O67" s="25">
        <f>WORLDCUP!AC57</f>
        <v>1</v>
      </c>
      <c r="P67" s="25">
        <f>WORLDCUP!AD57</f>
        <v>5</v>
      </c>
      <c r="Q67" s="25">
        <f t="shared" si="11"/>
        <v>4</v>
      </c>
      <c r="R67" s="55"/>
      <c r="S67" s="80" t="s">
        <v>1951</v>
      </c>
      <c r="T67" s="79">
        <f t="shared" si="8"/>
        <v>2</v>
      </c>
      <c r="U67" s="71"/>
      <c r="V67" s="80" t="s">
        <v>1944</v>
      </c>
      <c r="W67" s="79">
        <f t="shared" si="15"/>
        <v>2</v>
      </c>
      <c r="X67" s="71"/>
      <c r="Y67" s="80" t="s">
        <v>1943</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1944</v>
      </c>
      <c r="AC67" s="79">
        <f t="shared" si="18"/>
        <v>2</v>
      </c>
      <c r="AD67" s="71"/>
      <c r="AE67" s="80" t="s">
        <v>1944</v>
      </c>
      <c r="AF67" s="79">
        <f t="shared" si="18"/>
        <v>2</v>
      </c>
      <c r="AG67" s="71"/>
      <c r="AH67" s="71"/>
    </row>
    <row r="68" spans="1:34" x14ac:dyDescent="0.2">
      <c r="A68" s="55"/>
      <c r="B68" s="55"/>
      <c r="C68" s="17"/>
      <c r="D68" s="17"/>
      <c r="E68" s="117"/>
      <c r="F68" s="453">
        <f t="shared" si="7"/>
        <v>6</v>
      </c>
      <c r="G68" s="453">
        <f ca="1">VLOOKUP(H68,Equipos!$Q$1:$R$25,2,0)</f>
        <v>17</v>
      </c>
      <c r="H68" s="454">
        <f ca="1">TRUNC(INDEX(WORLDCUP!$X$4:$X$147,MATCH(ADMIN!K68,WORLDCUP!$DT$4:$DT$147,0)))</f>
        <v>46200</v>
      </c>
      <c r="I68" s="54">
        <v>1</v>
      </c>
      <c r="J68" s="102" t="s">
        <v>181</v>
      </c>
      <c r="K68" s="62" t="str">
        <f ca="1">CONCATENATE(WORLDCUP!AA64,"-",WORLDCUP!AF64)</f>
        <v>Cabo Verde-Arabia Saudita</v>
      </c>
      <c r="L68" s="59"/>
      <c r="M68" s="61" t="str">
        <f>IF(OR(WORLDCUP!AC64="",WORLDCUP!AD64=""),"-",N68&amp;"|"&amp;O68&amp;"-"&amp;P68)</f>
        <v>X|0-0</v>
      </c>
      <c r="N68" s="25" t="str">
        <f>IF(OR(WORLDCUP!AC64="",WORLDCUP!AD64=""),"",IF(WORLDCUP!AC64&gt;WORLDCUP!AD64,"1",IF(WORLDCUP!AC64&lt;WORLDCUP!AD64,"2","X")))</f>
        <v>X</v>
      </c>
      <c r="O68" s="25">
        <f>WORLDCUP!AC64</f>
        <v>0</v>
      </c>
      <c r="P68" s="25">
        <f>WORLDCUP!AD64</f>
        <v>0</v>
      </c>
      <c r="Q68" s="25">
        <f t="shared" si="11"/>
        <v>0</v>
      </c>
      <c r="R68" s="55"/>
      <c r="S68" s="80" t="s">
        <v>1951</v>
      </c>
      <c r="T68" s="79">
        <f t="shared" si="8"/>
        <v>0</v>
      </c>
      <c r="U68" s="71"/>
      <c r="V68" s="80" t="s">
        <v>1942</v>
      </c>
      <c r="W68" s="79">
        <f t="shared" si="15"/>
        <v>0</v>
      </c>
      <c r="X68" s="71"/>
      <c r="Y68" s="80" t="s">
        <v>1942</v>
      </c>
      <c r="Z68" s="79">
        <f t="shared" si="18"/>
        <v>0</v>
      </c>
      <c r="AA68" s="71"/>
      <c r="AB68" s="80" t="s">
        <v>1942</v>
      </c>
      <c r="AC68" s="79">
        <f t="shared" si="18"/>
        <v>0</v>
      </c>
      <c r="AD68" s="71"/>
      <c r="AE68" s="80" t="s">
        <v>1943</v>
      </c>
      <c r="AF68" s="79">
        <f t="shared" si="18"/>
        <v>3</v>
      </c>
      <c r="AG68" s="71"/>
      <c r="AH68" s="71"/>
    </row>
    <row r="69" spans="1:34" x14ac:dyDescent="0.2">
      <c r="A69" s="55"/>
      <c r="B69" s="55"/>
      <c r="C69" s="17"/>
      <c r="D69" s="17"/>
      <c r="E69" s="117"/>
      <c r="F69" s="453">
        <f t="shared" si="7"/>
        <v>6</v>
      </c>
      <c r="G69" s="453">
        <f ca="1">VLOOKUP(H69,Equipos!$Q$1:$R$25,2,0)</f>
        <v>17</v>
      </c>
      <c r="H69" s="454">
        <f ca="1">TRUNC(INDEX(WORLDCUP!$X$4:$X$147,MATCH(ADMIN!K69,WORLDCUP!$DT$4:$DT$147,0)))</f>
        <v>46200</v>
      </c>
      <c r="I69" s="54">
        <v>1</v>
      </c>
      <c r="J69" s="102" t="s">
        <v>181</v>
      </c>
      <c r="K69" s="59" t="str">
        <f ca="1">CONCATENATE(WORLDCUP!AA65,"-",WORLDCUP!AF65)</f>
        <v>Uruguay-España</v>
      </c>
      <c r="L69" s="59"/>
      <c r="M69" s="59" t="str">
        <f>IF(OR(WORLDCUP!AC65="",WORLDCUP!AD65=""),"-",N69&amp;"|"&amp;O69&amp;"-"&amp;P69)</f>
        <v>2|0-1</v>
      </c>
      <c r="N69" s="25" t="str">
        <f>IF(OR(WORLDCUP!AC65="",WORLDCUP!AD65=""),"",IF(WORLDCUP!AC65&gt;WORLDCUP!AD65,"1",IF(WORLDCUP!AC65&lt;WORLDCUP!AD65,"2","X")))</f>
        <v>2</v>
      </c>
      <c r="O69" s="25">
        <f>WORLDCUP!AC65</f>
        <v>0</v>
      </c>
      <c r="P69" s="25">
        <f>WORLDCUP!AD65</f>
        <v>1</v>
      </c>
      <c r="Q69" s="25">
        <f t="shared" si="11"/>
        <v>1</v>
      </c>
      <c r="R69" s="55"/>
      <c r="S69" s="80" t="s">
        <v>1956</v>
      </c>
      <c r="T69" s="79">
        <f t="shared" si="8"/>
        <v>3</v>
      </c>
      <c r="U69" s="71"/>
      <c r="V69" s="80" t="s">
        <v>1955</v>
      </c>
      <c r="W69" s="79">
        <f t="shared" si="15"/>
        <v>2</v>
      </c>
      <c r="X69" s="71"/>
      <c r="Y69" s="80" t="s">
        <v>1965</v>
      </c>
      <c r="Z69" s="79">
        <f t="shared" si="18"/>
        <v>0</v>
      </c>
      <c r="AA69" s="71"/>
      <c r="AB69" s="80" t="s">
        <v>1951</v>
      </c>
      <c r="AC69" s="79">
        <f t="shared" si="18"/>
        <v>3</v>
      </c>
      <c r="AD69" s="71"/>
      <c r="AE69" s="80" t="s">
        <v>1951</v>
      </c>
      <c r="AF69" s="79">
        <f t="shared" si="18"/>
        <v>3</v>
      </c>
      <c r="AG69" s="71"/>
      <c r="AH69" s="71"/>
    </row>
    <row r="70" spans="1:34" x14ac:dyDescent="0.2">
      <c r="A70" s="55"/>
      <c r="B70" s="55"/>
      <c r="C70" s="17"/>
      <c r="D70" s="17"/>
      <c r="E70" s="117"/>
      <c r="F70" s="453">
        <f t="shared" si="7"/>
        <v>6</v>
      </c>
      <c r="G70" s="453">
        <f ca="1">VLOOKUP(H70,Equipos!$Q$1:$R$25,2,0)</f>
        <v>16</v>
      </c>
      <c r="H70" s="454">
        <f ca="1">TRUNC(INDEX(WORLDCUP!$X$4:$X$147,MATCH(ADMIN!K70,WORLDCUP!$DT$4:$DT$147,0)))</f>
        <v>46199</v>
      </c>
      <c r="I70" s="54">
        <v>1</v>
      </c>
      <c r="J70" s="101" t="s">
        <v>182</v>
      </c>
      <c r="K70" s="59" t="str">
        <f ca="1">CONCATENATE(WORLDCUP!AA72,"-",WORLDCUP!AF72)</f>
        <v>Noruega-Francia</v>
      </c>
      <c r="L70" s="59"/>
      <c r="M70" s="61" t="str">
        <f>IF(OR(WORLDCUP!AC72="",WORLDCUP!AD72=""),"-",N70&amp;"|"&amp;O70&amp;"-"&amp;P70)</f>
        <v>2|1-4</v>
      </c>
      <c r="N70" s="25" t="str">
        <f>IF(OR(WORLDCUP!AC72="",WORLDCUP!AD72=""),"",IF(WORLDCUP!AC72&gt;WORLDCUP!AD72,"1",IF(WORLDCUP!AC72&lt;WORLDCUP!AD72,"2","X")))</f>
        <v>2</v>
      </c>
      <c r="O70" s="25">
        <f>WORLDCUP!AC72</f>
        <v>1</v>
      </c>
      <c r="P70" s="25">
        <f>WORLDCUP!AD72</f>
        <v>4</v>
      </c>
      <c r="Q70" s="25">
        <f t="shared" si="11"/>
        <v>3</v>
      </c>
      <c r="R70" s="55"/>
      <c r="S70" s="80" t="s">
        <v>1945</v>
      </c>
      <c r="T70" s="79">
        <f t="shared" si="8"/>
        <v>0</v>
      </c>
      <c r="U70" s="71"/>
      <c r="V70" s="80" t="s">
        <v>1951</v>
      </c>
      <c r="W70" s="79">
        <f t="shared" si="15"/>
        <v>2</v>
      </c>
      <c r="X70" s="71"/>
      <c r="Y70" s="80" t="s">
        <v>1956</v>
      </c>
      <c r="Z70" s="79">
        <f t="shared" si="18"/>
        <v>2</v>
      </c>
      <c r="AA70" s="71"/>
      <c r="AB70" s="80" t="s">
        <v>1951</v>
      </c>
      <c r="AC70" s="79">
        <f t="shared" si="18"/>
        <v>2</v>
      </c>
      <c r="AD70" s="71"/>
      <c r="AE70" s="80" t="s">
        <v>1943</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f>
        <v>46199</v>
      </c>
      <c r="I71" s="54">
        <v>1</v>
      </c>
      <c r="J71" s="101" t="s">
        <v>182</v>
      </c>
      <c r="K71" s="62" t="str">
        <f ca="1">CONCATENATE(WORLDCUP!AA73,"-",WORLDCUP!AF73)</f>
        <v>Senegal-Irak</v>
      </c>
      <c r="L71" s="59"/>
      <c r="M71" s="61" t="str">
        <f>IF(OR(WORLDCUP!AC73="",WORLDCUP!AD73=""),"-",N71&amp;"|"&amp;O71&amp;"-"&amp;P71)</f>
        <v>1|5-0</v>
      </c>
      <c r="N71" s="25" t="str">
        <f>IF(OR(WORLDCUP!AC73="",WORLDCUP!AD73=""),"",IF(WORLDCUP!AC73&gt;WORLDCUP!AD73,"1",IF(WORLDCUP!AC73&lt;WORLDCUP!AD73,"2","X")))</f>
        <v>1</v>
      </c>
      <c r="O71" s="25">
        <f>WORLDCUP!AC73</f>
        <v>5</v>
      </c>
      <c r="P71" s="25">
        <f>WORLDCUP!AD73</f>
        <v>0</v>
      </c>
      <c r="Q71" s="25">
        <f t="shared" ref="Q71:Q77" si="20">ABS(O71-P71)</f>
        <v>5</v>
      </c>
      <c r="R71" s="55"/>
      <c r="S71" s="80" t="s">
        <v>1949</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2</v>
      </c>
      <c r="U71" s="71"/>
      <c r="V71" s="80" t="s">
        <v>1949</v>
      </c>
      <c r="W71" s="79">
        <f t="shared" si="15"/>
        <v>2</v>
      </c>
      <c r="X71" s="71"/>
      <c r="Y71" s="80" t="s">
        <v>1949</v>
      </c>
      <c r="Z71" s="79">
        <f t="shared" si="18"/>
        <v>2</v>
      </c>
      <c r="AA71" s="71"/>
      <c r="AB71" s="80" t="s">
        <v>1949</v>
      </c>
      <c r="AC71" s="79">
        <f t="shared" si="18"/>
        <v>2</v>
      </c>
      <c r="AD71" s="71"/>
      <c r="AE71" s="80" t="s">
        <v>1941</v>
      </c>
      <c r="AF71" s="79">
        <f t="shared" si="18"/>
        <v>2</v>
      </c>
      <c r="AG71" s="71"/>
      <c r="AH71" s="71"/>
    </row>
    <row r="72" spans="1:34" x14ac:dyDescent="0.2">
      <c r="A72" s="55"/>
      <c r="B72" s="55"/>
      <c r="C72" s="17"/>
      <c r="D72" s="17"/>
      <c r="E72" s="117"/>
      <c r="F72" s="453">
        <f t="shared" si="19"/>
        <v>6</v>
      </c>
      <c r="G72" s="453">
        <f ca="1">VLOOKUP(H72,Equipos!$Q$1:$R$25,2,0)</f>
        <v>18</v>
      </c>
      <c r="H72" s="454">
        <f ca="1">TRUNC(INDEX(WORLDCUP!$X$4:$X$147,MATCH(ADMIN!K72,WORLDCUP!$DT$4:$DT$147,0)))</f>
        <v>46201</v>
      </c>
      <c r="I72" s="54">
        <v>1</v>
      </c>
      <c r="J72" s="102" t="s">
        <v>28</v>
      </c>
      <c r="K72" s="59" t="str">
        <f ca="1">CONCATENATE(WORLDCUP!AA80,"-",WORLDCUP!AF80)</f>
        <v>Argelia-Austria</v>
      </c>
      <c r="L72" s="59"/>
      <c r="M72" s="61" t="str">
        <f>IF(OR(WORLDCUP!AC80="",WORLDCUP!AD80=""),"-",N72&amp;"|"&amp;O72&amp;"-"&amp;P72)</f>
        <v>X|3-3</v>
      </c>
      <c r="N72" s="25" t="str">
        <f>IF(OR(WORLDCUP!AC80="",WORLDCUP!AD80=""),"",IF(WORLDCUP!AC80&gt;WORLDCUP!AD80,"1",IF(WORLDCUP!AC80&lt;WORLDCUP!AD80,"2","X")))</f>
        <v>X</v>
      </c>
      <c r="O72" s="25">
        <f>WORLDCUP!AC80</f>
        <v>3</v>
      </c>
      <c r="P72" s="25">
        <f>WORLDCUP!AD80</f>
        <v>3</v>
      </c>
      <c r="Q72" s="25">
        <f t="shared" si="20"/>
        <v>0</v>
      </c>
      <c r="R72" s="55"/>
      <c r="S72" s="80" t="s">
        <v>1951</v>
      </c>
      <c r="T72" s="79">
        <f t="shared" si="21"/>
        <v>0</v>
      </c>
      <c r="U72" s="71"/>
      <c r="V72" s="80" t="s">
        <v>1942</v>
      </c>
      <c r="W72" s="79">
        <f t="shared" si="15"/>
        <v>0</v>
      </c>
      <c r="X72" s="71"/>
      <c r="Y72" s="80" t="s">
        <v>1943</v>
      </c>
      <c r="Z72" s="79">
        <f t="shared" si="18"/>
        <v>3</v>
      </c>
      <c r="AA72" s="71"/>
      <c r="AB72" s="80" t="s">
        <v>1943</v>
      </c>
      <c r="AC72" s="79">
        <f t="shared" si="18"/>
        <v>3</v>
      </c>
      <c r="AD72" s="71"/>
      <c r="AE72" s="80" t="s">
        <v>1946</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f>
        <v>46201</v>
      </c>
      <c r="I73" s="54">
        <v>1</v>
      </c>
      <c r="J73" s="102" t="s">
        <v>28</v>
      </c>
      <c r="K73" s="62" t="str">
        <f ca="1">CONCATENATE(WORLDCUP!AA81,"-",WORLDCUP!AF81)</f>
        <v>Jordania-Argentina</v>
      </c>
      <c r="L73" s="59"/>
      <c r="M73" s="61" t="str">
        <f>IF(OR(WORLDCUP!AC81="",WORLDCUP!AD81=""),"-",N73&amp;"|"&amp;O73&amp;"-"&amp;P73)</f>
        <v>2|1-3</v>
      </c>
      <c r="N73" s="25" t="str">
        <f>IF(OR(WORLDCUP!AC81="",WORLDCUP!AD81=""),"",IF(WORLDCUP!AC81&gt;WORLDCUP!AD81,"1",IF(WORLDCUP!AC81&lt;WORLDCUP!AD81,"2","X")))</f>
        <v>2</v>
      </c>
      <c r="O73" s="25">
        <f>WORLDCUP!AC81</f>
        <v>1</v>
      </c>
      <c r="P73" s="25">
        <f>WORLDCUP!AD81</f>
        <v>3</v>
      </c>
      <c r="Q73" s="25">
        <f t="shared" si="20"/>
        <v>2</v>
      </c>
      <c r="R73" s="55"/>
      <c r="S73" s="80" t="s">
        <v>1957</v>
      </c>
      <c r="T73" s="79">
        <f t="shared" si="21"/>
        <v>2</v>
      </c>
      <c r="U73" s="71"/>
      <c r="V73" s="80" t="s">
        <v>1944</v>
      </c>
      <c r="W73" s="79">
        <f t="shared" si="15"/>
        <v>2</v>
      </c>
      <c r="X73" s="71"/>
      <c r="Y73" s="80" t="s">
        <v>1942</v>
      </c>
      <c r="Z73" s="79">
        <f t="shared" si="18"/>
        <v>2</v>
      </c>
      <c r="AA73" s="71"/>
      <c r="AB73" s="80" t="s">
        <v>1944</v>
      </c>
      <c r="AC73" s="79">
        <f t="shared" si="18"/>
        <v>2</v>
      </c>
      <c r="AD73" s="71"/>
      <c r="AE73" s="80" t="s">
        <v>1944</v>
      </c>
      <c r="AF73" s="79">
        <f t="shared" si="18"/>
        <v>2</v>
      </c>
      <c r="AG73" s="71"/>
      <c r="AH73" s="71"/>
    </row>
    <row r="74" spans="1:34" x14ac:dyDescent="0.2">
      <c r="A74" s="55"/>
      <c r="B74" s="55"/>
      <c r="C74" s="55"/>
      <c r="D74" s="55"/>
      <c r="E74" s="117"/>
      <c r="F74" s="453">
        <f t="shared" si="19"/>
        <v>6</v>
      </c>
      <c r="G74" s="453">
        <f ca="1">VLOOKUP(H74,Equipos!$Q$1:$R$25,2,0)</f>
        <v>18</v>
      </c>
      <c r="H74" s="454">
        <f ca="1">TRUNC(INDEX(WORLDCUP!$X$4:$X$147,MATCH(ADMIN!K74,WORLDCUP!$DT$4:$DT$147,0)))</f>
        <v>46201</v>
      </c>
      <c r="I74" s="54">
        <v>1</v>
      </c>
      <c r="J74" s="101" t="s">
        <v>188</v>
      </c>
      <c r="K74" s="59" t="str">
        <f ca="1">CONCATENATE(WORLDCUP!AA88,"-",WORLDCUP!AF88)</f>
        <v>Colombia-Portugal</v>
      </c>
      <c r="L74" s="59"/>
      <c r="M74" s="61" t="str">
        <f>IF(OR(WORLDCUP!AC88="",WORLDCUP!AD88=""),"-",N74&amp;"|"&amp;O74&amp;"-"&amp;P74)</f>
        <v>X|0-0</v>
      </c>
      <c r="N74" s="25" t="str">
        <f>IF(OR(WORLDCUP!AC88="",WORLDCUP!AD88=""),"",IF(WORLDCUP!AC88&gt;WORLDCUP!AD88,"1",IF(WORLDCUP!AC88&lt;WORLDCUP!AD88,"2","X")))</f>
        <v>X</v>
      </c>
      <c r="O74" s="25">
        <f>WORLDCUP!AC88</f>
        <v>0</v>
      </c>
      <c r="P74" s="25">
        <f>WORLDCUP!AD88</f>
        <v>0</v>
      </c>
      <c r="Q74" s="25">
        <f t="shared" si="20"/>
        <v>0</v>
      </c>
      <c r="R74" s="55"/>
      <c r="S74" s="80" t="s">
        <v>1945</v>
      </c>
      <c r="T74" s="79">
        <f>IFERROR(IF($M74=S74,($D$8+$D$9+$D$10)*$I74,IF($N74=LEFT(S74,1),($D$8+MAX(0,IF($D$50=1,$D$9*(1-(ABS($Q74-ABS(VALUE(MID(S74,FIND("|",S74)+1,FIND("-",S74)-FIND("|",S74)-1))-VALUE(MID(S74,FIND("-",S74)+1,10)))))*$D$50),$D$9*(1-(IF($N74="X",ABS($O74-VALUE(MID(S74,FIND("|",S74)+1,FIND("-",S74)-FIND("|",S74)-1))),ABS($Q74-ABS(VALUE(MID(S74,FIND("|",S74)+1,FIND("-",S74)-FIND("|",S74)-1))-VALUE(MID(S74,FIND("-",S74)+1,10)))))*$D$50)))))*$I74,0)),0)</f>
        <v>3</v>
      </c>
      <c r="U74" s="71"/>
      <c r="V74" s="80" t="s">
        <v>1946</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1948</v>
      </c>
      <c r="Z74" s="79">
        <f t="shared" si="18"/>
        <v>0</v>
      </c>
      <c r="AA74" s="71"/>
      <c r="AB74" s="80" t="s">
        <v>1951</v>
      </c>
      <c r="AC74" s="79">
        <f t="shared" si="18"/>
        <v>0</v>
      </c>
      <c r="AD74" s="71"/>
      <c r="AE74" s="80" t="s">
        <v>1942</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f>
        <v>46201</v>
      </c>
      <c r="I75" s="54">
        <v>1</v>
      </c>
      <c r="J75" s="101" t="s">
        <v>188</v>
      </c>
      <c r="K75" s="62" t="str">
        <f ca="1">CONCATENATE(WORLDCUP!AA89,"-",WORLDCUP!AF89)</f>
        <v>RD Congo-Uzbekistán</v>
      </c>
      <c r="L75" s="59"/>
      <c r="M75" s="61" t="str">
        <f>IF(OR(WORLDCUP!AC89="",WORLDCUP!AD89=""),"-",N75&amp;"|"&amp;O75&amp;"-"&amp;P75)</f>
        <v>1|3-1</v>
      </c>
      <c r="N75" s="25" t="str">
        <f>IF(OR(WORLDCUP!AC89="",WORLDCUP!AD89=""),"",IF(WORLDCUP!AC89&gt;WORLDCUP!AD89,"1",IF(WORLDCUP!AC89&lt;WORLDCUP!AD89,"2","X")))</f>
        <v>1</v>
      </c>
      <c r="O75" s="25">
        <f>WORLDCUP!AC89</f>
        <v>3</v>
      </c>
      <c r="P75" s="25">
        <f>WORLDCUP!AD89</f>
        <v>1</v>
      </c>
      <c r="Q75" s="25">
        <f t="shared" si="20"/>
        <v>2</v>
      </c>
      <c r="R75" s="55"/>
      <c r="S75" s="80" t="s">
        <v>1943</v>
      </c>
      <c r="T75" s="79">
        <f t="shared" si="21"/>
        <v>0</v>
      </c>
      <c r="U75" s="71"/>
      <c r="V75" s="80" t="s">
        <v>1950</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2</v>
      </c>
      <c r="X75" s="71"/>
      <c r="Y75" s="80" t="s">
        <v>1941</v>
      </c>
      <c r="Z75" s="79">
        <f t="shared" si="18"/>
        <v>2</v>
      </c>
      <c r="AA75" s="71"/>
      <c r="AB75" s="80" t="s">
        <v>1943</v>
      </c>
      <c r="AC75" s="79">
        <f t="shared" si="18"/>
        <v>0</v>
      </c>
      <c r="AD75" s="71"/>
      <c r="AE75" s="80" t="s">
        <v>1951</v>
      </c>
      <c r="AF75" s="79">
        <f t="shared" si="18"/>
        <v>0</v>
      </c>
      <c r="AG75" s="71"/>
      <c r="AH75" s="71"/>
    </row>
    <row r="76" spans="1:34" x14ac:dyDescent="0.2">
      <c r="A76" s="55"/>
      <c r="B76" s="55"/>
      <c r="C76" s="17"/>
      <c r="D76" s="17"/>
      <c r="E76" s="117"/>
      <c r="F76" s="453">
        <f t="shared" si="19"/>
        <v>6</v>
      </c>
      <c r="G76" s="453">
        <f ca="1">VLOOKUP(H76,Equipos!$Q$1:$R$25,2,0)</f>
        <v>17</v>
      </c>
      <c r="H76" s="454">
        <f ca="1">TRUNC(INDEX(WORLDCUP!$X$4:$X$147,MATCH(ADMIN!K76,WORLDCUP!$DT$4:$DT$147,0)))</f>
        <v>46200</v>
      </c>
      <c r="I76" s="54">
        <v>1</v>
      </c>
      <c r="J76" s="102" t="s">
        <v>1198</v>
      </c>
      <c r="K76" s="59" t="str">
        <f ca="1">CONCATENATE(WORLDCUP!AA96,"-",WORLDCUP!AF96)</f>
        <v>Panamá-Inglaterra</v>
      </c>
      <c r="L76" s="59"/>
      <c r="M76" s="61" t="str">
        <f>IF(OR(WORLDCUP!AC96="",WORLDCUP!AD96=""),"-",N76&amp;"|"&amp;O76&amp;"-"&amp;P76)</f>
        <v>2|0-2</v>
      </c>
      <c r="N76" s="25" t="str">
        <f>IF(OR(WORLDCUP!AC96="",WORLDCUP!AD96=""),"",IF(WORLDCUP!AC96&gt;WORLDCUP!AD96,"1",IF(WORLDCUP!AC96&lt;WORLDCUP!AD96,"2","X")))</f>
        <v>2</v>
      </c>
      <c r="O76" s="25">
        <f>WORLDCUP!AC96</f>
        <v>0</v>
      </c>
      <c r="P76" s="25">
        <f>WORLDCUP!AD96</f>
        <v>2</v>
      </c>
      <c r="Q76" s="25">
        <f t="shared" si="20"/>
        <v>2</v>
      </c>
      <c r="R76" s="55"/>
      <c r="S76" s="80" t="s">
        <v>1955</v>
      </c>
      <c r="T76" s="79">
        <f t="shared" si="21"/>
        <v>3</v>
      </c>
      <c r="U76" s="71"/>
      <c r="V76" s="80" t="s">
        <v>1963</v>
      </c>
      <c r="W76" s="79">
        <f t="shared" si="22"/>
        <v>2</v>
      </c>
      <c r="X76" s="71"/>
      <c r="Y76" s="80" t="s">
        <v>1943</v>
      </c>
      <c r="Z76" s="79">
        <f t="shared" si="18"/>
        <v>0</v>
      </c>
      <c r="AA76" s="71"/>
      <c r="AB76" s="80" t="s">
        <v>1944</v>
      </c>
      <c r="AC76" s="79">
        <f t="shared" si="18"/>
        <v>2</v>
      </c>
      <c r="AD76" s="71"/>
      <c r="AE76" s="80" t="s">
        <v>1946</v>
      </c>
      <c r="AF76" s="79">
        <f t="shared" si="18"/>
        <v>6</v>
      </c>
      <c r="AG76" s="71"/>
      <c r="AH76" s="71"/>
    </row>
    <row r="77" spans="1:34" x14ac:dyDescent="0.2">
      <c r="A77" s="55"/>
      <c r="B77" s="55"/>
      <c r="C77" s="17"/>
      <c r="D77" s="17"/>
      <c r="E77" s="117"/>
      <c r="F77" s="453">
        <f t="shared" si="19"/>
        <v>6</v>
      </c>
      <c r="G77" s="453">
        <f ca="1">VLOOKUP(H77,Equipos!$Q$1:$R$25,2,0)</f>
        <v>17</v>
      </c>
      <c r="H77" s="454">
        <f ca="1">TRUNC(INDEX(WORLDCUP!$X$4:$X$147,MATCH(ADMIN!K77,WORLDCUP!$DT$4:$DT$147,0)))</f>
        <v>46200</v>
      </c>
      <c r="I77" s="54">
        <v>1</v>
      </c>
      <c r="J77" s="102" t="s">
        <v>1198</v>
      </c>
      <c r="K77" s="121" t="str">
        <f ca="1">CONCATENATE(WORLDCUP!AA97,"-",WORLDCUP!AF97)</f>
        <v>Croacia-Ghana</v>
      </c>
      <c r="L77" s="121"/>
      <c r="M77" s="122" t="str">
        <f>IF(OR(WORLDCUP!AC97="",WORLDCUP!AD97=""),"-",N77&amp;"|"&amp;O77&amp;"-"&amp;P77)</f>
        <v>1|2-1</v>
      </c>
      <c r="N77" s="25" t="str">
        <f>IF(OR(WORLDCUP!AC97="",WORLDCUP!AD97=""),"",IF(WORLDCUP!AC97&gt;WORLDCUP!AD97,"1",IF(WORLDCUP!AC97&lt;WORLDCUP!AD97,"2","X")))</f>
        <v>1</v>
      </c>
      <c r="O77" s="25">
        <f>WORLDCUP!AC97</f>
        <v>2</v>
      </c>
      <c r="P77" s="25">
        <f>WORLDCUP!AD97</f>
        <v>1</v>
      </c>
      <c r="Q77" s="25">
        <f t="shared" si="20"/>
        <v>1</v>
      </c>
      <c r="R77" s="55"/>
      <c r="S77" s="86" t="s">
        <v>1949</v>
      </c>
      <c r="T77" s="87">
        <f t="shared" si="21"/>
        <v>2</v>
      </c>
      <c r="U77" s="71"/>
      <c r="V77" s="86" t="s">
        <v>1943</v>
      </c>
      <c r="W77" s="87">
        <f t="shared" si="22"/>
        <v>0</v>
      </c>
      <c r="X77" s="71"/>
      <c r="Y77" s="86" t="s">
        <v>1959</v>
      </c>
      <c r="Z77" s="87">
        <f t="shared" si="18"/>
        <v>0</v>
      </c>
      <c r="AA77" s="71"/>
      <c r="AB77" s="86" t="s">
        <v>1943</v>
      </c>
      <c r="AC77" s="87">
        <f t="shared" si="18"/>
        <v>0</v>
      </c>
      <c r="AD77" s="71"/>
      <c r="AE77" s="86" t="s">
        <v>1941</v>
      </c>
      <c r="AF77" s="87">
        <f t="shared" si="18"/>
        <v>6</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121</v>
      </c>
      <c r="U78" s="70"/>
      <c r="V78" s="88"/>
      <c r="W78" s="89">
        <f>SUM(W6:W77)</f>
        <v>105</v>
      </c>
      <c r="X78" s="70"/>
      <c r="Y78" s="88"/>
      <c r="Z78" s="89">
        <f t="shared" ref="Z78" si="23">SUM(Z6:Z77)</f>
        <v>101</v>
      </c>
      <c r="AA78" s="70"/>
      <c r="AB78" s="88"/>
      <c r="AC78" s="89">
        <f t="shared" ref="AC78" si="24">SUM(AC6:AC77)</f>
        <v>130</v>
      </c>
      <c r="AD78" s="70"/>
      <c r="AE78" s="88"/>
      <c r="AF78" s="89">
        <f t="shared" ref="AF78" si="25">SUM(AF6:AF77)</f>
        <v>134</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854" t="s">
        <v>0</v>
      </c>
      <c r="K80" s="59" t="str">
        <f>Idiomas!D150</f>
        <v>1º GRUPO A</v>
      </c>
      <c r="L80" s="59"/>
      <c r="M80" s="61" t="str">
        <f ca="1">IF(OR(SUM(WORLDCUP!$AN$6:$AN$9)=12,WORLDCUP!$AJ$99=144),WORLDCUP!AL6,LEFT(K80,1)&amp;RIGHT(K80,1))</f>
        <v>México</v>
      </c>
      <c r="N80" s="25"/>
      <c r="O80" s="25"/>
      <c r="P80" s="25"/>
      <c r="Q80" s="25"/>
      <c r="R80" s="116"/>
      <c r="S80" s="82" t="s">
        <v>1843</v>
      </c>
      <c r="T80" s="83">
        <f ca="1">($M80=S80)*$D$11</f>
        <v>0</v>
      </c>
      <c r="U80" s="70"/>
      <c r="V80" s="82" t="s">
        <v>1265</v>
      </c>
      <c r="W80" s="83">
        <f t="shared" ref="W80" ca="1" si="26">($M80=V80)*$D$11</f>
        <v>4</v>
      </c>
      <c r="X80" s="70"/>
      <c r="Y80" s="82" t="s">
        <v>1260</v>
      </c>
      <c r="Z80" s="83">
        <f t="shared" ref="Z80" ca="1" si="27">($M80=Y80)*$D$11</f>
        <v>0</v>
      </c>
      <c r="AA80" s="70"/>
      <c r="AB80" s="82" t="s">
        <v>1265</v>
      </c>
      <c r="AC80" s="83">
        <f t="shared" ref="AC80" ca="1" si="28">($M80=AB80)*$D$11</f>
        <v>4</v>
      </c>
      <c r="AD80" s="70"/>
      <c r="AE80" s="82" t="s">
        <v>1265</v>
      </c>
      <c r="AF80" s="83">
        <f t="shared" ref="AF80" ca="1" si="29">($M80=AE80)*$D$11</f>
        <v>4</v>
      </c>
      <c r="AG80" s="70"/>
      <c r="AH80" s="70"/>
    </row>
    <row r="81" spans="1:34" x14ac:dyDescent="0.2">
      <c r="A81" s="55"/>
      <c r="B81" s="55"/>
      <c r="C81" s="55"/>
      <c r="D81" s="55"/>
      <c r="E81" s="117"/>
      <c r="F81" s="133">
        <f>$D$12</f>
        <v>3</v>
      </c>
      <c r="G81" s="453">
        <f ca="1">VLOOKUP(H81,Equipos!$Q$1:$R$25,2,0)</f>
        <v>15</v>
      </c>
      <c r="H81" s="454">
        <f ca="1">$H$54</f>
        <v>46198</v>
      </c>
      <c r="I81" s="56"/>
      <c r="J81" s="854"/>
      <c r="K81" s="62" t="str">
        <f>Idiomas!D151</f>
        <v>2º GRUPO A</v>
      </c>
      <c r="L81" s="59"/>
      <c r="M81" s="61" t="str">
        <f ca="1">IF(OR(SUM(WORLDCUP!$AN$6:$AN$9)=12,WORLDCUP!$AJ$99=144),WORLDCUP!AL7,LEFT(K81,1)&amp;RIGHT(K81,1))</f>
        <v>Sudáfrica</v>
      </c>
      <c r="N81" s="25"/>
      <c r="O81" s="25"/>
      <c r="P81" s="25"/>
      <c r="Q81" s="25"/>
      <c r="R81" s="116"/>
      <c r="S81" s="80" t="s">
        <v>1265</v>
      </c>
      <c r="T81" s="79">
        <f ca="1">($M81=S81)*$D$12</f>
        <v>0</v>
      </c>
      <c r="U81" s="70"/>
      <c r="V81" s="80" t="s">
        <v>1843</v>
      </c>
      <c r="W81" s="79">
        <f t="shared" ref="W81" ca="1" si="30">($M81=V81)*$D$12</f>
        <v>0</v>
      </c>
      <c r="X81" s="70"/>
      <c r="Y81" s="80" t="s">
        <v>1843</v>
      </c>
      <c r="Z81" s="79">
        <f t="shared" ref="Z81" ca="1" si="31">($M81=Y81)*$D$12</f>
        <v>0</v>
      </c>
      <c r="AA81" s="70"/>
      <c r="AB81" s="80" t="s">
        <v>1260</v>
      </c>
      <c r="AC81" s="79">
        <f t="shared" ref="AC81" ca="1" si="32">($M81=AB81)*$D$12</f>
        <v>0</v>
      </c>
      <c r="AD81" s="70"/>
      <c r="AE81" s="80" t="s">
        <v>1260</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854"/>
      <c r="K82" s="62" t="str">
        <f>Idiomas!D152</f>
        <v>3º GRUPO A</v>
      </c>
      <c r="L82" s="59"/>
      <c r="M82" s="61" t="str">
        <f ca="1">IF(OR(SUM(WORLDCUP!$AN$6:$AN$9)=12,WORLDCUP!$AJ$99=144),WORLDCUP!AL8,LEFT(K82,1)&amp;RIGHT(K82,1))</f>
        <v>Corea del Sur</v>
      </c>
      <c r="N82" s="25"/>
      <c r="O82" s="25"/>
      <c r="P82" s="25"/>
      <c r="Q82" s="25"/>
      <c r="R82" s="116"/>
      <c r="S82" s="80" t="s">
        <v>1630</v>
      </c>
      <c r="T82" s="79">
        <f ca="1">($M82=S82)*$D$13</f>
        <v>0</v>
      </c>
      <c r="U82" s="70"/>
      <c r="V82" s="80" t="s">
        <v>1260</v>
      </c>
      <c r="W82" s="79">
        <f t="shared" ref="W82" ca="1" si="34">($M82=V82)*$D$13</f>
        <v>2</v>
      </c>
      <c r="X82" s="70"/>
      <c r="Y82" s="80" t="s">
        <v>1265</v>
      </c>
      <c r="Z82" s="79">
        <f t="shared" ref="Z82" ca="1" si="35">($M82=Y82)*$D$13</f>
        <v>0</v>
      </c>
      <c r="AA82" s="70"/>
      <c r="AB82" s="80" t="s">
        <v>1843</v>
      </c>
      <c r="AC82" s="79">
        <f t="shared" ref="AC82" ca="1" si="36">($M82=AB82)*$D$13</f>
        <v>0</v>
      </c>
      <c r="AD82" s="70"/>
      <c r="AE82" s="80" t="s">
        <v>1843</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854"/>
      <c r="K83" s="62" t="str">
        <f>Idiomas!D153</f>
        <v>4º GRUPO A</v>
      </c>
      <c r="L83" s="59"/>
      <c r="M83" s="61" t="str">
        <f ca="1">IF(OR(SUM(WORLDCUP!$AN$6:$AN$9)=12,WORLDCUP!$AJ$99=144),WORLDCUP!AL9,LEFT(K83,1)&amp;RIGHT(K83,1))</f>
        <v>República Checa</v>
      </c>
      <c r="N83" s="25"/>
      <c r="O83" s="25"/>
      <c r="P83" s="25"/>
      <c r="Q83" s="25"/>
      <c r="R83" s="116"/>
      <c r="S83" s="80" t="s">
        <v>1260</v>
      </c>
      <c r="T83" s="79">
        <f ca="1">($M83=S83)*$D$14</f>
        <v>0</v>
      </c>
      <c r="U83" s="70"/>
      <c r="V83" s="80" t="s">
        <v>1630</v>
      </c>
      <c r="W83" s="79">
        <f t="shared" ref="W83" ca="1" si="38">($M83=V83)*$D$14</f>
        <v>0</v>
      </c>
      <c r="X83" s="70"/>
      <c r="Y83" s="80" t="s">
        <v>1630</v>
      </c>
      <c r="Z83" s="79">
        <f t="shared" ref="Z83" ca="1" si="39">($M83=Y83)*$D$14</f>
        <v>0</v>
      </c>
      <c r="AA83" s="70"/>
      <c r="AB83" s="80" t="s">
        <v>1630</v>
      </c>
      <c r="AC83" s="79">
        <f t="shared" ref="AC83" ca="1" si="40">($M83=AB83)*$D$14</f>
        <v>0</v>
      </c>
      <c r="AD83" s="70"/>
      <c r="AE83" s="80" t="s">
        <v>1630</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853" t="s">
        <v>1</v>
      </c>
      <c r="K84" s="62" t="str">
        <f>Idiomas!D154</f>
        <v>1º GRUPO B</v>
      </c>
      <c r="L84" s="59"/>
      <c r="M84" s="61" t="str">
        <f ca="1">IF(OR(SUM(WORLDCUP!$AN$14:$AN$17)=12,WORLDCUP!$AJ$99=144),WORLDCUP!AL14,LEFT(K84,1)&amp;RIGHT(K84,1))</f>
        <v>Suiza</v>
      </c>
      <c r="N84" s="25"/>
      <c r="O84" s="25"/>
      <c r="P84" s="25"/>
      <c r="Q84" s="25"/>
      <c r="R84" s="116"/>
      <c r="S84" s="80" t="s">
        <v>75</v>
      </c>
      <c r="T84" s="79">
        <f t="shared" ref="T84" ca="1" si="43">($M84=S84)*$D$11</f>
        <v>4</v>
      </c>
      <c r="U84" s="70"/>
      <c r="V84" s="80" t="s">
        <v>75</v>
      </c>
      <c r="W84" s="79">
        <f t="shared" ref="W84:AF84" ca="1" si="44">($M84=V84)*$D$11</f>
        <v>4</v>
      </c>
      <c r="X84" s="70"/>
      <c r="Y84" s="80" t="s">
        <v>75</v>
      </c>
      <c r="Z84" s="79">
        <f t="shared" ca="1" si="44"/>
        <v>4</v>
      </c>
      <c r="AA84" s="70"/>
      <c r="AB84" s="80" t="s">
        <v>75</v>
      </c>
      <c r="AC84" s="79">
        <f t="shared" ca="1" si="44"/>
        <v>4</v>
      </c>
      <c r="AD84" s="70"/>
      <c r="AE84" s="80" t="s">
        <v>75</v>
      </c>
      <c r="AF84" s="79">
        <f t="shared" ca="1" si="44"/>
        <v>4</v>
      </c>
      <c r="AG84" s="70"/>
      <c r="AH84" s="70"/>
    </row>
    <row r="85" spans="1:34" x14ac:dyDescent="0.2">
      <c r="A85" s="55"/>
      <c r="B85" s="55"/>
      <c r="C85" s="55"/>
      <c r="D85" s="55"/>
      <c r="E85" s="117"/>
      <c r="F85" s="133">
        <f t="shared" ref="F85" si="45">$D$12</f>
        <v>3</v>
      </c>
      <c r="G85" s="453">
        <f ca="1">VLOOKUP(H85,Equipos!$Q$1:$R$25,2,0)</f>
        <v>14</v>
      </c>
      <c r="H85" s="454">
        <f ca="1">$H$56</f>
        <v>46197</v>
      </c>
      <c r="I85" s="56"/>
      <c r="J85" s="853"/>
      <c r="K85" s="62" t="str">
        <f>Idiomas!D155</f>
        <v>2º GRUPO B</v>
      </c>
      <c r="L85" s="59"/>
      <c r="M85" s="61" t="str">
        <f ca="1">IF(OR(SUM(WORLDCUP!$AN$14:$AN$17)=12,WORLDCUP!$AJ$99=144),WORLDCUP!AL15,LEFT(K85,1)&amp;RIGHT(K85,1))</f>
        <v>Canadá</v>
      </c>
      <c r="N85" s="25"/>
      <c r="O85" s="25"/>
      <c r="P85" s="25"/>
      <c r="Q85" s="25"/>
      <c r="R85" s="116"/>
      <c r="S85" s="80" t="s">
        <v>1259</v>
      </c>
      <c r="T85" s="79">
        <f t="shared" ref="T85" ca="1" si="46">($M85=S85)*$D$12</f>
        <v>3</v>
      </c>
      <c r="U85" s="70"/>
      <c r="V85" s="80" t="s">
        <v>1841</v>
      </c>
      <c r="W85" s="79">
        <f t="shared" ref="W85:AF85" ca="1" si="47">($M85=V85)*$D$12</f>
        <v>0</v>
      </c>
      <c r="X85" s="70"/>
      <c r="Y85" s="80" t="s">
        <v>1841</v>
      </c>
      <c r="Z85" s="79">
        <f t="shared" ca="1" si="47"/>
        <v>0</v>
      </c>
      <c r="AA85" s="70"/>
      <c r="AB85" s="80" t="s">
        <v>1259</v>
      </c>
      <c r="AC85" s="79">
        <f t="shared" ca="1" si="47"/>
        <v>3</v>
      </c>
      <c r="AD85" s="70"/>
      <c r="AE85" s="80" t="s">
        <v>1259</v>
      </c>
      <c r="AF85" s="79">
        <f t="shared" ca="1" si="47"/>
        <v>3</v>
      </c>
      <c r="AG85" s="70"/>
      <c r="AH85" s="70"/>
    </row>
    <row r="86" spans="1:34" x14ac:dyDescent="0.2">
      <c r="A86" s="55"/>
      <c r="B86" s="55"/>
      <c r="C86" s="55"/>
      <c r="D86" s="55"/>
      <c r="E86" s="117"/>
      <c r="F86" s="133">
        <f t="shared" ref="F86" si="48">$D$13</f>
        <v>2</v>
      </c>
      <c r="G86" s="453">
        <f ca="1">VLOOKUP(H86,Equipos!$Q$1:$R$25,2,0)</f>
        <v>14</v>
      </c>
      <c r="H86" s="454">
        <f ca="1">$H$56</f>
        <v>46197</v>
      </c>
      <c r="I86" s="56"/>
      <c r="J86" s="853"/>
      <c r="K86" s="62" t="str">
        <f>Idiomas!D156</f>
        <v>3º GRUPO B</v>
      </c>
      <c r="L86" s="59"/>
      <c r="M86" s="61" t="str">
        <f ca="1">IF(OR(SUM(WORLDCUP!$AN$14:$AN$17)=12,WORLDCUP!$AJ$99=144),WORLDCUP!AL16,LEFT(K86,1)&amp;RIGHT(K86,1))</f>
        <v>Bosnia y Herzegovina</v>
      </c>
      <c r="N86" s="25"/>
      <c r="O86" s="25"/>
      <c r="P86" s="25"/>
      <c r="Q86" s="25"/>
      <c r="R86" s="116"/>
      <c r="S86" s="80" t="s">
        <v>1841</v>
      </c>
      <c r="T86" s="79">
        <f t="shared" ref="T86" ca="1" si="49">($M86=S86)*$D$13</f>
        <v>2</v>
      </c>
      <c r="U86" s="70"/>
      <c r="V86" s="80" t="s">
        <v>1259</v>
      </c>
      <c r="W86" s="79">
        <f t="shared" ref="W86:AF86" ca="1" si="50">($M86=V86)*$D$13</f>
        <v>0</v>
      </c>
      <c r="X86" s="70"/>
      <c r="Y86" s="80" t="s">
        <v>1259</v>
      </c>
      <c r="Z86" s="79">
        <f t="shared" ca="1" si="50"/>
        <v>0</v>
      </c>
      <c r="AA86" s="70"/>
      <c r="AB86" s="80" t="s">
        <v>1841</v>
      </c>
      <c r="AC86" s="79">
        <f t="shared" ca="1" si="50"/>
        <v>2</v>
      </c>
      <c r="AD86" s="70"/>
      <c r="AE86" s="80" t="s">
        <v>1841</v>
      </c>
      <c r="AF86" s="79">
        <f t="shared" ca="1" si="50"/>
        <v>2</v>
      </c>
      <c r="AG86" s="70"/>
      <c r="AH86" s="70"/>
    </row>
    <row r="87" spans="1:34" x14ac:dyDescent="0.2">
      <c r="A87" s="55"/>
      <c r="B87" s="55"/>
      <c r="C87" s="55"/>
      <c r="D87" s="55"/>
      <c r="E87" s="117"/>
      <c r="F87" s="133">
        <f t="shared" ref="F87" si="51">$D$14</f>
        <v>1</v>
      </c>
      <c r="G87" s="453">
        <f ca="1">VLOOKUP(H87,Equipos!$Q$1:$R$25,2,0)</f>
        <v>14</v>
      </c>
      <c r="H87" s="454">
        <f ca="1">$H$56</f>
        <v>46197</v>
      </c>
      <c r="I87" s="56"/>
      <c r="J87" s="853"/>
      <c r="K87" s="62" t="str">
        <f>Idiomas!D157</f>
        <v>4º GRUPO B</v>
      </c>
      <c r="L87" s="59"/>
      <c r="M87" s="61" t="str">
        <f ca="1">IF(OR(SUM(WORLDCUP!$AN$14:$AN$17)=12,WORLDCUP!$AJ$99=144),WORLDCUP!AL17,LEFT(K87,1)&amp;RIGHT(K87,1))</f>
        <v>Catar</v>
      </c>
      <c r="N87" s="25"/>
      <c r="O87" s="25"/>
      <c r="P87" s="25"/>
      <c r="Q87" s="25"/>
      <c r="R87" s="116"/>
      <c r="S87" s="80" t="s">
        <v>1631</v>
      </c>
      <c r="T87" s="79">
        <f t="shared" ref="T87" ca="1" si="52">($M87=S87)*$D$14</f>
        <v>1</v>
      </c>
      <c r="U87" s="70"/>
      <c r="V87" s="80" t="s">
        <v>1631</v>
      </c>
      <c r="W87" s="79">
        <f t="shared" ref="W87:AF87" ca="1" si="53">($M87=V87)*$D$14</f>
        <v>1</v>
      </c>
      <c r="X87" s="70"/>
      <c r="Y87" s="80" t="s">
        <v>1631</v>
      </c>
      <c r="Z87" s="79">
        <f t="shared" ca="1" si="53"/>
        <v>1</v>
      </c>
      <c r="AA87" s="70"/>
      <c r="AB87" s="80" t="s">
        <v>1631</v>
      </c>
      <c r="AC87" s="79">
        <f t="shared" ca="1" si="53"/>
        <v>1</v>
      </c>
      <c r="AD87" s="70"/>
      <c r="AE87" s="80" t="s">
        <v>1631</v>
      </c>
      <c r="AF87" s="79">
        <f t="shared" ca="1" si="53"/>
        <v>1</v>
      </c>
      <c r="AG87" s="70"/>
      <c r="AH87" s="70"/>
    </row>
    <row r="88" spans="1:34" x14ac:dyDescent="0.2">
      <c r="A88" s="55"/>
      <c r="B88" s="55"/>
      <c r="C88" s="55"/>
      <c r="D88" s="55"/>
      <c r="E88" s="117"/>
      <c r="F88" s="133">
        <f t="shared" ref="F88" si="54">$D$11</f>
        <v>4</v>
      </c>
      <c r="G88" s="453">
        <f ca="1">VLOOKUP(H88,Equipos!$Q$1:$R$25,2,0)</f>
        <v>15</v>
      </c>
      <c r="H88" s="454">
        <f ca="1">$H$58</f>
        <v>46198</v>
      </c>
      <c r="I88" s="56"/>
      <c r="J88" s="854" t="s">
        <v>2</v>
      </c>
      <c r="K88" s="62" t="str">
        <f>Idiomas!D158</f>
        <v>1º GRUPO C</v>
      </c>
      <c r="L88" s="59"/>
      <c r="M88" s="61" t="str">
        <f ca="1">IF(OR(SUM(WORLDCUP!$AN$22:$AN$25)=12,WORLDCUP!$AJ$99=144),WORLDCUP!AL22,LEFT(K88,1)&amp;RIGHT(K88,1))</f>
        <v>Brasil</v>
      </c>
      <c r="N88" s="25"/>
      <c r="O88" s="25"/>
      <c r="P88" s="25"/>
      <c r="Q88" s="25"/>
      <c r="R88" s="116"/>
      <c r="S88" s="80" t="s">
        <v>1258</v>
      </c>
      <c r="T88" s="79">
        <f t="shared" ref="T88" ca="1" si="55">($M88=S88)*$D$11</f>
        <v>4</v>
      </c>
      <c r="U88" s="70"/>
      <c r="V88" s="80" t="s">
        <v>1258</v>
      </c>
      <c r="W88" s="79">
        <f t="shared" ref="W88:AF88" ca="1" si="56">($M88=V88)*$D$11</f>
        <v>4</v>
      </c>
      <c r="X88" s="70"/>
      <c r="Y88" s="80" t="s">
        <v>1258</v>
      </c>
      <c r="Z88" s="79">
        <f t="shared" ca="1" si="56"/>
        <v>4</v>
      </c>
      <c r="AA88" s="70"/>
      <c r="AB88" s="80" t="s">
        <v>1258</v>
      </c>
      <c r="AC88" s="79">
        <f t="shared" ca="1" si="56"/>
        <v>4</v>
      </c>
      <c r="AD88" s="70"/>
      <c r="AE88" s="80" t="s">
        <v>1258</v>
      </c>
      <c r="AF88" s="79">
        <f t="shared" ca="1" si="56"/>
        <v>4</v>
      </c>
      <c r="AG88" s="70"/>
      <c r="AH88" s="70"/>
    </row>
    <row r="89" spans="1:34" x14ac:dyDescent="0.2">
      <c r="A89" s="55"/>
      <c r="B89" s="55"/>
      <c r="C89" s="55"/>
      <c r="D89" s="55"/>
      <c r="E89" s="117"/>
      <c r="F89" s="133">
        <f t="shared" ref="F89" si="57">$D$12</f>
        <v>3</v>
      </c>
      <c r="G89" s="453">
        <f ca="1">VLOOKUP(H89,Equipos!$Q$1:$R$25,2,0)</f>
        <v>15</v>
      </c>
      <c r="H89" s="454">
        <f ca="1">$H$58</f>
        <v>46198</v>
      </c>
      <c r="I89" s="56"/>
      <c r="J89" s="854"/>
      <c r="K89" s="62" t="str">
        <f>Idiomas!D159</f>
        <v>2º GRUPO C</v>
      </c>
      <c r="L89" s="59"/>
      <c r="M89" s="61" t="str">
        <f ca="1">IF(OR(SUM(WORLDCUP!$AN$22:$AN$25)=12,WORLDCUP!$AJ$99=144),WORLDCUP!AL23,LEFT(K89,1)&amp;RIGHT(K89,1))</f>
        <v>Marruecos</v>
      </c>
      <c r="N89" s="25"/>
      <c r="O89" s="25"/>
      <c r="P89" s="25"/>
      <c r="Q89" s="25"/>
      <c r="R89" s="116"/>
      <c r="S89" s="80" t="s">
        <v>1321</v>
      </c>
      <c r="T89" s="79">
        <f t="shared" ref="T89" ca="1" si="58">($M89=S89)*$D$12</f>
        <v>3</v>
      </c>
      <c r="U89" s="70"/>
      <c r="V89" s="80" t="s">
        <v>1321</v>
      </c>
      <c r="W89" s="79">
        <f t="shared" ref="W89:AF89" ca="1" si="59">($M89=V89)*$D$12</f>
        <v>3</v>
      </c>
      <c r="X89" s="70"/>
      <c r="Y89" s="80" t="s">
        <v>1321</v>
      </c>
      <c r="Z89" s="79">
        <f t="shared" ca="1" si="59"/>
        <v>3</v>
      </c>
      <c r="AA89" s="70"/>
      <c r="AB89" s="80" t="s">
        <v>1321</v>
      </c>
      <c r="AC89" s="79">
        <f t="shared" ca="1" si="59"/>
        <v>3</v>
      </c>
      <c r="AD89" s="70"/>
      <c r="AE89" s="80" t="s">
        <v>1321</v>
      </c>
      <c r="AF89" s="79">
        <f t="shared" ca="1" si="59"/>
        <v>3</v>
      </c>
      <c r="AG89" s="70"/>
      <c r="AH89" s="70"/>
    </row>
    <row r="90" spans="1:34" x14ac:dyDescent="0.2">
      <c r="A90" s="55"/>
      <c r="B90" s="55"/>
      <c r="C90" s="55"/>
      <c r="D90" s="55"/>
      <c r="E90" s="117"/>
      <c r="F90" s="133">
        <f t="shared" ref="F90" si="60">$D$13</f>
        <v>2</v>
      </c>
      <c r="G90" s="453">
        <f ca="1">VLOOKUP(H90,Equipos!$Q$1:$R$25,2,0)</f>
        <v>15</v>
      </c>
      <c r="H90" s="454">
        <f ca="1">$H$58</f>
        <v>46198</v>
      </c>
      <c r="I90" s="56"/>
      <c r="J90" s="854"/>
      <c r="K90" s="62" t="str">
        <f>Idiomas!D160</f>
        <v>3º GRUPO C</v>
      </c>
      <c r="L90" s="59"/>
      <c r="M90" s="61" t="str">
        <f ca="1">IF(OR(SUM(WORLDCUP!$AN$22:$AN$25)=12,WORLDCUP!$AJ$99=144),WORLDCUP!AL24,LEFT(K90,1)&amp;RIGHT(K90,1))</f>
        <v>Escocia</v>
      </c>
      <c r="N90" s="25"/>
      <c r="O90" s="25"/>
      <c r="P90" s="25"/>
      <c r="Q90" s="25"/>
      <c r="R90" s="116"/>
      <c r="S90" s="80" t="s">
        <v>134</v>
      </c>
      <c r="T90" s="79">
        <f t="shared" ref="T90" ca="1" si="61">($M90=S90)*$D$13</f>
        <v>2</v>
      </c>
      <c r="U90" s="70"/>
      <c r="V90" s="80" t="s">
        <v>134</v>
      </c>
      <c r="W90" s="79">
        <f t="shared" ref="W90:AF90" ca="1" si="62">($M90=V90)*$D$13</f>
        <v>2</v>
      </c>
      <c r="X90" s="70"/>
      <c r="Y90" s="80" t="s">
        <v>134</v>
      </c>
      <c r="Z90" s="79">
        <f t="shared" ca="1" si="62"/>
        <v>2</v>
      </c>
      <c r="AA90" s="70"/>
      <c r="AB90" s="80" t="s">
        <v>134</v>
      </c>
      <c r="AC90" s="79">
        <f t="shared" ca="1" si="62"/>
        <v>2</v>
      </c>
      <c r="AD90" s="70"/>
      <c r="AE90" s="80" t="s">
        <v>134</v>
      </c>
      <c r="AF90" s="79">
        <f t="shared" ca="1" si="62"/>
        <v>2</v>
      </c>
      <c r="AG90" s="70"/>
      <c r="AH90" s="70"/>
    </row>
    <row r="91" spans="1:34" x14ac:dyDescent="0.2">
      <c r="A91" s="55"/>
      <c r="B91" s="55"/>
      <c r="C91" s="55"/>
      <c r="D91" s="55"/>
      <c r="E91" s="117"/>
      <c r="F91" s="133">
        <f t="shared" ref="F91" si="63">$D$14</f>
        <v>1</v>
      </c>
      <c r="G91" s="453">
        <f ca="1">VLOOKUP(H91,Equipos!$Q$1:$R$25,2,0)</f>
        <v>15</v>
      </c>
      <c r="H91" s="454">
        <f ca="1">$H$58</f>
        <v>46198</v>
      </c>
      <c r="I91" s="56"/>
      <c r="J91" s="854"/>
      <c r="K91" s="62" t="str">
        <f>Idiomas!D161</f>
        <v>4º GRUPO C</v>
      </c>
      <c r="L91" s="59"/>
      <c r="M91" s="61" t="str">
        <f ca="1">IF(OR(SUM(WORLDCUP!$AN$22:$AN$25)=12,WORLDCUP!$AJ$99=144),WORLDCUP!AL25,LEFT(K91,1)&amp;RIGHT(K91,1))</f>
        <v>Haití</v>
      </c>
      <c r="N91" s="25"/>
      <c r="O91" s="25"/>
      <c r="P91" s="25"/>
      <c r="Q91" s="25"/>
      <c r="R91" s="116"/>
      <c r="S91" s="80" t="s">
        <v>1728</v>
      </c>
      <c r="T91" s="79">
        <f t="shared" ref="T91" ca="1" si="64">($M91=S91)*$D$14</f>
        <v>1</v>
      </c>
      <c r="U91" s="70"/>
      <c r="V91" s="80" t="s">
        <v>1728</v>
      </c>
      <c r="W91" s="79">
        <f t="shared" ref="W91:AF91" ca="1" si="65">($M91=V91)*$D$14</f>
        <v>1</v>
      </c>
      <c r="X91" s="70"/>
      <c r="Y91" s="80" t="s">
        <v>1728</v>
      </c>
      <c r="Z91" s="79">
        <f t="shared" ca="1" si="65"/>
        <v>1</v>
      </c>
      <c r="AA91" s="70"/>
      <c r="AB91" s="80" t="s">
        <v>1728</v>
      </c>
      <c r="AC91" s="79">
        <f t="shared" ca="1" si="65"/>
        <v>1</v>
      </c>
      <c r="AD91" s="70"/>
      <c r="AE91" s="80" t="s">
        <v>1728</v>
      </c>
      <c r="AF91" s="79">
        <f t="shared" ca="1" si="65"/>
        <v>1</v>
      </c>
      <c r="AG91" s="70"/>
      <c r="AH91" s="70"/>
    </row>
    <row r="92" spans="1:34" x14ac:dyDescent="0.2">
      <c r="A92" s="55"/>
      <c r="B92" s="55"/>
      <c r="C92" s="55"/>
      <c r="D92" s="55"/>
      <c r="E92" s="117"/>
      <c r="F92" s="133">
        <f t="shared" ref="F92" si="66">$D$11</f>
        <v>4</v>
      </c>
      <c r="G92" s="453">
        <f ca="1">VLOOKUP(H92,Equipos!$Q$1:$R$25,2,0)</f>
        <v>16</v>
      </c>
      <c r="H92" s="454">
        <f ca="1">$H$60</f>
        <v>46199</v>
      </c>
      <c r="I92" s="56"/>
      <c r="J92" s="853" t="s">
        <v>73</v>
      </c>
      <c r="K92" s="62" t="str">
        <f>Idiomas!D162</f>
        <v>1º GRUPO D</v>
      </c>
      <c r="L92" s="59"/>
      <c r="M92" s="61" t="str">
        <f ca="1">IF(OR(SUM(WORLDCUP!$AN$30:$AN$33)=12,WORLDCUP!$AJ$99=144),WORLDCUP!AL30,LEFT(K92,1)&amp;RIGHT(K92,1))</f>
        <v>Estados Unidos</v>
      </c>
      <c r="N92" s="25"/>
      <c r="O92" s="25"/>
      <c r="P92" s="25"/>
      <c r="Q92" s="25"/>
      <c r="R92" s="116"/>
      <c r="S92" s="80" t="s">
        <v>1835</v>
      </c>
      <c r="T92" s="79">
        <f t="shared" ref="T92" ca="1" si="67">($M92=S92)*$D$11</f>
        <v>0</v>
      </c>
      <c r="U92" s="70"/>
      <c r="V92" s="80" t="s">
        <v>1835</v>
      </c>
      <c r="W92" s="79">
        <f t="shared" ref="W92:AF92" ca="1" si="68">($M92=V92)*$D$11</f>
        <v>0</v>
      </c>
      <c r="X92" s="70"/>
      <c r="Y92" s="80" t="s">
        <v>1835</v>
      </c>
      <c r="Z92" s="79">
        <f t="shared" ca="1" si="68"/>
        <v>0</v>
      </c>
      <c r="AA92" s="70"/>
      <c r="AB92" s="80" t="s">
        <v>497</v>
      </c>
      <c r="AC92" s="79">
        <f t="shared" ca="1" si="68"/>
        <v>4</v>
      </c>
      <c r="AD92" s="70"/>
      <c r="AE92" s="80" t="s">
        <v>1835</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853"/>
      <c r="K93" s="62" t="str">
        <f>Idiomas!D163</f>
        <v>2º GRUPO D</v>
      </c>
      <c r="L93" s="59"/>
      <c r="M93" s="61" t="str">
        <f ca="1">IF(OR(SUM(WORLDCUP!$AN$30:$AN$33)=12,WORLDCUP!$AJ$99=144),WORLDCUP!AL31,LEFT(K93,1)&amp;RIGHT(K93,1))</f>
        <v>Australia</v>
      </c>
      <c r="N93" s="25"/>
      <c r="O93" s="25"/>
      <c r="P93" s="25"/>
      <c r="Q93" s="25"/>
      <c r="R93" s="116"/>
      <c r="S93" s="80" t="s">
        <v>497</v>
      </c>
      <c r="T93" s="79">
        <f t="shared" ref="T93" ca="1" si="70">($M93=S93)*$D$12</f>
        <v>0</v>
      </c>
      <c r="U93" s="70"/>
      <c r="V93" s="80" t="s">
        <v>1319</v>
      </c>
      <c r="W93" s="79">
        <f t="shared" ref="W93:AF93" ca="1" si="71">($M93=V93)*$D$12</f>
        <v>0</v>
      </c>
      <c r="X93" s="70"/>
      <c r="Y93" s="80" t="s">
        <v>1319</v>
      </c>
      <c r="Z93" s="79">
        <f t="shared" ca="1" si="71"/>
        <v>0</v>
      </c>
      <c r="AA93" s="70"/>
      <c r="AB93" s="80" t="s">
        <v>1835</v>
      </c>
      <c r="AC93" s="79">
        <f t="shared" ca="1" si="71"/>
        <v>0</v>
      </c>
      <c r="AD93" s="70"/>
      <c r="AE93" s="80" t="s">
        <v>497</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853"/>
      <c r="K94" s="62" t="str">
        <f>Idiomas!D164</f>
        <v>3º GRUPO D</v>
      </c>
      <c r="L94" s="59"/>
      <c r="M94" s="61" t="str">
        <f ca="1">IF(OR(SUM(WORLDCUP!$AN$30:$AN$33)=12,WORLDCUP!$AJ$99=144),WORLDCUP!AL32,LEFT(K94,1)&amp;RIGHT(K94,1))</f>
        <v>Paraguay</v>
      </c>
      <c r="N94" s="25"/>
      <c r="O94" s="25"/>
      <c r="P94" s="25"/>
      <c r="Q94" s="25"/>
      <c r="R94" s="116"/>
      <c r="S94" s="80" t="s">
        <v>1319</v>
      </c>
      <c r="T94" s="79">
        <f t="shared" ref="T94" ca="1" si="73">($M94=S94)*$D$13</f>
        <v>2</v>
      </c>
      <c r="U94" s="70"/>
      <c r="V94" s="80" t="s">
        <v>497</v>
      </c>
      <c r="W94" s="79">
        <f t="shared" ref="W94:AF94" ca="1" si="74">($M94=V94)*$D$13</f>
        <v>0</v>
      </c>
      <c r="X94" s="70"/>
      <c r="Y94" s="80" t="s">
        <v>497</v>
      </c>
      <c r="Z94" s="79">
        <f t="shared" ca="1" si="74"/>
        <v>0</v>
      </c>
      <c r="AA94" s="70"/>
      <c r="AB94" s="80" t="s">
        <v>1319</v>
      </c>
      <c r="AC94" s="79">
        <f t="shared" ca="1" si="74"/>
        <v>2</v>
      </c>
      <c r="AD94" s="70"/>
      <c r="AE94" s="80" t="s">
        <v>1319</v>
      </c>
      <c r="AF94" s="79">
        <f t="shared" ca="1" si="74"/>
        <v>2</v>
      </c>
      <c r="AG94" s="70"/>
      <c r="AH94" s="70"/>
    </row>
    <row r="95" spans="1:34" x14ac:dyDescent="0.2">
      <c r="A95" s="55"/>
      <c r="B95" s="55"/>
      <c r="C95" s="55"/>
      <c r="D95" s="55"/>
      <c r="E95" s="117"/>
      <c r="F95" s="133">
        <f t="shared" ref="F95" si="75">$D$14</f>
        <v>1</v>
      </c>
      <c r="G95" s="453">
        <f ca="1">VLOOKUP(H95,Equipos!$Q$1:$R$25,2,0)</f>
        <v>16</v>
      </c>
      <c r="H95" s="454">
        <f ca="1">$H$60</f>
        <v>46199</v>
      </c>
      <c r="I95" s="56"/>
      <c r="J95" s="853"/>
      <c r="K95" s="62" t="str">
        <f>Idiomas!D165</f>
        <v>4º GRUPO D</v>
      </c>
      <c r="L95" s="59"/>
      <c r="M95" s="61" t="str">
        <f ca="1">IF(OR(SUM(WORLDCUP!$AN$30:$AN$33)=12,WORLDCUP!$AJ$99=144),WORLDCUP!AL33,LEFT(K95,1)&amp;RIGHT(K95,1))</f>
        <v>Turquía</v>
      </c>
      <c r="N95" s="25"/>
      <c r="O95" s="25"/>
      <c r="P95" s="25"/>
      <c r="Q95" s="25"/>
      <c r="R95" s="116"/>
      <c r="S95" s="80" t="s">
        <v>1257</v>
      </c>
      <c r="T95" s="79">
        <f t="shared" ref="T95" ca="1" si="76">($M95=S95)*$D$14</f>
        <v>0</v>
      </c>
      <c r="U95" s="70"/>
      <c r="V95" s="80" t="s">
        <v>1257</v>
      </c>
      <c r="W95" s="79">
        <f t="shared" ref="W95:AF95" ca="1" si="77">($M95=V95)*$D$14</f>
        <v>0</v>
      </c>
      <c r="X95" s="70"/>
      <c r="Y95" s="80" t="s">
        <v>1257</v>
      </c>
      <c r="Z95" s="79">
        <f t="shared" ca="1" si="77"/>
        <v>0</v>
      </c>
      <c r="AA95" s="70"/>
      <c r="AB95" s="80" t="s">
        <v>1257</v>
      </c>
      <c r="AC95" s="79">
        <f t="shared" ca="1" si="77"/>
        <v>0</v>
      </c>
      <c r="AD95" s="70"/>
      <c r="AE95" s="80" t="s">
        <v>1257</v>
      </c>
      <c r="AF95" s="79">
        <f t="shared" ca="1" si="77"/>
        <v>0</v>
      </c>
      <c r="AG95" s="70"/>
      <c r="AH95" s="70"/>
    </row>
    <row r="96" spans="1:34" x14ac:dyDescent="0.2">
      <c r="A96" s="55"/>
      <c r="B96" s="55"/>
      <c r="C96" s="55"/>
      <c r="D96" s="55"/>
      <c r="E96" s="117"/>
      <c r="F96" s="133">
        <f t="shared" ref="F96" si="78">$D$11</f>
        <v>4</v>
      </c>
      <c r="G96" s="453">
        <f ca="1">VLOOKUP(H96,Equipos!$Q$1:$R$25,2,0)</f>
        <v>15</v>
      </c>
      <c r="H96" s="454">
        <f ca="1">$H$62</f>
        <v>46198</v>
      </c>
      <c r="I96" s="56"/>
      <c r="J96" s="854" t="s">
        <v>3</v>
      </c>
      <c r="K96" s="62" t="str">
        <f>Idiomas!D166</f>
        <v>1º GRUPO E</v>
      </c>
      <c r="L96" s="59"/>
      <c r="M96" s="61" t="str">
        <f ca="1">IF(OR(SUM(WORLDCUP!$AN$38:$AN$41)=12,WORLDCUP!$AJ$99=144),WORLDCUP!AL38,LEFT(K96,1)&amp;RIGHT(K96,1))</f>
        <v>Alemania</v>
      </c>
      <c r="N96" s="25"/>
      <c r="O96" s="25"/>
      <c r="P96" s="25"/>
      <c r="Q96" s="25"/>
      <c r="R96" s="116"/>
      <c r="S96" s="80" t="s">
        <v>77</v>
      </c>
      <c r="T96" s="79">
        <f t="shared" ref="T96" ca="1" si="79">($M96=S96)*$D$11</f>
        <v>4</v>
      </c>
      <c r="U96" s="70"/>
      <c r="V96" s="80" t="s">
        <v>1261</v>
      </c>
      <c r="W96" s="79">
        <f t="shared" ref="W96:AF96" ca="1" si="80">($M96=V96)*$D$11</f>
        <v>0</v>
      </c>
      <c r="X96" s="70"/>
      <c r="Y96" s="80" t="s">
        <v>77</v>
      </c>
      <c r="Z96" s="79">
        <f t="shared" ca="1" si="80"/>
        <v>4</v>
      </c>
      <c r="AA96" s="70"/>
      <c r="AB96" s="80" t="s">
        <v>77</v>
      </c>
      <c r="AC96" s="79">
        <f t="shared" ca="1" si="80"/>
        <v>4</v>
      </c>
      <c r="AD96" s="70"/>
      <c r="AE96" s="80" t="s">
        <v>77</v>
      </c>
      <c r="AF96" s="79">
        <f t="shared" ca="1" si="80"/>
        <v>4</v>
      </c>
      <c r="AG96" s="70"/>
      <c r="AH96" s="70"/>
    </row>
    <row r="97" spans="1:34" x14ac:dyDescent="0.2">
      <c r="A97" s="55"/>
      <c r="B97" s="55"/>
      <c r="C97" s="55"/>
      <c r="D97" s="55"/>
      <c r="E97" s="117"/>
      <c r="F97" s="133">
        <f t="shared" ref="F97" si="81">$D$12</f>
        <v>3</v>
      </c>
      <c r="G97" s="453">
        <f ca="1">VLOOKUP(H97,Equipos!$Q$1:$R$25,2,0)</f>
        <v>15</v>
      </c>
      <c r="H97" s="454">
        <f ca="1">$H$62</f>
        <v>46198</v>
      </c>
      <c r="I97" s="56"/>
      <c r="J97" s="854"/>
      <c r="K97" s="62" t="str">
        <f>Idiomas!D167</f>
        <v>2º GRUPO E</v>
      </c>
      <c r="L97" s="59"/>
      <c r="M97" s="61" t="str">
        <f ca="1">IF(OR(SUM(WORLDCUP!$AN$38:$AN$41)=12,WORLDCUP!$AJ$99=144),WORLDCUP!AL39,LEFT(K97,1)&amp;RIGHT(K97,1))</f>
        <v>Costa de Marfil</v>
      </c>
      <c r="N97" s="25"/>
      <c r="O97" s="25"/>
      <c r="P97" s="25"/>
      <c r="Q97" s="25"/>
      <c r="R97" s="116"/>
      <c r="S97" s="80" t="s">
        <v>1261</v>
      </c>
      <c r="T97" s="79">
        <f t="shared" ref="T97" ca="1" si="82">($M97=S97)*$D$12</f>
        <v>0</v>
      </c>
      <c r="U97" s="70"/>
      <c r="V97" s="80" t="s">
        <v>77</v>
      </c>
      <c r="W97" s="79">
        <f t="shared" ref="W97:AF97" ca="1" si="83">($M97=V97)*$D$12</f>
        <v>0</v>
      </c>
      <c r="X97" s="70"/>
      <c r="Y97" s="80" t="s">
        <v>1633</v>
      </c>
      <c r="Z97" s="79">
        <f t="shared" ca="1" si="83"/>
        <v>3</v>
      </c>
      <c r="AA97" s="70"/>
      <c r="AB97" s="80" t="s">
        <v>1633</v>
      </c>
      <c r="AC97" s="79">
        <f t="shared" ca="1" si="83"/>
        <v>3</v>
      </c>
      <c r="AD97" s="70"/>
      <c r="AE97" s="80" t="s">
        <v>1261</v>
      </c>
      <c r="AF97" s="79">
        <f t="shared" ca="1" si="83"/>
        <v>0</v>
      </c>
      <c r="AG97" s="70"/>
      <c r="AH97" s="70"/>
    </row>
    <row r="98" spans="1:34" x14ac:dyDescent="0.2">
      <c r="A98" s="55"/>
      <c r="B98" s="55"/>
      <c r="C98" s="55"/>
      <c r="D98" s="55"/>
      <c r="E98" s="117"/>
      <c r="F98" s="133">
        <f t="shared" ref="F98" si="84">$D$13</f>
        <v>2</v>
      </c>
      <c r="G98" s="453">
        <f ca="1">VLOOKUP(H98,Equipos!$Q$1:$R$25,2,0)</f>
        <v>15</v>
      </c>
      <c r="H98" s="454">
        <f ca="1">$H$62</f>
        <v>46198</v>
      </c>
      <c r="I98" s="56"/>
      <c r="J98" s="854"/>
      <c r="K98" s="62" t="str">
        <f>Idiomas!D168</f>
        <v>3º GRUPO E</v>
      </c>
      <c r="L98" s="59"/>
      <c r="M98" s="61" t="str">
        <f ca="1">IF(OR(SUM(WORLDCUP!$AN$38:$AN$41)=12,WORLDCUP!$AJ$99=144),WORLDCUP!AL40,LEFT(K98,1)&amp;RIGHT(K98,1))</f>
        <v>Ecuador</v>
      </c>
      <c r="N98" s="25"/>
      <c r="O98" s="25"/>
      <c r="P98" s="25"/>
      <c r="Q98" s="25"/>
      <c r="R98" s="116"/>
      <c r="S98" s="80" t="s">
        <v>1633</v>
      </c>
      <c r="T98" s="79">
        <f t="shared" ref="T98" ca="1" si="85">($M98=S98)*$D$13</f>
        <v>0</v>
      </c>
      <c r="U98" s="70"/>
      <c r="V98" s="80" t="s">
        <v>1633</v>
      </c>
      <c r="W98" s="79">
        <f t="shared" ref="W98:AF98" ca="1" si="86">($M98=V98)*$D$13</f>
        <v>0</v>
      </c>
      <c r="X98" s="70"/>
      <c r="Y98" s="80" t="s">
        <v>1261</v>
      </c>
      <c r="Z98" s="79">
        <f t="shared" ca="1" si="86"/>
        <v>2</v>
      </c>
      <c r="AA98" s="70"/>
      <c r="AB98" s="80" t="s">
        <v>1261</v>
      </c>
      <c r="AC98" s="79">
        <f t="shared" ca="1" si="86"/>
        <v>2</v>
      </c>
      <c r="AD98" s="70"/>
      <c r="AE98" s="80" t="s">
        <v>1633</v>
      </c>
      <c r="AF98" s="79">
        <f t="shared" ca="1" si="86"/>
        <v>0</v>
      </c>
      <c r="AG98" s="70"/>
      <c r="AH98" s="70"/>
    </row>
    <row r="99" spans="1:34" x14ac:dyDescent="0.2">
      <c r="A99" s="55"/>
      <c r="B99" s="55"/>
      <c r="C99" s="55"/>
      <c r="D99" s="55"/>
      <c r="E99" s="117"/>
      <c r="F99" s="133">
        <f t="shared" ref="F99" si="87">$D$14</f>
        <v>1</v>
      </c>
      <c r="G99" s="453">
        <f ca="1">VLOOKUP(H99,Equipos!$Q$1:$R$25,2,0)</f>
        <v>15</v>
      </c>
      <c r="H99" s="454">
        <f ca="1">$H$62</f>
        <v>46198</v>
      </c>
      <c r="I99" s="56"/>
      <c r="J99" s="854"/>
      <c r="K99" s="62" t="str">
        <f>Idiomas!D169</f>
        <v>4º GRUPO E</v>
      </c>
      <c r="L99" s="59"/>
      <c r="M99" s="61" t="str">
        <f ca="1">IF(OR(SUM(WORLDCUP!$AN$38:$AN$41)=12,WORLDCUP!$AJ$99=144),WORLDCUP!AL41,LEFT(K99,1)&amp;RIGHT(K99,1))</f>
        <v>Curazao</v>
      </c>
      <c r="N99" s="25"/>
      <c r="O99" s="25"/>
      <c r="P99" s="25"/>
      <c r="Q99" s="25"/>
      <c r="R99" s="116"/>
      <c r="S99" s="80" t="s">
        <v>1726</v>
      </c>
      <c r="T99" s="79">
        <f t="shared" ref="T99" ca="1" si="88">($M99=S99)*$D$14</f>
        <v>1</v>
      </c>
      <c r="U99" s="70"/>
      <c r="V99" s="80" t="s">
        <v>1726</v>
      </c>
      <c r="W99" s="79">
        <f t="shared" ref="W99:AF99" ca="1" si="89">($M99=V99)*$D$14</f>
        <v>1</v>
      </c>
      <c r="X99" s="70"/>
      <c r="Y99" s="80" t="s">
        <v>1726</v>
      </c>
      <c r="Z99" s="79">
        <f t="shared" ca="1" si="89"/>
        <v>1</v>
      </c>
      <c r="AA99" s="70"/>
      <c r="AB99" s="80" t="s">
        <v>1726</v>
      </c>
      <c r="AC99" s="79">
        <f t="shared" ca="1" si="89"/>
        <v>1</v>
      </c>
      <c r="AD99" s="70"/>
      <c r="AE99" s="80" t="s">
        <v>1726</v>
      </c>
      <c r="AF99" s="79">
        <f t="shared" ca="1" si="89"/>
        <v>1</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853" t="s">
        <v>4</v>
      </c>
      <c r="K100" s="62" t="str">
        <f>Idiomas!D170</f>
        <v>1º GRUPO F</v>
      </c>
      <c r="L100" s="59"/>
      <c r="M100" s="61" t="str">
        <f ca="1">IF(OR(SUM(WORLDCUP!$AN$46:$AN$49)=12,WORLDCUP!$AJ$99=144),WORLDCUP!AL46,LEFT(K100,1)&amp;RIGHT(K100,1))</f>
        <v>Países Bajos</v>
      </c>
      <c r="N100" s="25"/>
      <c r="O100" s="25"/>
      <c r="P100" s="25"/>
      <c r="Q100" s="25"/>
      <c r="R100" s="116"/>
      <c r="S100" s="80" t="s">
        <v>111</v>
      </c>
      <c r="T100" s="79">
        <f t="shared" ref="T100" ca="1" si="91">($M100=S100)*$D$11</f>
        <v>4</v>
      </c>
      <c r="U100" s="70"/>
      <c r="V100" s="80" t="s">
        <v>111</v>
      </c>
      <c r="W100" s="79">
        <f t="shared" ref="W100:AF100" ca="1" si="92">($M100=V100)*$D$11</f>
        <v>4</v>
      </c>
      <c r="X100" s="70"/>
      <c r="Y100" s="80" t="s">
        <v>111</v>
      </c>
      <c r="Z100" s="79">
        <f t="shared" ca="1" si="92"/>
        <v>4</v>
      </c>
      <c r="AA100" s="70"/>
      <c r="AB100" s="80" t="s">
        <v>111</v>
      </c>
      <c r="AC100" s="79">
        <f t="shared" ca="1" si="92"/>
        <v>4</v>
      </c>
      <c r="AD100" s="70"/>
      <c r="AE100" s="80" t="s">
        <v>111</v>
      </c>
      <c r="AF100" s="79">
        <f t="shared" ca="1" si="92"/>
        <v>4</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853"/>
      <c r="K101" s="62" t="str">
        <f>Idiomas!D171</f>
        <v>2º GRUPO F</v>
      </c>
      <c r="L101" s="59"/>
      <c r="M101" s="61" t="str">
        <f ca="1">IF(OR(SUM(WORLDCUP!$AN$46:$AN$49)=12,WORLDCUP!$AJ$99=144),WORLDCUP!AL47,LEFT(K101,1)&amp;RIGHT(K101,1))</f>
        <v>Japón</v>
      </c>
      <c r="N101" s="25"/>
      <c r="O101" s="25"/>
      <c r="P101" s="25"/>
      <c r="Q101" s="25"/>
      <c r="R101" s="116"/>
      <c r="S101" s="80" t="s">
        <v>1263</v>
      </c>
      <c r="T101" s="79">
        <f t="shared" ref="T101" ca="1" si="94">($M101=S101)*$D$12</f>
        <v>3</v>
      </c>
      <c r="U101" s="70"/>
      <c r="V101" s="80" t="s">
        <v>1263</v>
      </c>
      <c r="W101" s="79">
        <f t="shared" ref="W101:AF101" ca="1" si="95">($M101=V101)*$D$12</f>
        <v>3</v>
      </c>
      <c r="X101" s="70"/>
      <c r="Y101" s="80" t="s">
        <v>1263</v>
      </c>
      <c r="Z101" s="79">
        <f t="shared" ca="1" si="95"/>
        <v>3</v>
      </c>
      <c r="AA101" s="70"/>
      <c r="AB101" s="80" t="s">
        <v>1263</v>
      </c>
      <c r="AC101" s="79">
        <f t="shared" ca="1" si="95"/>
        <v>3</v>
      </c>
      <c r="AD101" s="70"/>
      <c r="AE101" s="80" t="s">
        <v>1833</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853"/>
      <c r="K102" s="62" t="str">
        <f>Idiomas!D172</f>
        <v>3º GRUPO F</v>
      </c>
      <c r="L102" s="59"/>
      <c r="M102" s="61" t="str">
        <f ca="1">IF(OR(SUM(WORLDCUP!$AN$46:$AN$49)=12,WORLDCUP!$AJ$99=144),WORLDCUP!AL48,LEFT(K102,1)&amp;RIGHT(K102,1))</f>
        <v>Suecia</v>
      </c>
      <c r="N102" s="25"/>
      <c r="O102" s="25"/>
      <c r="P102" s="25"/>
      <c r="Q102" s="25"/>
      <c r="R102" s="116"/>
      <c r="S102" s="80" t="s">
        <v>1322</v>
      </c>
      <c r="T102" s="79">
        <f t="shared" ref="T102" ca="1" si="97">($M102=S102)*$D$13</f>
        <v>0</v>
      </c>
      <c r="U102" s="70"/>
      <c r="V102" s="80" t="s">
        <v>1833</v>
      </c>
      <c r="W102" s="79">
        <f t="shared" ref="W102:AF102" ca="1" si="98">($M102=V102)*$D$13</f>
        <v>2</v>
      </c>
      <c r="X102" s="70"/>
      <c r="Y102" s="80" t="s">
        <v>1322</v>
      </c>
      <c r="Z102" s="79">
        <f t="shared" ca="1" si="98"/>
        <v>0</v>
      </c>
      <c r="AA102" s="70"/>
      <c r="AB102" s="80" t="s">
        <v>1833</v>
      </c>
      <c r="AC102" s="79">
        <f t="shared" ca="1" si="98"/>
        <v>2</v>
      </c>
      <c r="AD102" s="70"/>
      <c r="AE102" s="80" t="s">
        <v>1263</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853"/>
      <c r="K103" s="62" t="str">
        <f>Idiomas!D173</f>
        <v>4º GRUPO F</v>
      </c>
      <c r="L103" s="59"/>
      <c r="M103" s="61" t="str">
        <f ca="1">IF(OR(SUM(WORLDCUP!$AN$46:$AN$49)=12,WORLDCUP!$AJ$99=144),WORLDCUP!AL49,LEFT(K103,1)&amp;RIGHT(K103,1))</f>
        <v>Túnez</v>
      </c>
      <c r="N103" s="25"/>
      <c r="O103" s="25"/>
      <c r="P103" s="25"/>
      <c r="Q103" s="25"/>
      <c r="R103" s="116"/>
      <c r="S103" s="80" t="s">
        <v>1833</v>
      </c>
      <c r="T103" s="79">
        <f t="shared" ref="T103" ca="1" si="100">($M103=S103)*$D$14</f>
        <v>0</v>
      </c>
      <c r="U103" s="70"/>
      <c r="V103" s="80" t="s">
        <v>1322</v>
      </c>
      <c r="W103" s="79">
        <f t="shared" ref="W103:AF103" ca="1" si="101">($M103=V103)*$D$14</f>
        <v>1</v>
      </c>
      <c r="X103" s="70"/>
      <c r="Y103" s="80" t="s">
        <v>1833</v>
      </c>
      <c r="Z103" s="79">
        <f t="shared" ca="1" si="101"/>
        <v>0</v>
      </c>
      <c r="AA103" s="70"/>
      <c r="AB103" s="80" t="s">
        <v>1322</v>
      </c>
      <c r="AC103" s="79">
        <f t="shared" ca="1" si="101"/>
        <v>1</v>
      </c>
      <c r="AD103" s="70"/>
      <c r="AE103" s="80" t="s">
        <v>1322</v>
      </c>
      <c r="AF103" s="79">
        <f t="shared" ca="1" si="101"/>
        <v>1</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854" t="s">
        <v>6</v>
      </c>
      <c r="K104" s="62" t="str">
        <f>Idiomas!D174</f>
        <v>1º GRUPO G</v>
      </c>
      <c r="L104" s="59"/>
      <c r="M104" s="61" t="str">
        <f ca="1">IF(OR(SUM(WORLDCUP!$AN$54:$AN$57)=12,WORLDCUP!$AJ$99=144),WORLDCUP!AL54,LEFT(K104,1)&amp;RIGHT(K104,1))</f>
        <v>Bélgica</v>
      </c>
      <c r="N104" s="25"/>
      <c r="O104" s="25"/>
      <c r="P104" s="25"/>
      <c r="Q104" s="25"/>
      <c r="R104" s="116"/>
      <c r="S104" s="80" t="s">
        <v>110</v>
      </c>
      <c r="T104" s="79">
        <f t="shared" ref="T104" ca="1" si="103">($M104=S104)*$D$11</f>
        <v>4</v>
      </c>
      <c r="U104" s="70"/>
      <c r="V104" s="80" t="s">
        <v>110</v>
      </c>
      <c r="W104" s="79">
        <f t="shared" ref="W104:AF104" ca="1" si="104">($M104=V104)*$D$11</f>
        <v>4</v>
      </c>
      <c r="X104" s="70"/>
      <c r="Y104" s="80" t="s">
        <v>110</v>
      </c>
      <c r="Z104" s="79">
        <f t="shared" ca="1" si="104"/>
        <v>4</v>
      </c>
      <c r="AA104" s="70"/>
      <c r="AB104" s="80" t="s">
        <v>110</v>
      </c>
      <c r="AC104" s="79">
        <f t="shared" ca="1" si="104"/>
        <v>4</v>
      </c>
      <c r="AD104" s="70"/>
      <c r="AE104" s="80" t="s">
        <v>110</v>
      </c>
      <c r="AF104" s="79">
        <f t="shared" ca="1" si="104"/>
        <v>4</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854"/>
      <c r="K105" s="62" t="str">
        <f>Idiomas!D175</f>
        <v>2º GRUPO G</v>
      </c>
      <c r="L105" s="59"/>
      <c r="M105" s="61" t="str">
        <f ca="1">IF(OR(SUM(WORLDCUP!$AN$54:$AN$57)=12,WORLDCUP!$AJ$99=144),WORLDCUP!AL55,LEFT(K105,1)&amp;RIGHT(K105,1))</f>
        <v>Egipto</v>
      </c>
      <c r="N105" s="25"/>
      <c r="O105" s="25"/>
      <c r="P105" s="25"/>
      <c r="Q105" s="25"/>
      <c r="R105" s="116"/>
      <c r="S105" s="80" t="s">
        <v>1550</v>
      </c>
      <c r="T105" s="79">
        <f t="shared" ref="T105" ca="1" si="106">($M105=S105)*$D$12</f>
        <v>3</v>
      </c>
      <c r="U105" s="70"/>
      <c r="V105" s="80" t="s">
        <v>1550</v>
      </c>
      <c r="W105" s="79">
        <f t="shared" ref="W105:AF105" ca="1" si="107">($M105=V105)*$D$12</f>
        <v>3</v>
      </c>
      <c r="X105" s="70"/>
      <c r="Y105" s="80" t="s">
        <v>1550</v>
      </c>
      <c r="Z105" s="79">
        <f t="shared" ca="1" si="107"/>
        <v>3</v>
      </c>
      <c r="AA105" s="70"/>
      <c r="AB105" s="80" t="s">
        <v>1550</v>
      </c>
      <c r="AC105" s="79">
        <f t="shared" ca="1" si="107"/>
        <v>3</v>
      </c>
      <c r="AD105" s="70"/>
      <c r="AE105" s="80" t="s">
        <v>1262</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854"/>
      <c r="K106" s="62" t="str">
        <f>Idiomas!D176</f>
        <v>3º GRUPO G</v>
      </c>
      <c r="L106" s="59"/>
      <c r="M106" s="61" t="str">
        <f ca="1">IF(OR(SUM(WORLDCUP!$AN$54:$AN$57)=12,WORLDCUP!$AJ$99=144),WORLDCUP!AL56,LEFT(K106,1)&amp;RIGHT(K106,1))</f>
        <v>Irán</v>
      </c>
      <c r="N106" s="25"/>
      <c r="O106" s="25"/>
      <c r="P106" s="25"/>
      <c r="Q106" s="25"/>
      <c r="R106" s="116"/>
      <c r="S106" s="80" t="s">
        <v>1262</v>
      </c>
      <c r="T106" s="79">
        <f t="shared" ref="T106" ca="1" si="109">($M106=S106)*$D$13</f>
        <v>2</v>
      </c>
      <c r="U106" s="70"/>
      <c r="V106" s="80" t="s">
        <v>1262</v>
      </c>
      <c r="W106" s="79">
        <f t="shared" ref="W106:AF106" ca="1" si="110">($M106=V106)*$D$13</f>
        <v>2</v>
      </c>
      <c r="X106" s="70"/>
      <c r="Y106" s="80" t="s">
        <v>1262</v>
      </c>
      <c r="Z106" s="79">
        <f t="shared" ca="1" si="110"/>
        <v>2</v>
      </c>
      <c r="AA106" s="70"/>
      <c r="AB106" s="80" t="s">
        <v>1262</v>
      </c>
      <c r="AC106" s="79">
        <f t="shared" ca="1" si="110"/>
        <v>2</v>
      </c>
      <c r="AD106" s="70"/>
      <c r="AE106" s="80" t="s">
        <v>1550</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854"/>
      <c r="K107" s="62" t="str">
        <f>Idiomas!D177</f>
        <v>4º GRUPO G</v>
      </c>
      <c r="L107" s="59"/>
      <c r="M107" s="61" t="str">
        <f ca="1">IF(OR(SUM(WORLDCUP!$AN$54:$AN$57)=12,WORLDCUP!$AJ$99=144),WORLDCUP!AL57,LEFT(K107,1)&amp;RIGHT(K107,1))</f>
        <v>Nueva Zelanda</v>
      </c>
      <c r="N107" s="25"/>
      <c r="O107" s="25"/>
      <c r="P107" s="25"/>
      <c r="Q107" s="25"/>
      <c r="R107" s="116"/>
      <c r="S107" s="80" t="s">
        <v>1266</v>
      </c>
      <c r="T107" s="79">
        <f t="shared" ref="T107" ca="1" si="112">($M107=S107)*$D$14</f>
        <v>1</v>
      </c>
      <c r="U107" s="70"/>
      <c r="V107" s="80" t="s">
        <v>1266</v>
      </c>
      <c r="W107" s="79">
        <f t="shared" ref="W107:AF107" ca="1" si="113">($M107=V107)*$D$14</f>
        <v>1</v>
      </c>
      <c r="X107" s="70"/>
      <c r="Y107" s="80" t="s">
        <v>1266</v>
      </c>
      <c r="Z107" s="79">
        <f t="shared" ca="1" si="113"/>
        <v>1</v>
      </c>
      <c r="AA107" s="70"/>
      <c r="AB107" s="80" t="s">
        <v>1266</v>
      </c>
      <c r="AC107" s="79">
        <f t="shared" ca="1" si="113"/>
        <v>1</v>
      </c>
      <c r="AD107" s="70"/>
      <c r="AE107" s="80" t="s">
        <v>1266</v>
      </c>
      <c r="AF107" s="79">
        <f t="shared" ca="1" si="113"/>
        <v>1</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853" t="s">
        <v>437</v>
      </c>
      <c r="K108" s="62" t="str">
        <f>Idiomas!D178</f>
        <v>1º GRUPO H</v>
      </c>
      <c r="L108" s="59"/>
      <c r="M108" s="61" t="str">
        <f ca="1">IF(OR(SUM(WORLDCUP!$AN$62:$AN$65)=12,WORLDCUP!$AJ$99=144),WORLDCUP!AL62,LEFT(K108,1)&amp;RIGHT(K108,1))</f>
        <v>España</v>
      </c>
      <c r="N108" s="25"/>
      <c r="O108" s="25"/>
      <c r="P108" s="25"/>
      <c r="Q108" s="25"/>
      <c r="R108" s="116"/>
      <c r="S108" s="80" t="s">
        <v>38</v>
      </c>
      <c r="T108" s="79">
        <f t="shared" ref="T108" ca="1" si="115">($M108=S108)*$D$11</f>
        <v>4</v>
      </c>
      <c r="U108" s="70"/>
      <c r="V108" s="80" t="s">
        <v>38</v>
      </c>
      <c r="W108" s="79">
        <f t="shared" ref="W108:AF108" ca="1" si="116">($M108=V108)*$D$11</f>
        <v>4</v>
      </c>
      <c r="X108" s="70"/>
      <c r="Y108" s="80" t="s">
        <v>1318</v>
      </c>
      <c r="Z108" s="79">
        <f t="shared" ca="1" si="116"/>
        <v>0</v>
      </c>
      <c r="AA108" s="70"/>
      <c r="AB108" s="80" t="s">
        <v>38</v>
      </c>
      <c r="AC108" s="79">
        <f t="shared" ca="1" si="116"/>
        <v>4</v>
      </c>
      <c r="AD108" s="70"/>
      <c r="AE108" s="80" t="s">
        <v>38</v>
      </c>
      <c r="AF108" s="79">
        <f t="shared" ca="1" si="116"/>
        <v>4</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853"/>
      <c r="K109" s="62" t="str">
        <f>Idiomas!D179</f>
        <v>2º GRUPO H</v>
      </c>
      <c r="L109" s="59"/>
      <c r="M109" s="61" t="str">
        <f ca="1">IF(OR(SUM(WORLDCUP!$AN$62:$AN$65)=12,WORLDCUP!$AJ$99=144),WORLDCUP!AL63,LEFT(K109,1)&amp;RIGHT(K109,1))</f>
        <v>Cabo Verde</v>
      </c>
      <c r="N109" s="25"/>
      <c r="O109" s="25"/>
      <c r="P109" s="25"/>
      <c r="Q109" s="25"/>
      <c r="R109" s="116"/>
      <c r="S109" s="80" t="s">
        <v>1318</v>
      </c>
      <c r="T109" s="79">
        <f t="shared" ref="T109" ca="1" si="118">($M109=S109)*$D$12</f>
        <v>0</v>
      </c>
      <c r="U109" s="70"/>
      <c r="V109" s="80" t="s">
        <v>1318</v>
      </c>
      <c r="W109" s="79">
        <f t="shared" ref="W109:AF109" ca="1" si="119">($M109=V109)*$D$12</f>
        <v>0</v>
      </c>
      <c r="X109" s="70"/>
      <c r="Y109" s="80" t="s">
        <v>38</v>
      </c>
      <c r="Z109" s="79">
        <f t="shared" ca="1" si="119"/>
        <v>0</v>
      </c>
      <c r="AA109" s="70"/>
      <c r="AB109" s="80" t="s">
        <v>1318</v>
      </c>
      <c r="AC109" s="79">
        <f t="shared" ca="1" si="119"/>
        <v>0</v>
      </c>
      <c r="AD109" s="70"/>
      <c r="AE109" s="80" t="s">
        <v>1318</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853"/>
      <c r="K110" s="62" t="str">
        <f>Idiomas!D180</f>
        <v>3º GRUPO H</v>
      </c>
      <c r="L110" s="59"/>
      <c r="M110" s="61" t="str">
        <f ca="1">IF(OR(SUM(WORLDCUP!$AN$62:$AN$65)=12,WORLDCUP!$AJ$99=144),WORLDCUP!AL64,LEFT(K110,1)&amp;RIGHT(K110,1))</f>
        <v>Uruguay</v>
      </c>
      <c r="N110" s="25"/>
      <c r="O110" s="25"/>
      <c r="P110" s="25"/>
      <c r="Q110" s="25"/>
      <c r="R110" s="116"/>
      <c r="S110" s="80" t="s">
        <v>1632</v>
      </c>
      <c r="T110" s="79">
        <f t="shared" ref="T110" ca="1" si="121">($M110=S110)*$D$13</f>
        <v>0</v>
      </c>
      <c r="U110" s="70"/>
      <c r="V110" s="80" t="s">
        <v>1632</v>
      </c>
      <c r="W110" s="79">
        <f t="shared" ref="W110:AF110" ca="1" si="122">($M110=V110)*$D$13</f>
        <v>0</v>
      </c>
      <c r="X110" s="70"/>
      <c r="Y110" s="80" t="s">
        <v>1632</v>
      </c>
      <c r="Z110" s="79">
        <f t="shared" ca="1" si="122"/>
        <v>0</v>
      </c>
      <c r="AA110" s="70"/>
      <c r="AB110" s="80" t="s">
        <v>1632</v>
      </c>
      <c r="AC110" s="79">
        <f t="shared" ca="1" si="122"/>
        <v>0</v>
      </c>
      <c r="AD110" s="70"/>
      <c r="AE110" s="80" t="s">
        <v>1632</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853"/>
      <c r="K111" s="62" t="str">
        <f>Idiomas!D181</f>
        <v>4º GRUPO H</v>
      </c>
      <c r="L111" s="59"/>
      <c r="M111" s="61" t="str">
        <f ca="1">IF(OR(SUM(WORLDCUP!$AN$62:$AN$65)=12,WORLDCUP!$AJ$99=144),WORLDCUP!AL65,LEFT(K111,1)&amp;RIGHT(K111,1))</f>
        <v>Arabia Saudita</v>
      </c>
      <c r="N111" s="25"/>
      <c r="O111" s="25"/>
      <c r="P111" s="25"/>
      <c r="Q111" s="25"/>
      <c r="R111" s="116"/>
      <c r="S111" s="80" t="s">
        <v>1552</v>
      </c>
      <c r="T111" s="79">
        <f t="shared" ref="T111" ca="1" si="124">($M111=S111)*$D$14</f>
        <v>0</v>
      </c>
      <c r="U111" s="70"/>
      <c r="V111" s="80" t="s">
        <v>1552</v>
      </c>
      <c r="W111" s="79">
        <f t="shared" ref="W111:AF111" ca="1" si="125">($M111=V111)*$D$14</f>
        <v>0</v>
      </c>
      <c r="X111" s="70"/>
      <c r="Y111" s="80" t="s">
        <v>1552</v>
      </c>
      <c r="Z111" s="79">
        <f t="shared" ca="1" si="125"/>
        <v>0</v>
      </c>
      <c r="AA111" s="70"/>
      <c r="AB111" s="80" t="s">
        <v>1552</v>
      </c>
      <c r="AC111" s="79">
        <f t="shared" ca="1" si="125"/>
        <v>0</v>
      </c>
      <c r="AD111" s="70"/>
      <c r="AE111" s="80" t="s">
        <v>1552</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854" t="s">
        <v>438</v>
      </c>
      <c r="K112" s="62" t="str">
        <f>Idiomas!D182</f>
        <v>1º GRUPO I</v>
      </c>
      <c r="L112" s="59"/>
      <c r="M112" s="61" t="str">
        <f ca="1">IF(OR(SUM(WORLDCUP!$AN$70:$AN$73)=12,WORLDCUP!$AJ$99=144),WORLDCUP!AL70,LEFT(K112,1)&amp;RIGHT(K112,1))</f>
        <v>Francia</v>
      </c>
      <c r="N112" s="25"/>
      <c r="O112" s="25"/>
      <c r="P112" s="25"/>
      <c r="Q112" s="25"/>
      <c r="R112" s="116"/>
      <c r="S112" s="80" t="s">
        <v>74</v>
      </c>
      <c r="T112" s="79">
        <f t="shared" ref="T112" ca="1" si="127">($M112=S112)*$D$11</f>
        <v>4</v>
      </c>
      <c r="U112" s="70"/>
      <c r="V112" s="80" t="s">
        <v>74</v>
      </c>
      <c r="W112" s="79">
        <f t="shared" ref="W112:AF112" ca="1" si="128">($M112=V112)*$D$11</f>
        <v>4</v>
      </c>
      <c r="X112" s="70"/>
      <c r="Y112" s="80" t="s">
        <v>74</v>
      </c>
      <c r="Z112" s="79">
        <f t="shared" ca="1" si="128"/>
        <v>4</v>
      </c>
      <c r="AA112" s="70"/>
      <c r="AB112" s="80" t="s">
        <v>74</v>
      </c>
      <c r="AC112" s="79">
        <f t="shared" ca="1" si="128"/>
        <v>4</v>
      </c>
      <c r="AD112" s="70"/>
      <c r="AE112" s="80" t="s">
        <v>74</v>
      </c>
      <c r="AF112" s="79">
        <f t="shared" ca="1" si="128"/>
        <v>4</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854"/>
      <c r="K113" s="62" t="str">
        <f>Idiomas!D183</f>
        <v>2º GRUPO I</v>
      </c>
      <c r="L113" s="59"/>
      <c r="M113" s="61" t="str">
        <f ca="1">IF(OR(SUM(WORLDCUP!$AN$70:$AN$73)=12,WORLDCUP!$AJ$99=144),WORLDCUP!AL71,LEFT(K113,1)&amp;RIGHT(K113,1))</f>
        <v>Noruega</v>
      </c>
      <c r="N113" s="25"/>
      <c r="O113" s="25"/>
      <c r="P113" s="25"/>
      <c r="Q113" s="25"/>
      <c r="R113" s="116"/>
      <c r="S113" s="80" t="s">
        <v>135</v>
      </c>
      <c r="T113" s="79">
        <f t="shared" ref="T113" ca="1" si="130">($M113=S113)*$D$12</f>
        <v>3</v>
      </c>
      <c r="U113" s="70"/>
      <c r="V113" s="80" t="s">
        <v>135</v>
      </c>
      <c r="W113" s="79">
        <f t="shared" ref="W113:AF113" ca="1" si="131">($M113=V113)*$D$12</f>
        <v>3</v>
      </c>
      <c r="X113" s="70"/>
      <c r="Y113" s="80" t="s">
        <v>135</v>
      </c>
      <c r="Z113" s="79">
        <f t="shared" ca="1" si="131"/>
        <v>3</v>
      </c>
      <c r="AA113" s="70"/>
      <c r="AB113" s="80" t="s">
        <v>1634</v>
      </c>
      <c r="AC113" s="79">
        <f t="shared" ca="1" si="131"/>
        <v>0</v>
      </c>
      <c r="AD113" s="70"/>
      <c r="AE113" s="80" t="s">
        <v>135</v>
      </c>
      <c r="AF113" s="79">
        <f t="shared" ca="1" si="131"/>
        <v>3</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854"/>
      <c r="K114" s="62" t="str">
        <f>Idiomas!D184</f>
        <v>3º GRUPO I</v>
      </c>
      <c r="L114" s="59"/>
      <c r="M114" s="61" t="str">
        <f ca="1">IF(OR(SUM(WORLDCUP!$AN$70:$AN$73)=12,WORLDCUP!$AJ$99=144),WORLDCUP!AL72,LEFT(K114,1)&amp;RIGHT(K114,1))</f>
        <v>Senegal</v>
      </c>
      <c r="N114" s="25"/>
      <c r="O114" s="25"/>
      <c r="P114" s="25"/>
      <c r="Q114" s="25"/>
      <c r="R114" s="116"/>
      <c r="S114" s="80" t="s">
        <v>1634</v>
      </c>
      <c r="T114" s="79">
        <f t="shared" ref="T114" ca="1" si="133">($M114=S114)*$D$13</f>
        <v>2</v>
      </c>
      <c r="U114" s="70"/>
      <c r="V114" s="80" t="s">
        <v>1634</v>
      </c>
      <c r="W114" s="79">
        <f t="shared" ref="W114:AF114" ca="1" si="134">($M114=V114)*$D$13</f>
        <v>2</v>
      </c>
      <c r="X114" s="70"/>
      <c r="Y114" s="80" t="s">
        <v>1634</v>
      </c>
      <c r="Z114" s="79">
        <f t="shared" ca="1" si="134"/>
        <v>2</v>
      </c>
      <c r="AA114" s="70"/>
      <c r="AB114" s="80" t="s">
        <v>135</v>
      </c>
      <c r="AC114" s="79">
        <f t="shared" ca="1" si="134"/>
        <v>0</v>
      </c>
      <c r="AD114" s="70"/>
      <c r="AE114" s="80" t="s">
        <v>1634</v>
      </c>
      <c r="AF114" s="79">
        <f t="shared" ca="1" si="134"/>
        <v>2</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854"/>
      <c r="K115" s="62" t="str">
        <f>Idiomas!D185</f>
        <v>4º GRUPO I</v>
      </c>
      <c r="L115" s="59"/>
      <c r="M115" s="61" t="str">
        <f ca="1">IF(OR(SUM(WORLDCUP!$AN$70:$AN$73)=12,WORLDCUP!$AJ$99=144),WORLDCUP!AL73,LEFT(K115,1)&amp;RIGHT(K115,1))</f>
        <v>Irak</v>
      </c>
      <c r="N115" s="25"/>
      <c r="O115" s="25"/>
      <c r="P115" s="25"/>
      <c r="Q115" s="25"/>
      <c r="R115" s="116"/>
      <c r="S115" s="80" t="s">
        <v>1757</v>
      </c>
      <c r="T115" s="79">
        <f t="shared" ref="T115" ca="1" si="136">($M115=S115)*$D$14</f>
        <v>1</v>
      </c>
      <c r="U115" s="70"/>
      <c r="V115" s="80" t="s">
        <v>1757</v>
      </c>
      <c r="W115" s="79">
        <f t="shared" ref="W115:AF115" ca="1" si="137">($M115=V115)*$D$14</f>
        <v>1</v>
      </c>
      <c r="X115" s="70"/>
      <c r="Y115" s="80" t="s">
        <v>1757</v>
      </c>
      <c r="Z115" s="79">
        <f t="shared" ca="1" si="137"/>
        <v>1</v>
      </c>
      <c r="AA115" s="70"/>
      <c r="AB115" s="80" t="s">
        <v>1757</v>
      </c>
      <c r="AC115" s="79">
        <f t="shared" ca="1" si="137"/>
        <v>1</v>
      </c>
      <c r="AD115" s="70"/>
      <c r="AE115" s="80" t="s">
        <v>1757</v>
      </c>
      <c r="AF115" s="79">
        <f t="shared" ca="1" si="137"/>
        <v>1</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853" t="s">
        <v>5</v>
      </c>
      <c r="K116" s="62" t="str">
        <f>Idiomas!D186</f>
        <v>1º GRUPO J</v>
      </c>
      <c r="L116" s="59"/>
      <c r="M116" s="61" t="str">
        <f ca="1">IF(OR(SUM(WORLDCUP!$AN$78:$AN$81)=12,WORLDCUP!$AJ$99=144),WORLDCUP!AL78,LEFT(K116,1)&amp;RIGHT(K116,1))</f>
        <v>Argentina</v>
      </c>
      <c r="N116" s="25"/>
      <c r="O116" s="25"/>
      <c r="P116" s="25"/>
      <c r="Q116" s="25"/>
      <c r="R116" s="116"/>
      <c r="S116" s="80" t="s">
        <v>1256</v>
      </c>
      <c r="T116" s="79">
        <f t="shared" ref="T116" ca="1" si="139">($M116=S116)*$D$11</f>
        <v>4</v>
      </c>
      <c r="U116" s="70"/>
      <c r="V116" s="80" t="s">
        <v>80</v>
      </c>
      <c r="W116" s="79">
        <f t="shared" ref="W116:AF116" ca="1" si="140">($M116=V116)*$D$11</f>
        <v>0</v>
      </c>
      <c r="X116" s="70"/>
      <c r="Y116" s="80" t="s">
        <v>1256</v>
      </c>
      <c r="Z116" s="79">
        <f t="shared" ca="1" si="140"/>
        <v>4</v>
      </c>
      <c r="AA116" s="70"/>
      <c r="AB116" s="80" t="s">
        <v>1256</v>
      </c>
      <c r="AC116" s="79">
        <f t="shared" ca="1" si="140"/>
        <v>4</v>
      </c>
      <c r="AD116" s="70"/>
      <c r="AE116" s="80" t="s">
        <v>1256</v>
      </c>
      <c r="AF116" s="79">
        <f t="shared" ca="1" si="140"/>
        <v>4</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853"/>
      <c r="K117" s="62" t="str">
        <f>Idiomas!D187</f>
        <v>2º GRUPO J</v>
      </c>
      <c r="L117" s="59"/>
      <c r="M117" s="61" t="str">
        <f ca="1">IF(OR(SUM(WORLDCUP!$AN$78:$AN$81)=12,WORLDCUP!$AJ$99=144),WORLDCUP!AL79,LEFT(K117,1)&amp;RIGHT(K117,1))</f>
        <v>Austria</v>
      </c>
      <c r="N117" s="25"/>
      <c r="O117" s="25"/>
      <c r="P117" s="25"/>
      <c r="Q117" s="25"/>
      <c r="R117" s="116"/>
      <c r="S117" s="80" t="s">
        <v>80</v>
      </c>
      <c r="T117" s="79">
        <f t="shared" ref="T117" ca="1" si="142">($M117=S117)*$D$12</f>
        <v>3</v>
      </c>
      <c r="U117" s="70"/>
      <c r="V117" s="80" t="s">
        <v>1256</v>
      </c>
      <c r="W117" s="79">
        <f t="shared" ref="W117:AF117" ca="1" si="143">($M117=V117)*$D$12</f>
        <v>0</v>
      </c>
      <c r="X117" s="70"/>
      <c r="Y117" s="80" t="s">
        <v>1558</v>
      </c>
      <c r="Z117" s="79">
        <f t="shared" ca="1" si="143"/>
        <v>0</v>
      </c>
      <c r="AA117" s="70"/>
      <c r="AB117" s="80" t="s">
        <v>80</v>
      </c>
      <c r="AC117" s="79">
        <f t="shared" ca="1" si="143"/>
        <v>3</v>
      </c>
      <c r="AD117" s="70"/>
      <c r="AE117" s="80" t="s">
        <v>80</v>
      </c>
      <c r="AF117" s="79">
        <f t="shared" ca="1" si="143"/>
        <v>3</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853"/>
      <c r="K118" s="62" t="str">
        <f>Idiomas!D188</f>
        <v>3º GRUPO J</v>
      </c>
      <c r="L118" s="59"/>
      <c r="M118" s="61" t="str">
        <f ca="1">IF(OR(SUM(WORLDCUP!$AN$78:$AN$81)=12,WORLDCUP!$AJ$99=144),WORLDCUP!AL80,LEFT(K118,1)&amp;RIGHT(K118,1))</f>
        <v>Argelia</v>
      </c>
      <c r="N118" s="25"/>
      <c r="O118" s="25"/>
      <c r="P118" s="25"/>
      <c r="Q118" s="25"/>
      <c r="R118" s="116"/>
      <c r="S118" s="80" t="s">
        <v>1558</v>
      </c>
      <c r="T118" s="79">
        <f t="shared" ref="T118" ca="1" si="145">($M118=S118)*$D$13</f>
        <v>2</v>
      </c>
      <c r="U118" s="70"/>
      <c r="V118" s="80" t="s">
        <v>1558</v>
      </c>
      <c r="W118" s="79">
        <f t="shared" ref="W118:AF118" ca="1" si="146">($M118=V118)*$D$13</f>
        <v>2</v>
      </c>
      <c r="X118" s="70"/>
      <c r="Y118" s="80" t="s">
        <v>80</v>
      </c>
      <c r="Z118" s="79">
        <f t="shared" ca="1" si="146"/>
        <v>0</v>
      </c>
      <c r="AA118" s="70"/>
      <c r="AB118" s="80" t="s">
        <v>1558</v>
      </c>
      <c r="AC118" s="79">
        <f t="shared" ca="1" si="146"/>
        <v>2</v>
      </c>
      <c r="AD118" s="70"/>
      <c r="AE118" s="80" t="s">
        <v>1558</v>
      </c>
      <c r="AF118" s="79">
        <f t="shared" ca="1" si="146"/>
        <v>2</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853"/>
      <c r="K119" s="62" t="str">
        <f>Idiomas!D189</f>
        <v>4º GRUPO J</v>
      </c>
      <c r="L119" s="59"/>
      <c r="M119" s="61" t="str">
        <f ca="1">IF(OR(SUM(WORLDCUP!$AN$78:$AN$81)=12,WORLDCUP!$AJ$99=144),WORLDCUP!AL81,LEFT(K119,1)&amp;RIGHT(K119,1))</f>
        <v>Jordania</v>
      </c>
      <c r="N119" s="25"/>
      <c r="O119" s="25"/>
      <c r="P119" s="25"/>
      <c r="Q119" s="25"/>
      <c r="R119" s="116"/>
      <c r="S119" s="80" t="s">
        <v>1264</v>
      </c>
      <c r="T119" s="79">
        <f t="shared" ref="T119" ca="1" si="148">($M119=S119)*$D$14</f>
        <v>1</v>
      </c>
      <c r="U119" s="70"/>
      <c r="V119" s="80" t="s">
        <v>1264</v>
      </c>
      <c r="W119" s="79">
        <f t="shared" ref="W119:AF119" ca="1" si="149">($M119=V119)*$D$14</f>
        <v>1</v>
      </c>
      <c r="X119" s="70"/>
      <c r="Y119" s="80" t="s">
        <v>1264</v>
      </c>
      <c r="Z119" s="79">
        <f t="shared" ca="1" si="149"/>
        <v>1</v>
      </c>
      <c r="AA119" s="70"/>
      <c r="AB119" s="80" t="s">
        <v>1264</v>
      </c>
      <c r="AC119" s="79">
        <f t="shared" ca="1" si="149"/>
        <v>1</v>
      </c>
      <c r="AD119" s="70"/>
      <c r="AE119" s="80" t="s">
        <v>1264</v>
      </c>
      <c r="AF119" s="79">
        <f t="shared" ca="1" si="149"/>
        <v>1</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854" t="s">
        <v>439</v>
      </c>
      <c r="K120" s="62" t="str">
        <f>Idiomas!D190</f>
        <v>1º GRUPO K</v>
      </c>
      <c r="L120" s="59"/>
      <c r="M120" s="61" t="str">
        <f ca="1">IF(OR(SUM(WORLDCUP!$AN$86:$AN$89)=12,WORLDCUP!$AJ$99=144),WORLDCUP!AL86,LEFT(K120,1)&amp;RIGHT(K120,1))</f>
        <v>Colombia</v>
      </c>
      <c r="N120" s="25"/>
      <c r="O120" s="25"/>
      <c r="P120" s="25"/>
      <c r="Q120" s="25"/>
      <c r="R120" s="116"/>
      <c r="S120" s="80" t="s">
        <v>1320</v>
      </c>
      <c r="T120" s="79">
        <f t="shared" ref="T120" ca="1" si="151">($M120=S120)*$D$11</f>
        <v>4</v>
      </c>
      <c r="U120" s="70"/>
      <c r="V120" s="80" t="s">
        <v>79</v>
      </c>
      <c r="W120" s="79">
        <f t="shared" ref="W120:AF120" ca="1" si="152">($M120=V120)*$D$11</f>
        <v>0</v>
      </c>
      <c r="X120" s="70"/>
      <c r="Y120" s="80" t="s">
        <v>1320</v>
      </c>
      <c r="Z120" s="79">
        <f t="shared" ca="1" si="152"/>
        <v>4</v>
      </c>
      <c r="AA120" s="70"/>
      <c r="AB120" s="80" t="s">
        <v>79</v>
      </c>
      <c r="AC120" s="79">
        <f t="shared" ca="1" si="152"/>
        <v>0</v>
      </c>
      <c r="AD120" s="70"/>
      <c r="AE120" s="80" t="s">
        <v>79</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854"/>
      <c r="K121" s="62" t="str">
        <f>Idiomas!D191</f>
        <v>2º GRUPO K</v>
      </c>
      <c r="L121" s="59"/>
      <c r="M121" s="61" t="str">
        <f ca="1">IF(OR(SUM(WORLDCUP!$AN$86:$AN$89)=12,WORLDCUP!$AJ$99=144),WORLDCUP!AL87,LEFT(K121,1)&amp;RIGHT(K121,1))</f>
        <v>Portugal</v>
      </c>
      <c r="N121" s="25"/>
      <c r="O121" s="25"/>
      <c r="P121" s="25"/>
      <c r="Q121" s="25"/>
      <c r="R121" s="116"/>
      <c r="S121" s="80" t="s">
        <v>79</v>
      </c>
      <c r="T121" s="79">
        <f t="shared" ref="T121" ca="1" si="154">($M121=S121)*$D$12</f>
        <v>3</v>
      </c>
      <c r="U121" s="70"/>
      <c r="V121" s="80" t="s">
        <v>1320</v>
      </c>
      <c r="W121" s="79">
        <f t="shared" ref="W121:AF121" ca="1" si="155">($M121=V121)*$D$12</f>
        <v>0</v>
      </c>
      <c r="X121" s="70"/>
      <c r="Y121" s="80" t="s">
        <v>79</v>
      </c>
      <c r="Z121" s="79">
        <f t="shared" ca="1" si="155"/>
        <v>3</v>
      </c>
      <c r="AA121" s="70"/>
      <c r="AB121" s="80" t="s">
        <v>1320</v>
      </c>
      <c r="AC121" s="79">
        <f t="shared" ca="1" si="155"/>
        <v>0</v>
      </c>
      <c r="AD121" s="70"/>
      <c r="AE121" s="80" t="s">
        <v>1320</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854"/>
      <c r="K122" s="62" t="str">
        <f>Idiomas!D192</f>
        <v>3º GRUPO K</v>
      </c>
      <c r="L122" s="59"/>
      <c r="M122" s="61" t="str">
        <f ca="1">IF(OR(SUM(WORLDCUP!$AN$86:$AN$89)=12,WORLDCUP!$AJ$99=144),WORLDCUP!AL88,LEFT(K122,1)&amp;RIGHT(K122,1))</f>
        <v>RD Congo</v>
      </c>
      <c r="N122" s="25"/>
      <c r="O122" s="25"/>
      <c r="P122" s="25"/>
      <c r="Q122" s="25"/>
      <c r="R122" s="116"/>
      <c r="S122" s="80" t="s">
        <v>1839</v>
      </c>
      <c r="T122" s="79">
        <f t="shared" ref="T122" ca="1" si="157">($M122=S122)*$D$13</f>
        <v>2</v>
      </c>
      <c r="U122" s="70"/>
      <c r="V122" s="80" t="s">
        <v>1839</v>
      </c>
      <c r="W122" s="79">
        <f t="shared" ref="W122:AF122" ca="1" si="158">($M122=V122)*$D$13</f>
        <v>2</v>
      </c>
      <c r="X122" s="70"/>
      <c r="Y122" s="80" t="s">
        <v>1839</v>
      </c>
      <c r="Z122" s="79">
        <f t="shared" ca="1" si="158"/>
        <v>2</v>
      </c>
      <c r="AA122" s="70"/>
      <c r="AB122" s="80" t="s">
        <v>1267</v>
      </c>
      <c r="AC122" s="79">
        <f t="shared" ca="1" si="158"/>
        <v>0</v>
      </c>
      <c r="AD122" s="70"/>
      <c r="AE122" s="80" t="s">
        <v>1267</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854"/>
      <c r="K123" s="62" t="str">
        <f>Idiomas!D193</f>
        <v>4º GRUPO K</v>
      </c>
      <c r="L123" s="59"/>
      <c r="M123" s="61" t="str">
        <f ca="1">IF(OR(SUM(WORLDCUP!$AN$86:$AN$89)=12,WORLDCUP!$AJ$99=144),WORLDCUP!AL89,LEFT(K123,1)&amp;RIGHT(K123,1))</f>
        <v>Uzbekistán</v>
      </c>
      <c r="N123" s="25"/>
      <c r="O123" s="25"/>
      <c r="P123" s="25"/>
      <c r="Q123" s="25"/>
      <c r="R123" s="116"/>
      <c r="S123" s="80" t="s">
        <v>1267</v>
      </c>
      <c r="T123" s="79">
        <f t="shared" ref="T123" ca="1" si="160">($M123=S123)*$D$14</f>
        <v>1</v>
      </c>
      <c r="U123" s="70"/>
      <c r="V123" s="80" t="s">
        <v>1267</v>
      </c>
      <c r="W123" s="79">
        <f t="shared" ref="W123:AF123" ca="1" si="161">($M123=V123)*$D$14</f>
        <v>1</v>
      </c>
      <c r="X123" s="70"/>
      <c r="Y123" s="80" t="s">
        <v>1267</v>
      </c>
      <c r="Z123" s="79">
        <f t="shared" ca="1" si="161"/>
        <v>1</v>
      </c>
      <c r="AA123" s="70"/>
      <c r="AB123" s="80" t="s">
        <v>1839</v>
      </c>
      <c r="AC123" s="79">
        <f t="shared" ca="1" si="161"/>
        <v>0</v>
      </c>
      <c r="AD123" s="70"/>
      <c r="AE123" s="80" t="s">
        <v>1839</v>
      </c>
      <c r="AF123" s="79">
        <f t="shared" ca="1" si="161"/>
        <v>0</v>
      </c>
      <c r="AG123" s="70"/>
      <c r="AH123" s="70"/>
    </row>
    <row r="124" spans="1:34" x14ac:dyDescent="0.2">
      <c r="A124" s="55"/>
      <c r="B124" s="55"/>
      <c r="C124" s="55"/>
      <c r="D124" s="55"/>
      <c r="E124" s="71"/>
      <c r="F124" s="133">
        <f t="shared" ref="F124" si="162">$D$11</f>
        <v>4</v>
      </c>
      <c r="G124" s="453">
        <f ca="1">VLOOKUP(H124,Equipos!$Q$1:$R$25,2,0)</f>
        <v>17</v>
      </c>
      <c r="H124" s="454">
        <f ca="1">$H$76</f>
        <v>46200</v>
      </c>
      <c r="I124" s="56"/>
      <c r="J124" s="853" t="s">
        <v>238</v>
      </c>
      <c r="K124" s="62" t="str">
        <f>Idiomas!D194</f>
        <v>1º GRUPO L</v>
      </c>
      <c r="L124" s="59"/>
      <c r="M124" s="61" t="str">
        <f ca="1">IF(OR(SUM(WORLDCUP!$AN$94:$AN$97)=12,WORLDCUP!$AJ$99=144),WORLDCUP!AL94,LEFT(K124,1)&amp;RIGHT(K124,1))</f>
        <v>Inglaterra</v>
      </c>
      <c r="N124" s="25"/>
      <c r="O124" s="25"/>
      <c r="P124" s="25"/>
      <c r="Q124" s="25"/>
      <c r="R124" s="116"/>
      <c r="S124" s="80" t="s">
        <v>76</v>
      </c>
      <c r="T124" s="79">
        <f t="shared" ref="T124" ca="1" si="163">($M124=S124)*$D$11</f>
        <v>4</v>
      </c>
      <c r="U124" s="70"/>
      <c r="V124" s="80" t="s">
        <v>76</v>
      </c>
      <c r="W124" s="79">
        <f t="shared" ref="W124:AF124" ca="1" si="164">($M124=V124)*$D$11</f>
        <v>4</v>
      </c>
      <c r="X124" s="70"/>
      <c r="Y124" s="80" t="s">
        <v>76</v>
      </c>
      <c r="Z124" s="79">
        <f t="shared" ca="1" si="164"/>
        <v>4</v>
      </c>
      <c r="AA124" s="70"/>
      <c r="AB124" s="80" t="s">
        <v>76</v>
      </c>
      <c r="AC124" s="79">
        <f t="shared" ca="1" si="164"/>
        <v>4</v>
      </c>
      <c r="AD124" s="70"/>
      <c r="AE124" s="80" t="s">
        <v>76</v>
      </c>
      <c r="AF124" s="79">
        <f t="shared" ca="1" si="164"/>
        <v>4</v>
      </c>
      <c r="AG124" s="70"/>
      <c r="AH124" s="70"/>
    </row>
    <row r="125" spans="1:34" x14ac:dyDescent="0.2">
      <c r="A125" s="55"/>
      <c r="B125" s="55"/>
      <c r="C125" s="55"/>
      <c r="D125" s="55"/>
      <c r="E125" s="71"/>
      <c r="F125" s="133">
        <f t="shared" ref="F125" si="165">$D$12</f>
        <v>3</v>
      </c>
      <c r="G125" s="453">
        <f ca="1">VLOOKUP(H125,Equipos!$Q$1:$R$25,2,0)</f>
        <v>17</v>
      </c>
      <c r="H125" s="454">
        <f ca="1">$H$76</f>
        <v>46200</v>
      </c>
      <c r="I125" s="56"/>
      <c r="J125" s="853"/>
      <c r="K125" s="62" t="str">
        <f>Idiomas!D195</f>
        <v>2º GRUPO L</v>
      </c>
      <c r="L125" s="59"/>
      <c r="M125" s="61" t="str">
        <f ca="1">IF(OR(SUM(WORLDCUP!$AN$94:$AN$97)=12,WORLDCUP!$AJ$99=144),WORLDCUP!AL95,LEFT(K125,1)&amp;RIGHT(K125,1))</f>
        <v>Croacia</v>
      </c>
      <c r="N125" s="25"/>
      <c r="O125" s="25"/>
      <c r="P125" s="25"/>
      <c r="Q125" s="25"/>
      <c r="R125" s="116"/>
      <c r="S125" s="80" t="s">
        <v>78</v>
      </c>
      <c r="T125" s="79">
        <f t="shared" ref="T125" ca="1" si="166">($M125=S125)*$D$12</f>
        <v>3</v>
      </c>
      <c r="U125" s="70"/>
      <c r="V125" s="80" t="s">
        <v>1551</v>
      </c>
      <c r="W125" s="79">
        <f t="shared" ref="W125:AF125" ca="1" si="167">($M125=V125)*$D$12</f>
        <v>0</v>
      </c>
      <c r="X125" s="70"/>
      <c r="Y125" s="80" t="s">
        <v>78</v>
      </c>
      <c r="Z125" s="79">
        <f t="shared" ca="1" si="167"/>
        <v>3</v>
      </c>
      <c r="AA125" s="70"/>
      <c r="AB125" s="80" t="s">
        <v>78</v>
      </c>
      <c r="AC125" s="79">
        <f t="shared" ca="1" si="167"/>
        <v>3</v>
      </c>
      <c r="AD125" s="70"/>
      <c r="AE125" s="80" t="s">
        <v>78</v>
      </c>
      <c r="AF125" s="79">
        <f t="shared" ca="1" si="167"/>
        <v>3</v>
      </c>
      <c r="AG125" s="70"/>
      <c r="AH125" s="70"/>
    </row>
    <row r="126" spans="1:34" x14ac:dyDescent="0.2">
      <c r="A126" s="55"/>
      <c r="B126" s="55"/>
      <c r="C126" s="55"/>
      <c r="D126" s="55"/>
      <c r="E126" s="71"/>
      <c r="F126" s="133">
        <f t="shared" ref="F126" si="168">$D$13</f>
        <v>2</v>
      </c>
      <c r="G126" s="453">
        <f ca="1">VLOOKUP(H126,Equipos!$Q$1:$R$25,2,0)</f>
        <v>17</v>
      </c>
      <c r="H126" s="454">
        <f ca="1">$H$76</f>
        <v>46200</v>
      </c>
      <c r="I126" s="56"/>
      <c r="J126" s="853"/>
      <c r="K126" s="62" t="str">
        <f>Idiomas!D196</f>
        <v>3º GRUPO L</v>
      </c>
      <c r="L126" s="59"/>
      <c r="M126" s="61" t="str">
        <f ca="1">IF(OR(SUM(WORLDCUP!$AN$94:$AN$97)=12,WORLDCUP!$AJ$99=144),WORLDCUP!AL96,LEFT(K126,1)&amp;RIGHT(K126,1))</f>
        <v>Ghana</v>
      </c>
      <c r="N126" s="25"/>
      <c r="O126" s="25"/>
      <c r="P126" s="25"/>
      <c r="Q126" s="25"/>
      <c r="R126" s="116"/>
      <c r="S126" s="80" t="s">
        <v>1730</v>
      </c>
      <c r="T126" s="79">
        <f t="shared" ref="T126" ca="1" si="169">($M126=S126)*$D$13</f>
        <v>0</v>
      </c>
      <c r="U126" s="70"/>
      <c r="V126" s="80" t="s">
        <v>78</v>
      </c>
      <c r="W126" s="79">
        <f t="shared" ref="W126:AF126" ca="1" si="170">($M126=V126)*$D$13</f>
        <v>0</v>
      </c>
      <c r="X126" s="70"/>
      <c r="Y126" s="80" t="s">
        <v>1551</v>
      </c>
      <c r="Z126" s="79">
        <f t="shared" ca="1" si="170"/>
        <v>2</v>
      </c>
      <c r="AA126" s="70"/>
      <c r="AB126" s="80" t="s">
        <v>1551</v>
      </c>
      <c r="AC126" s="79">
        <f t="shared" ca="1" si="170"/>
        <v>2</v>
      </c>
      <c r="AD126" s="70"/>
      <c r="AE126" s="80" t="s">
        <v>1551</v>
      </c>
      <c r="AF126" s="79">
        <f t="shared" ca="1" si="170"/>
        <v>2</v>
      </c>
      <c r="AG126" s="70"/>
      <c r="AH126" s="70"/>
    </row>
    <row r="127" spans="1:34" x14ac:dyDescent="0.2">
      <c r="A127" s="55"/>
      <c r="B127" s="55"/>
      <c r="C127" s="55"/>
      <c r="D127" s="55"/>
      <c r="E127" s="71"/>
      <c r="F127" s="133">
        <f t="shared" ref="F127" si="171">$D$14</f>
        <v>1</v>
      </c>
      <c r="G127" s="453">
        <f ca="1">VLOOKUP(H127,Equipos!$Q$1:$R$25,2,0)</f>
        <v>17</v>
      </c>
      <c r="H127" s="454">
        <f ca="1">$H$76</f>
        <v>46200</v>
      </c>
      <c r="I127" s="56"/>
      <c r="J127" s="853"/>
      <c r="K127" s="121" t="str">
        <f>Idiomas!D197</f>
        <v>4º GRUPO L</v>
      </c>
      <c r="L127" s="121"/>
      <c r="M127" s="122" t="str">
        <f ca="1">IF(OR(SUM(WORLDCUP!$AN$94:$AN$97)=12,WORLDCUP!$AJ$99=144),WORLDCUP!AL97,LEFT(K127,1)&amp;RIGHT(K127,1))</f>
        <v>Panamá</v>
      </c>
      <c r="N127" s="25"/>
      <c r="O127" s="25"/>
      <c r="P127" s="25"/>
      <c r="Q127" s="25"/>
      <c r="R127" s="116"/>
      <c r="S127" s="86" t="s">
        <v>1551</v>
      </c>
      <c r="T127" s="87">
        <f t="shared" ref="T127" ca="1" si="172">($M127=S127)*$D$14</f>
        <v>0</v>
      </c>
      <c r="U127" s="70"/>
      <c r="V127" s="86" t="s">
        <v>1730</v>
      </c>
      <c r="W127" s="87">
        <f t="shared" ref="W127:AF127" ca="1" si="173">($M127=V127)*$D$14</f>
        <v>1</v>
      </c>
      <c r="X127" s="70"/>
      <c r="Y127" s="86" t="s">
        <v>1730</v>
      </c>
      <c r="Z127" s="87">
        <f t="shared" ca="1" si="173"/>
        <v>1</v>
      </c>
      <c r="AA127" s="70"/>
      <c r="AB127" s="86" t="s">
        <v>1730</v>
      </c>
      <c r="AC127" s="87">
        <f t="shared" ca="1" si="173"/>
        <v>1</v>
      </c>
      <c r="AD127" s="70"/>
      <c r="AE127" s="86" t="s">
        <v>1730</v>
      </c>
      <c r="AF127" s="87">
        <f t="shared" ca="1" si="173"/>
        <v>1</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85</v>
      </c>
      <c r="U128" s="71"/>
      <c r="V128" s="90"/>
      <c r="W128" s="77">
        <f t="shared" ref="W128" ca="1" si="174">SUM(W80:W127)</f>
        <v>67</v>
      </c>
      <c r="X128" s="71"/>
      <c r="Y128" s="90"/>
      <c r="Z128" s="77">
        <f t="shared" ref="Z128" ca="1" si="175">SUM(Z80:Z127)</f>
        <v>77</v>
      </c>
      <c r="AA128" s="71"/>
      <c r="AB128" s="90"/>
      <c r="AC128" s="77">
        <f t="shared" ref="AC128" ca="1" si="176">SUM(AC80:AC127)</f>
        <v>89</v>
      </c>
      <c r="AD128" s="71"/>
      <c r="AE128" s="90"/>
      <c r="AF128" s="77">
        <f t="shared" ref="AF128" ca="1" si="177">SUM(AF80:AF127)</f>
        <v>75</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851" t="s">
        <v>483</v>
      </c>
      <c r="K130" s="59" t="str">
        <f>Idiomas!$D$198&amp;"-"&amp;ROWS($L$130:L130)</f>
        <v>Dieciseisavofinalista-1</v>
      </c>
      <c r="L130" s="59"/>
      <c r="M130" s="61" t="str">
        <f ca="1">WORLDCUP!AA101</f>
        <v>Sudáfrica</v>
      </c>
      <c r="N130" s="25"/>
      <c r="O130" s="25"/>
      <c r="P130" s="25"/>
      <c r="Q130" s="25"/>
      <c r="R130" s="116"/>
      <c r="S130" s="82" t="s">
        <v>1630</v>
      </c>
      <c r="T130" s="83">
        <f t="shared" ref="T130:T161" ca="1" si="178">COUNTIF($M$130:$M$161,S130)*$D$15</f>
        <v>2</v>
      </c>
      <c r="U130" s="70"/>
      <c r="V130" s="82" t="s">
        <v>1630</v>
      </c>
      <c r="W130" s="83">
        <f t="shared" ref="W130:W161" ca="1" si="179">COUNTIF($M$130:$M$161,V130)*$D$15</f>
        <v>2</v>
      </c>
      <c r="X130" s="70"/>
      <c r="Y130" s="82" t="s">
        <v>1630</v>
      </c>
      <c r="Z130" s="83">
        <f t="shared" ref="Z130:Z161" ca="1" si="180">COUNTIF($M$130:$M$161,Y130)*$D$15</f>
        <v>2</v>
      </c>
      <c r="AA130" s="70"/>
      <c r="AB130" s="82" t="s">
        <v>1630</v>
      </c>
      <c r="AC130" s="83">
        <f t="shared" ref="AC130:AC161" ca="1" si="181">COUNTIF($M$130:$M$161,AB130)*$D$15</f>
        <v>2</v>
      </c>
      <c r="AD130" s="70"/>
      <c r="AE130" s="82" t="s">
        <v>1630</v>
      </c>
      <c r="AF130" s="83">
        <f t="shared" ref="AF130:AF161" ca="1" si="182">COUNTIF($M$130:$M$161,AE130)*$D$15</f>
        <v>2</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851"/>
      <c r="K131" s="62" t="str">
        <f>Idiomas!$D$198&amp;"-"&amp;ROWS($L$130:L131)</f>
        <v>Dieciseisavofinalista-2</v>
      </c>
      <c r="L131" s="59"/>
      <c r="M131" s="61" t="str">
        <f ca="1">WORLDCUP!AA102</f>
        <v>Brasil</v>
      </c>
      <c r="N131" s="25"/>
      <c r="O131" s="25"/>
      <c r="P131" s="25"/>
      <c r="Q131" s="25"/>
      <c r="R131" s="116"/>
      <c r="S131" s="80" t="s">
        <v>1258</v>
      </c>
      <c r="T131" s="79">
        <f t="shared" ca="1" si="178"/>
        <v>2</v>
      </c>
      <c r="U131" s="70"/>
      <c r="V131" s="80" t="s">
        <v>1258</v>
      </c>
      <c r="W131" s="79">
        <f t="shared" ca="1" si="179"/>
        <v>2</v>
      </c>
      <c r="X131" s="70"/>
      <c r="Y131" s="80" t="s">
        <v>1258</v>
      </c>
      <c r="Z131" s="79">
        <f t="shared" ca="1" si="180"/>
        <v>2</v>
      </c>
      <c r="AA131" s="70"/>
      <c r="AB131" s="80" t="s">
        <v>1258</v>
      </c>
      <c r="AC131" s="79">
        <f t="shared" ca="1" si="181"/>
        <v>2</v>
      </c>
      <c r="AD131" s="70"/>
      <c r="AE131" s="80" t="s">
        <v>1258</v>
      </c>
      <c r="AF131" s="79">
        <f t="shared" ca="1" si="182"/>
        <v>2</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851"/>
      <c r="K132" s="62" t="str">
        <f>Idiomas!$D$198&amp;"-"&amp;ROWS($L$130:L132)</f>
        <v>Dieciseisavofinalista-3</v>
      </c>
      <c r="L132" s="59"/>
      <c r="M132" s="61" t="str">
        <f ca="1">WORLDCUP!AA103</f>
        <v>Alemania</v>
      </c>
      <c r="N132" s="25"/>
      <c r="O132" s="25"/>
      <c r="P132" s="25"/>
      <c r="Q132" s="25"/>
      <c r="R132" s="116"/>
      <c r="S132" s="80" t="s">
        <v>77</v>
      </c>
      <c r="T132" s="79">
        <f t="shared" ca="1" si="178"/>
        <v>2</v>
      </c>
      <c r="U132" s="70"/>
      <c r="V132" s="80" t="s">
        <v>77</v>
      </c>
      <c r="W132" s="79">
        <f t="shared" ca="1" si="179"/>
        <v>2</v>
      </c>
      <c r="X132" s="70"/>
      <c r="Y132" s="80" t="s">
        <v>77</v>
      </c>
      <c r="Z132" s="79">
        <f t="shared" ca="1" si="180"/>
        <v>2</v>
      </c>
      <c r="AA132" s="70"/>
      <c r="AB132" s="80" t="s">
        <v>77</v>
      </c>
      <c r="AC132" s="79">
        <f t="shared" ca="1" si="181"/>
        <v>2</v>
      </c>
      <c r="AD132" s="70"/>
      <c r="AE132" s="80" t="s">
        <v>77</v>
      </c>
      <c r="AF132" s="79">
        <f t="shared" ca="1" si="182"/>
        <v>2</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851"/>
      <c r="K133" s="62" t="str">
        <f>Idiomas!$D$198&amp;"-"&amp;ROWS($L$130:L133)</f>
        <v>Dieciseisavofinalista-4</v>
      </c>
      <c r="L133" s="59"/>
      <c r="M133" s="61" t="str">
        <f ca="1">WORLDCUP!AA104</f>
        <v>Países Bajos</v>
      </c>
      <c r="N133" s="25"/>
      <c r="O133" s="25"/>
      <c r="P133" s="25"/>
      <c r="Q133" s="25"/>
      <c r="R133" s="116"/>
      <c r="S133" s="80" t="s">
        <v>111</v>
      </c>
      <c r="T133" s="79">
        <f t="shared" ca="1" si="178"/>
        <v>2</v>
      </c>
      <c r="U133" s="70"/>
      <c r="V133" s="80" t="s">
        <v>111</v>
      </c>
      <c r="W133" s="79">
        <f t="shared" ca="1" si="179"/>
        <v>2</v>
      </c>
      <c r="X133" s="70"/>
      <c r="Y133" s="80" t="s">
        <v>111</v>
      </c>
      <c r="Z133" s="79">
        <f t="shared" ca="1" si="180"/>
        <v>2</v>
      </c>
      <c r="AA133" s="70"/>
      <c r="AB133" s="80" t="s">
        <v>111</v>
      </c>
      <c r="AC133" s="79">
        <f t="shared" ca="1" si="181"/>
        <v>2</v>
      </c>
      <c r="AD133" s="70"/>
      <c r="AE133" s="80" t="s">
        <v>111</v>
      </c>
      <c r="AF133" s="79">
        <f t="shared" ca="1" si="182"/>
        <v>2</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851"/>
      <c r="K134" s="62" t="str">
        <f>Idiomas!$D$198&amp;"-"&amp;ROWS($L$130:L134)</f>
        <v>Dieciseisavofinalista-5</v>
      </c>
      <c r="L134" s="59"/>
      <c r="M134" s="61" t="str">
        <f ca="1">WORLDCUP!AA105</f>
        <v>Costa de Marfil</v>
      </c>
      <c r="N134" s="25"/>
      <c r="O134" s="25"/>
      <c r="P134" s="25"/>
      <c r="Q134" s="25"/>
      <c r="R134" s="116"/>
      <c r="S134" s="80" t="s">
        <v>1633</v>
      </c>
      <c r="T134" s="79">
        <f t="shared" ca="1" si="178"/>
        <v>2</v>
      </c>
      <c r="U134" s="70"/>
      <c r="V134" s="80" t="s">
        <v>1633</v>
      </c>
      <c r="W134" s="79">
        <f t="shared" ca="1" si="179"/>
        <v>2</v>
      </c>
      <c r="X134" s="70"/>
      <c r="Y134" s="80" t="s">
        <v>1633</v>
      </c>
      <c r="Z134" s="79">
        <f t="shared" ca="1" si="180"/>
        <v>2</v>
      </c>
      <c r="AA134" s="70"/>
      <c r="AB134" s="80" t="s">
        <v>1633</v>
      </c>
      <c r="AC134" s="79">
        <f t="shared" ca="1" si="181"/>
        <v>2</v>
      </c>
      <c r="AD134" s="70"/>
      <c r="AE134" s="80" t="s">
        <v>1633</v>
      </c>
      <c r="AF134" s="79">
        <f t="shared" ca="1" si="182"/>
        <v>2</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851"/>
      <c r="K135" s="62" t="str">
        <f>Idiomas!$D$198&amp;"-"&amp;ROWS($L$130:L135)</f>
        <v>Dieciseisavofinalista-6</v>
      </c>
      <c r="L135" s="59"/>
      <c r="M135" s="61" t="str">
        <f ca="1">WORLDCUP!AA106</f>
        <v>Francia</v>
      </c>
      <c r="N135" s="25"/>
      <c r="O135" s="25"/>
      <c r="P135" s="25"/>
      <c r="Q135" s="25"/>
      <c r="R135" s="116"/>
      <c r="S135" s="80" t="s">
        <v>74</v>
      </c>
      <c r="T135" s="79">
        <f t="shared" ca="1" si="178"/>
        <v>2</v>
      </c>
      <c r="U135" s="70"/>
      <c r="V135" s="80" t="s">
        <v>74</v>
      </c>
      <c r="W135" s="79">
        <f t="shared" ca="1" si="179"/>
        <v>2</v>
      </c>
      <c r="X135" s="70"/>
      <c r="Y135" s="80" t="s">
        <v>74</v>
      </c>
      <c r="Z135" s="79">
        <f t="shared" ca="1" si="180"/>
        <v>2</v>
      </c>
      <c r="AA135" s="70"/>
      <c r="AB135" s="80" t="s">
        <v>74</v>
      </c>
      <c r="AC135" s="79">
        <f t="shared" ca="1" si="181"/>
        <v>2</v>
      </c>
      <c r="AD135" s="70"/>
      <c r="AE135" s="80" t="s">
        <v>74</v>
      </c>
      <c r="AF135" s="79">
        <f t="shared" ca="1" si="182"/>
        <v>2</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851"/>
      <c r="K136" s="62" t="str">
        <f>Idiomas!$D$198&amp;"-"&amp;ROWS($L$130:L136)</f>
        <v>Dieciseisavofinalista-7</v>
      </c>
      <c r="L136" s="59"/>
      <c r="M136" s="61" t="str">
        <f ca="1">WORLDCUP!AA107</f>
        <v>México</v>
      </c>
      <c r="N136" s="25"/>
      <c r="O136" s="25"/>
      <c r="P136" s="25"/>
      <c r="Q136" s="25"/>
      <c r="R136" s="116"/>
      <c r="S136" s="80" t="s">
        <v>1265</v>
      </c>
      <c r="T136" s="79">
        <f t="shared" ca="1" si="178"/>
        <v>2</v>
      </c>
      <c r="U136" s="70"/>
      <c r="V136" s="80" t="s">
        <v>1265</v>
      </c>
      <c r="W136" s="79">
        <f t="shared" ca="1" si="179"/>
        <v>2</v>
      </c>
      <c r="X136" s="70"/>
      <c r="Y136" s="80" t="s">
        <v>1265</v>
      </c>
      <c r="Z136" s="79">
        <f t="shared" ca="1" si="180"/>
        <v>2</v>
      </c>
      <c r="AA136" s="70"/>
      <c r="AB136" s="80" t="s">
        <v>1265</v>
      </c>
      <c r="AC136" s="79">
        <f t="shared" ca="1" si="181"/>
        <v>2</v>
      </c>
      <c r="AD136" s="70"/>
      <c r="AE136" s="80" t="s">
        <v>1265</v>
      </c>
      <c r="AF136" s="79">
        <f t="shared" ca="1" si="182"/>
        <v>2</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851"/>
      <c r="K137" s="62" t="str">
        <f>Idiomas!$D$198&amp;"-"&amp;ROWS($L$130:L137)</f>
        <v>Dieciseisavofinalista-8</v>
      </c>
      <c r="L137" s="59"/>
      <c r="M137" s="61" t="str">
        <f ca="1">WORLDCUP!AA108</f>
        <v>Inglaterra</v>
      </c>
      <c r="N137" s="25"/>
      <c r="O137" s="25"/>
      <c r="P137" s="25"/>
      <c r="Q137" s="25"/>
      <c r="R137" s="116"/>
      <c r="S137" s="80" t="s">
        <v>76</v>
      </c>
      <c r="T137" s="79">
        <f t="shared" ca="1" si="178"/>
        <v>2</v>
      </c>
      <c r="U137" s="70"/>
      <c r="V137" s="80" t="s">
        <v>76</v>
      </c>
      <c r="W137" s="79">
        <f t="shared" ca="1" si="179"/>
        <v>2</v>
      </c>
      <c r="X137" s="70"/>
      <c r="Y137" s="80" t="s">
        <v>76</v>
      </c>
      <c r="Z137" s="79">
        <f t="shared" ca="1" si="180"/>
        <v>2</v>
      </c>
      <c r="AA137" s="70"/>
      <c r="AB137" s="80" t="s">
        <v>76</v>
      </c>
      <c r="AC137" s="79">
        <f t="shared" ca="1" si="181"/>
        <v>2</v>
      </c>
      <c r="AD137" s="70"/>
      <c r="AE137" s="80" t="s">
        <v>76</v>
      </c>
      <c r="AF137" s="79">
        <f t="shared" ca="1" si="182"/>
        <v>2</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851"/>
      <c r="K138" s="62" t="str">
        <f>Idiomas!$D$198&amp;"-"&amp;ROWS($L$130:L138)</f>
        <v>Dieciseisavofinalista-9</v>
      </c>
      <c r="L138" s="59"/>
      <c r="M138" s="61" t="str">
        <f ca="1">WORLDCUP!AA109</f>
        <v>Bélgica</v>
      </c>
      <c r="N138" s="25"/>
      <c r="O138" s="25"/>
      <c r="P138" s="25"/>
      <c r="Q138" s="25"/>
      <c r="R138" s="116"/>
      <c r="S138" s="80" t="s">
        <v>110</v>
      </c>
      <c r="T138" s="79">
        <f t="shared" ca="1" si="178"/>
        <v>2</v>
      </c>
      <c r="U138" s="70"/>
      <c r="V138" s="80" t="s">
        <v>110</v>
      </c>
      <c r="W138" s="79">
        <f t="shared" ca="1" si="179"/>
        <v>2</v>
      </c>
      <c r="X138" s="70"/>
      <c r="Y138" s="80" t="s">
        <v>110</v>
      </c>
      <c r="Z138" s="79">
        <f t="shared" ca="1" si="180"/>
        <v>2</v>
      </c>
      <c r="AA138" s="70"/>
      <c r="AB138" s="80" t="s">
        <v>110</v>
      </c>
      <c r="AC138" s="79">
        <f t="shared" ca="1" si="181"/>
        <v>2</v>
      </c>
      <c r="AD138" s="70"/>
      <c r="AE138" s="80" t="s">
        <v>110</v>
      </c>
      <c r="AF138" s="79">
        <f t="shared" ca="1" si="182"/>
        <v>2</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851"/>
      <c r="K139" s="62" t="str">
        <f>Idiomas!$D$198&amp;"-"&amp;ROWS($L$130:L139)</f>
        <v>Dieciseisavofinalista-10</v>
      </c>
      <c r="L139" s="59"/>
      <c r="M139" s="61" t="str">
        <f ca="1">WORLDCUP!AA110</f>
        <v>Estados Unidos</v>
      </c>
      <c r="N139" s="25"/>
      <c r="O139" s="25"/>
      <c r="P139" s="25"/>
      <c r="Q139" s="25"/>
      <c r="R139" s="116"/>
      <c r="S139" s="80" t="s">
        <v>497</v>
      </c>
      <c r="T139" s="79">
        <f t="shared" ca="1" si="178"/>
        <v>2</v>
      </c>
      <c r="U139" s="70"/>
      <c r="V139" s="80" t="s">
        <v>497</v>
      </c>
      <c r="W139" s="79">
        <f t="shared" ca="1" si="179"/>
        <v>2</v>
      </c>
      <c r="X139" s="70"/>
      <c r="Y139" s="80" t="s">
        <v>497</v>
      </c>
      <c r="Z139" s="79">
        <f t="shared" ca="1" si="180"/>
        <v>2</v>
      </c>
      <c r="AA139" s="70"/>
      <c r="AB139" s="80" t="s">
        <v>497</v>
      </c>
      <c r="AC139" s="79">
        <f t="shared" ca="1" si="181"/>
        <v>2</v>
      </c>
      <c r="AD139" s="70"/>
      <c r="AE139" s="80" t="s">
        <v>497</v>
      </c>
      <c r="AF139" s="79">
        <f t="shared" ca="1" si="182"/>
        <v>2</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851"/>
      <c r="K140" s="62" t="str">
        <f>Idiomas!$D$198&amp;"-"&amp;ROWS($L$130:L140)</f>
        <v>Dieciseisavofinalista-11</v>
      </c>
      <c r="L140" s="59"/>
      <c r="M140" s="61" t="str">
        <f ca="1">WORLDCUP!AA111</f>
        <v>España</v>
      </c>
      <c r="N140" s="25"/>
      <c r="O140" s="25"/>
      <c r="P140" s="25"/>
      <c r="Q140" s="25"/>
      <c r="R140" s="116"/>
      <c r="S140" s="80" t="s">
        <v>38</v>
      </c>
      <c r="T140" s="79">
        <f t="shared" ca="1" si="178"/>
        <v>2</v>
      </c>
      <c r="U140" s="70"/>
      <c r="V140" s="80" t="s">
        <v>38</v>
      </c>
      <c r="W140" s="79">
        <f t="shared" ca="1" si="179"/>
        <v>2</v>
      </c>
      <c r="X140" s="70"/>
      <c r="Y140" s="80" t="s">
        <v>38</v>
      </c>
      <c r="Z140" s="79">
        <f t="shared" ca="1" si="180"/>
        <v>2</v>
      </c>
      <c r="AA140" s="70"/>
      <c r="AB140" s="80" t="s">
        <v>38</v>
      </c>
      <c r="AC140" s="79">
        <f t="shared" ca="1" si="181"/>
        <v>2</v>
      </c>
      <c r="AD140" s="70"/>
      <c r="AE140" s="80" t="s">
        <v>38</v>
      </c>
      <c r="AF140" s="79">
        <f t="shared" ca="1" si="182"/>
        <v>2</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851"/>
      <c r="K141" s="62" t="str">
        <f>Idiomas!$D$198&amp;"-"&amp;ROWS($L$130:L141)</f>
        <v>Dieciseisavofinalista-12</v>
      </c>
      <c r="L141" s="59"/>
      <c r="M141" s="61" t="str">
        <f ca="1">WORLDCUP!AA112</f>
        <v>Portugal</v>
      </c>
      <c r="N141" s="25"/>
      <c r="O141" s="25"/>
      <c r="P141" s="25"/>
      <c r="Q141" s="25"/>
      <c r="R141" s="116"/>
      <c r="S141" s="80" t="s">
        <v>79</v>
      </c>
      <c r="T141" s="79">
        <f t="shared" ca="1" si="178"/>
        <v>2</v>
      </c>
      <c r="U141" s="70"/>
      <c r="V141" s="80" t="s">
        <v>79</v>
      </c>
      <c r="W141" s="79">
        <f t="shared" ca="1" si="179"/>
        <v>2</v>
      </c>
      <c r="X141" s="70"/>
      <c r="Y141" s="80" t="s">
        <v>79</v>
      </c>
      <c r="Z141" s="79">
        <f t="shared" ca="1" si="180"/>
        <v>2</v>
      </c>
      <c r="AA141" s="70"/>
      <c r="AB141" s="80" t="s">
        <v>79</v>
      </c>
      <c r="AC141" s="79">
        <f t="shared" ca="1" si="181"/>
        <v>2</v>
      </c>
      <c r="AD141" s="70"/>
      <c r="AE141" s="80" t="s">
        <v>79</v>
      </c>
      <c r="AF141" s="79">
        <f t="shared" ca="1" si="182"/>
        <v>2</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851"/>
      <c r="K142" s="62" t="str">
        <f>Idiomas!$D$198&amp;"-"&amp;ROWS($L$130:L142)</f>
        <v>Dieciseisavofinalista-13</v>
      </c>
      <c r="L142" s="59"/>
      <c r="M142" s="61" t="str">
        <f ca="1">WORLDCUP!AA113</f>
        <v>Suiza</v>
      </c>
      <c r="N142" s="25"/>
      <c r="O142" s="25"/>
      <c r="P142" s="25"/>
      <c r="Q142" s="25"/>
      <c r="R142" s="116"/>
      <c r="S142" s="80" t="s">
        <v>75</v>
      </c>
      <c r="T142" s="79">
        <f t="shared" ca="1" si="178"/>
        <v>2</v>
      </c>
      <c r="U142" s="70"/>
      <c r="V142" s="80" t="s">
        <v>75</v>
      </c>
      <c r="W142" s="79">
        <f t="shared" ca="1" si="179"/>
        <v>2</v>
      </c>
      <c r="X142" s="70"/>
      <c r="Y142" s="80" t="s">
        <v>75</v>
      </c>
      <c r="Z142" s="79">
        <f t="shared" ca="1" si="180"/>
        <v>2</v>
      </c>
      <c r="AA142" s="70"/>
      <c r="AB142" s="80" t="s">
        <v>75</v>
      </c>
      <c r="AC142" s="79">
        <f t="shared" ca="1" si="181"/>
        <v>2</v>
      </c>
      <c r="AD142" s="70"/>
      <c r="AE142" s="80" t="s">
        <v>75</v>
      </c>
      <c r="AF142" s="79">
        <f t="shared" ca="1" si="182"/>
        <v>2</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851"/>
      <c r="K143" s="62" t="str">
        <f>Idiomas!$D$198&amp;"-"&amp;ROWS($L$130:L143)</f>
        <v>Dieciseisavofinalista-14</v>
      </c>
      <c r="L143" s="59"/>
      <c r="M143" s="61" t="str">
        <f ca="1">WORLDCUP!AA114</f>
        <v>Australia</v>
      </c>
      <c r="N143" s="25"/>
      <c r="O143" s="25"/>
      <c r="P143" s="25"/>
      <c r="Q143" s="25"/>
      <c r="R143" s="116"/>
      <c r="S143" s="80" t="s">
        <v>1257</v>
      </c>
      <c r="T143" s="79">
        <f t="shared" ca="1" si="178"/>
        <v>2</v>
      </c>
      <c r="U143" s="70"/>
      <c r="V143" s="80" t="s">
        <v>1257</v>
      </c>
      <c r="W143" s="79">
        <f t="shared" ca="1" si="179"/>
        <v>2</v>
      </c>
      <c r="X143" s="70"/>
      <c r="Y143" s="80" t="s">
        <v>1257</v>
      </c>
      <c r="Z143" s="79">
        <f t="shared" ca="1" si="180"/>
        <v>2</v>
      </c>
      <c r="AA143" s="70"/>
      <c r="AB143" s="80" t="s">
        <v>1257</v>
      </c>
      <c r="AC143" s="79">
        <f t="shared" ca="1" si="181"/>
        <v>2</v>
      </c>
      <c r="AD143" s="70"/>
      <c r="AE143" s="80" t="s">
        <v>1257</v>
      </c>
      <c r="AF143" s="79">
        <f t="shared" ca="1" si="182"/>
        <v>2</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851"/>
      <c r="K144" s="62" t="str">
        <f>Idiomas!$D$198&amp;"-"&amp;ROWS($L$130:L144)</f>
        <v>Dieciseisavofinalista-15</v>
      </c>
      <c r="L144" s="59"/>
      <c r="M144" s="61" t="str">
        <f ca="1">WORLDCUP!AA115</f>
        <v>Argentina</v>
      </c>
      <c r="N144" s="25"/>
      <c r="O144" s="25"/>
      <c r="P144" s="25"/>
      <c r="Q144" s="25"/>
      <c r="R144" s="116"/>
      <c r="S144" s="80" t="s">
        <v>1256</v>
      </c>
      <c r="T144" s="79">
        <f t="shared" ca="1" si="178"/>
        <v>2</v>
      </c>
      <c r="U144" s="70"/>
      <c r="V144" s="80" t="s">
        <v>1256</v>
      </c>
      <c r="W144" s="79">
        <f t="shared" ca="1" si="179"/>
        <v>2</v>
      </c>
      <c r="X144" s="70"/>
      <c r="Y144" s="80" t="s">
        <v>1256</v>
      </c>
      <c r="Z144" s="79">
        <f t="shared" ca="1" si="180"/>
        <v>2</v>
      </c>
      <c r="AA144" s="70"/>
      <c r="AB144" s="80" t="s">
        <v>1256</v>
      </c>
      <c r="AC144" s="79">
        <f t="shared" ca="1" si="181"/>
        <v>2</v>
      </c>
      <c r="AD144" s="70"/>
      <c r="AE144" s="80" t="s">
        <v>1256</v>
      </c>
      <c r="AF144" s="79">
        <f t="shared" ca="1" si="182"/>
        <v>2</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851"/>
      <c r="K145" s="62" t="str">
        <f>Idiomas!$D$198&amp;"-"&amp;ROWS($L$130:L145)</f>
        <v>Dieciseisavofinalista-16</v>
      </c>
      <c r="L145" s="59"/>
      <c r="M145" s="61" t="str">
        <f ca="1">WORLDCUP!AA116</f>
        <v>Colombia</v>
      </c>
      <c r="N145" s="25"/>
      <c r="O145" s="25"/>
      <c r="P145" s="25"/>
      <c r="Q145" s="25"/>
      <c r="R145" s="116"/>
      <c r="S145" s="80" t="s">
        <v>1320</v>
      </c>
      <c r="T145" s="79">
        <f t="shared" ca="1" si="178"/>
        <v>2</v>
      </c>
      <c r="U145" s="70"/>
      <c r="V145" s="80" t="s">
        <v>1320</v>
      </c>
      <c r="W145" s="79">
        <f t="shared" ca="1" si="179"/>
        <v>2</v>
      </c>
      <c r="X145" s="70"/>
      <c r="Y145" s="80" t="s">
        <v>1320</v>
      </c>
      <c r="Z145" s="79">
        <f t="shared" ca="1" si="180"/>
        <v>2</v>
      </c>
      <c r="AA145" s="70"/>
      <c r="AB145" s="80" t="s">
        <v>1320</v>
      </c>
      <c r="AC145" s="79">
        <f t="shared" ca="1" si="181"/>
        <v>2</v>
      </c>
      <c r="AD145" s="70"/>
      <c r="AE145" s="80" t="s">
        <v>1320</v>
      </c>
      <c r="AF145" s="79">
        <f t="shared" ca="1" si="182"/>
        <v>2</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851"/>
      <c r="K146" s="62" t="str">
        <f>Idiomas!$D$198&amp;"-"&amp;ROWS($L$130:L146)</f>
        <v>Dieciseisavofinalista-17</v>
      </c>
      <c r="L146" s="59"/>
      <c r="M146" s="61" t="str">
        <f ca="1">WORLDCUP!AF101</f>
        <v>Canadá</v>
      </c>
      <c r="N146" s="25"/>
      <c r="O146" s="25"/>
      <c r="P146" s="25"/>
      <c r="Q146" s="25"/>
      <c r="R146" s="116"/>
      <c r="S146" s="80" t="s">
        <v>1259</v>
      </c>
      <c r="T146" s="79">
        <f t="shared" ca="1" si="178"/>
        <v>2</v>
      </c>
      <c r="U146" s="70"/>
      <c r="V146" s="80" t="s">
        <v>1259</v>
      </c>
      <c r="W146" s="79">
        <f t="shared" ca="1" si="179"/>
        <v>2</v>
      </c>
      <c r="X146" s="70"/>
      <c r="Y146" s="80" t="s">
        <v>1259</v>
      </c>
      <c r="Z146" s="79">
        <f t="shared" ca="1" si="180"/>
        <v>2</v>
      </c>
      <c r="AA146" s="70"/>
      <c r="AB146" s="80" t="s">
        <v>1259</v>
      </c>
      <c r="AC146" s="79">
        <f t="shared" ca="1" si="181"/>
        <v>2</v>
      </c>
      <c r="AD146" s="70"/>
      <c r="AE146" s="80" t="s">
        <v>1259</v>
      </c>
      <c r="AF146" s="79">
        <f t="shared" ca="1" si="182"/>
        <v>2</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851"/>
      <c r="K147" s="62" t="str">
        <f>Idiomas!$D$198&amp;"-"&amp;ROWS($L$130:L147)</f>
        <v>Dieciseisavofinalista-18</v>
      </c>
      <c r="L147" s="59"/>
      <c r="M147" s="61" t="str">
        <f ca="1">WORLDCUP!AF102</f>
        <v>Japón</v>
      </c>
      <c r="N147" s="25"/>
      <c r="O147" s="25"/>
      <c r="P147" s="25"/>
      <c r="Q147" s="25"/>
      <c r="R147" s="116"/>
      <c r="S147" s="80" t="s">
        <v>1263</v>
      </c>
      <c r="T147" s="79">
        <f t="shared" ca="1" si="178"/>
        <v>2</v>
      </c>
      <c r="U147" s="70"/>
      <c r="V147" s="80" t="s">
        <v>1263</v>
      </c>
      <c r="W147" s="79">
        <f t="shared" ca="1" si="179"/>
        <v>2</v>
      </c>
      <c r="X147" s="70"/>
      <c r="Y147" s="80" t="s">
        <v>1263</v>
      </c>
      <c r="Z147" s="79">
        <f t="shared" ca="1" si="180"/>
        <v>2</v>
      </c>
      <c r="AA147" s="70"/>
      <c r="AB147" s="80" t="s">
        <v>1263</v>
      </c>
      <c r="AC147" s="79">
        <f t="shared" ca="1" si="181"/>
        <v>2</v>
      </c>
      <c r="AD147" s="70"/>
      <c r="AE147" s="80" t="s">
        <v>1263</v>
      </c>
      <c r="AF147" s="79">
        <f t="shared" ca="1" si="182"/>
        <v>2</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851"/>
      <c r="K148" s="62" t="str">
        <f>Idiomas!$D$198&amp;"-"&amp;ROWS($L$130:L148)</f>
        <v>Dieciseisavofinalista-19</v>
      </c>
      <c r="L148" s="59"/>
      <c r="M148" s="61" t="str">
        <f ca="1">WORLDCUP!AF103</f>
        <v>Paraguay</v>
      </c>
      <c r="N148" s="25"/>
      <c r="O148" s="25"/>
      <c r="P148" s="25"/>
      <c r="Q148" s="25"/>
      <c r="R148" s="116"/>
      <c r="S148" s="80" t="s">
        <v>1319</v>
      </c>
      <c r="T148" s="79">
        <f t="shared" ca="1" si="178"/>
        <v>2</v>
      </c>
      <c r="U148" s="70"/>
      <c r="V148" s="80" t="s">
        <v>1319</v>
      </c>
      <c r="W148" s="79">
        <f t="shared" ca="1" si="179"/>
        <v>2</v>
      </c>
      <c r="X148" s="70"/>
      <c r="Y148" s="80" t="s">
        <v>1319</v>
      </c>
      <c r="Z148" s="79">
        <f t="shared" ca="1" si="180"/>
        <v>2</v>
      </c>
      <c r="AA148" s="70"/>
      <c r="AB148" s="80" t="s">
        <v>1319</v>
      </c>
      <c r="AC148" s="79">
        <f t="shared" ca="1" si="181"/>
        <v>2</v>
      </c>
      <c r="AD148" s="70"/>
      <c r="AE148" s="80" t="s">
        <v>1319</v>
      </c>
      <c r="AF148" s="79">
        <f t="shared" ca="1" si="182"/>
        <v>2</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851"/>
      <c r="K149" s="62" t="str">
        <f>Idiomas!$D$198&amp;"-"&amp;ROWS($L$130:L149)</f>
        <v>Dieciseisavofinalista-20</v>
      </c>
      <c r="L149" s="59"/>
      <c r="M149" s="61" t="str">
        <f ca="1">WORLDCUP!AF104</f>
        <v>Marruecos</v>
      </c>
      <c r="N149" s="25"/>
      <c r="O149" s="25"/>
      <c r="P149" s="25"/>
      <c r="Q149" s="25"/>
      <c r="R149" s="116"/>
      <c r="S149" s="80" t="s">
        <v>1321</v>
      </c>
      <c r="T149" s="79">
        <f t="shared" ca="1" si="178"/>
        <v>2</v>
      </c>
      <c r="U149" s="70"/>
      <c r="V149" s="80" t="s">
        <v>1321</v>
      </c>
      <c r="W149" s="79">
        <f t="shared" ca="1" si="179"/>
        <v>2</v>
      </c>
      <c r="X149" s="70"/>
      <c r="Y149" s="80" t="s">
        <v>1321</v>
      </c>
      <c r="Z149" s="79">
        <f t="shared" ca="1" si="180"/>
        <v>2</v>
      </c>
      <c r="AA149" s="70"/>
      <c r="AB149" s="80" t="s">
        <v>1321</v>
      </c>
      <c r="AC149" s="79">
        <f t="shared" ca="1" si="181"/>
        <v>2</v>
      </c>
      <c r="AD149" s="70"/>
      <c r="AE149" s="80" t="s">
        <v>1321</v>
      </c>
      <c r="AF149" s="79">
        <f t="shared" ca="1" si="182"/>
        <v>2</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851"/>
      <c r="K150" s="62" t="str">
        <f>Idiomas!$D$198&amp;"-"&amp;ROWS($L$130:L150)</f>
        <v>Dieciseisavofinalista-21</v>
      </c>
      <c r="L150" s="59"/>
      <c r="M150" s="61" t="str">
        <f ca="1">WORLDCUP!AF105</f>
        <v>Noruega</v>
      </c>
      <c r="N150" s="25"/>
      <c r="O150" s="25"/>
      <c r="P150" s="25"/>
      <c r="Q150" s="25"/>
      <c r="R150" s="116"/>
      <c r="S150" s="80" t="s">
        <v>135</v>
      </c>
      <c r="T150" s="79">
        <f t="shared" ca="1" si="178"/>
        <v>2</v>
      </c>
      <c r="U150" s="70"/>
      <c r="V150" s="80" t="s">
        <v>135</v>
      </c>
      <c r="W150" s="79">
        <f t="shared" ca="1" si="179"/>
        <v>2</v>
      </c>
      <c r="X150" s="70"/>
      <c r="Y150" s="80" t="s">
        <v>135</v>
      </c>
      <c r="Z150" s="79">
        <f t="shared" ca="1" si="180"/>
        <v>2</v>
      </c>
      <c r="AA150" s="70"/>
      <c r="AB150" s="80" t="s">
        <v>135</v>
      </c>
      <c r="AC150" s="79">
        <f t="shared" ca="1" si="181"/>
        <v>2</v>
      </c>
      <c r="AD150" s="70"/>
      <c r="AE150" s="80" t="s">
        <v>135</v>
      </c>
      <c r="AF150" s="79">
        <f t="shared" ca="1" si="182"/>
        <v>2</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851"/>
      <c r="K151" s="62" t="str">
        <f>Idiomas!$D$198&amp;"-"&amp;ROWS($L$130:L151)</f>
        <v>Dieciseisavofinalista-22</v>
      </c>
      <c r="L151" s="59"/>
      <c r="M151" s="61" t="str">
        <f ca="1">WORLDCUP!AF106</f>
        <v>Suecia</v>
      </c>
      <c r="N151" s="25"/>
      <c r="O151" s="25"/>
      <c r="P151" s="25"/>
      <c r="Q151" s="25"/>
      <c r="R151" s="116"/>
      <c r="S151" s="80" t="s">
        <v>1833</v>
      </c>
      <c r="T151" s="79">
        <f t="shared" ca="1" si="178"/>
        <v>2</v>
      </c>
      <c r="U151" s="70"/>
      <c r="V151" s="80" t="s">
        <v>1833</v>
      </c>
      <c r="W151" s="79">
        <f t="shared" ca="1" si="179"/>
        <v>2</v>
      </c>
      <c r="X151" s="70"/>
      <c r="Y151" s="80" t="s">
        <v>1833</v>
      </c>
      <c r="Z151" s="79">
        <f t="shared" ca="1" si="180"/>
        <v>2</v>
      </c>
      <c r="AA151" s="70"/>
      <c r="AB151" s="80" t="s">
        <v>1833</v>
      </c>
      <c r="AC151" s="79">
        <f t="shared" ca="1" si="181"/>
        <v>2</v>
      </c>
      <c r="AD151" s="70"/>
      <c r="AE151" s="80" t="s">
        <v>1833</v>
      </c>
      <c r="AF151" s="79">
        <f t="shared" ca="1" si="182"/>
        <v>2</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851"/>
      <c r="K152" s="62" t="str">
        <f>Idiomas!$D$198&amp;"-"&amp;ROWS($L$130:L152)</f>
        <v>Dieciseisavofinalista-23</v>
      </c>
      <c r="L152" s="59"/>
      <c r="M152" s="61" t="str">
        <f ca="1">WORLDCUP!AF107</f>
        <v>Ecuador</v>
      </c>
      <c r="N152" s="25"/>
      <c r="O152" s="25"/>
      <c r="P152" s="25"/>
      <c r="Q152" s="25"/>
      <c r="R152" s="116"/>
      <c r="S152" s="80" t="s">
        <v>1261</v>
      </c>
      <c r="T152" s="79">
        <f t="shared" ca="1" si="178"/>
        <v>2</v>
      </c>
      <c r="U152" s="70"/>
      <c r="V152" s="80" t="s">
        <v>1261</v>
      </c>
      <c r="W152" s="79">
        <f t="shared" ca="1" si="179"/>
        <v>2</v>
      </c>
      <c r="X152" s="70"/>
      <c r="Y152" s="80" t="s">
        <v>1261</v>
      </c>
      <c r="Z152" s="79">
        <f t="shared" ca="1" si="180"/>
        <v>2</v>
      </c>
      <c r="AA152" s="70"/>
      <c r="AB152" s="80" t="s">
        <v>1261</v>
      </c>
      <c r="AC152" s="79">
        <f t="shared" ca="1" si="181"/>
        <v>2</v>
      </c>
      <c r="AD152" s="70"/>
      <c r="AE152" s="80" t="s">
        <v>1261</v>
      </c>
      <c r="AF152" s="79">
        <f t="shared" ca="1" si="182"/>
        <v>2</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851"/>
      <c r="K153" s="62" t="str">
        <f>Idiomas!$D$198&amp;"-"&amp;ROWS($L$130:L153)</f>
        <v>Dieciseisavofinalista-24</v>
      </c>
      <c r="L153" s="59"/>
      <c r="M153" s="61" t="str">
        <f ca="1">WORLDCUP!AF108</f>
        <v>RD Congo</v>
      </c>
      <c r="N153" s="25"/>
      <c r="O153" s="25"/>
      <c r="P153" s="25"/>
      <c r="Q153" s="25"/>
      <c r="R153" s="116"/>
      <c r="S153" s="80" t="s">
        <v>1839</v>
      </c>
      <c r="T153" s="79">
        <f t="shared" ca="1" si="178"/>
        <v>2</v>
      </c>
      <c r="U153" s="70"/>
      <c r="V153" s="80" t="s">
        <v>1839</v>
      </c>
      <c r="W153" s="79">
        <f t="shared" ca="1" si="179"/>
        <v>2</v>
      </c>
      <c r="X153" s="70"/>
      <c r="Y153" s="80" t="s">
        <v>1839</v>
      </c>
      <c r="Z153" s="79">
        <f t="shared" ca="1" si="180"/>
        <v>2</v>
      </c>
      <c r="AA153" s="70"/>
      <c r="AB153" s="80" t="s">
        <v>1839</v>
      </c>
      <c r="AC153" s="79">
        <f t="shared" ca="1" si="181"/>
        <v>2</v>
      </c>
      <c r="AD153" s="70"/>
      <c r="AE153" s="80" t="s">
        <v>1839</v>
      </c>
      <c r="AF153" s="79">
        <f t="shared" ca="1" si="182"/>
        <v>2</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851"/>
      <c r="K154" s="62" t="str">
        <f>Idiomas!$D$198&amp;"-"&amp;ROWS($L$130:L154)</f>
        <v>Dieciseisavofinalista-25</v>
      </c>
      <c r="L154" s="59"/>
      <c r="M154" s="61" t="str">
        <f ca="1">WORLDCUP!AF109</f>
        <v>Senegal</v>
      </c>
      <c r="N154" s="25"/>
      <c r="O154" s="25"/>
      <c r="P154" s="25"/>
      <c r="Q154" s="25"/>
      <c r="R154" s="116"/>
      <c r="S154" s="80" t="s">
        <v>1634</v>
      </c>
      <c r="T154" s="79">
        <f t="shared" ca="1" si="178"/>
        <v>2</v>
      </c>
      <c r="U154" s="70"/>
      <c r="V154" s="80" t="s">
        <v>1634</v>
      </c>
      <c r="W154" s="79">
        <f t="shared" ca="1" si="179"/>
        <v>2</v>
      </c>
      <c r="X154" s="70"/>
      <c r="Y154" s="80" t="s">
        <v>1634</v>
      </c>
      <c r="Z154" s="79">
        <f t="shared" ca="1" si="180"/>
        <v>2</v>
      </c>
      <c r="AA154" s="70"/>
      <c r="AB154" s="80" t="s">
        <v>1634</v>
      </c>
      <c r="AC154" s="79">
        <f t="shared" ca="1" si="181"/>
        <v>2</v>
      </c>
      <c r="AD154" s="70"/>
      <c r="AE154" s="80" t="s">
        <v>1634</v>
      </c>
      <c r="AF154" s="79">
        <f t="shared" ca="1" si="182"/>
        <v>2</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851"/>
      <c r="K155" s="62" t="str">
        <f>Idiomas!$D$198&amp;"-"&amp;ROWS($L$130:L155)</f>
        <v>Dieciseisavofinalista-26</v>
      </c>
      <c r="L155" s="59"/>
      <c r="M155" s="61" t="str">
        <f ca="1">WORLDCUP!AF110</f>
        <v>Bosnia y Herzegovina</v>
      </c>
      <c r="N155" s="25"/>
      <c r="O155" s="25"/>
      <c r="P155" s="25"/>
      <c r="Q155" s="25"/>
      <c r="R155" s="116"/>
      <c r="S155" s="80" t="s">
        <v>1841</v>
      </c>
      <c r="T155" s="79">
        <f t="shared" ca="1" si="178"/>
        <v>2</v>
      </c>
      <c r="U155" s="70"/>
      <c r="V155" s="80" t="s">
        <v>1841</v>
      </c>
      <c r="W155" s="79">
        <f t="shared" ca="1" si="179"/>
        <v>2</v>
      </c>
      <c r="X155" s="70"/>
      <c r="Y155" s="80" t="s">
        <v>1841</v>
      </c>
      <c r="Z155" s="79">
        <f t="shared" ca="1" si="180"/>
        <v>2</v>
      </c>
      <c r="AA155" s="70"/>
      <c r="AB155" s="80" t="s">
        <v>1841</v>
      </c>
      <c r="AC155" s="79">
        <f t="shared" ca="1" si="181"/>
        <v>2</v>
      </c>
      <c r="AD155" s="70"/>
      <c r="AE155" s="80" t="s">
        <v>1841</v>
      </c>
      <c r="AF155" s="79">
        <f t="shared" ca="1" si="182"/>
        <v>2</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851"/>
      <c r="K156" s="62" t="str">
        <f>Idiomas!$D$198&amp;"-"&amp;ROWS($L$130:L156)</f>
        <v>Dieciseisavofinalista-27</v>
      </c>
      <c r="L156" s="59"/>
      <c r="M156" s="61" t="str">
        <f ca="1">WORLDCUP!AF111</f>
        <v>Austria</v>
      </c>
      <c r="N156" s="25"/>
      <c r="O156" s="25"/>
      <c r="P156" s="25"/>
      <c r="Q156" s="25"/>
      <c r="R156" s="116"/>
      <c r="S156" s="80" t="s">
        <v>80</v>
      </c>
      <c r="T156" s="79">
        <f t="shared" ca="1" si="178"/>
        <v>2</v>
      </c>
      <c r="U156" s="70"/>
      <c r="V156" s="80" t="s">
        <v>80</v>
      </c>
      <c r="W156" s="79">
        <f t="shared" ca="1" si="179"/>
        <v>2</v>
      </c>
      <c r="X156" s="70"/>
      <c r="Y156" s="80" t="s">
        <v>80</v>
      </c>
      <c r="Z156" s="79">
        <f t="shared" ca="1" si="180"/>
        <v>2</v>
      </c>
      <c r="AA156" s="70"/>
      <c r="AB156" s="80" t="s">
        <v>80</v>
      </c>
      <c r="AC156" s="79">
        <f t="shared" ca="1" si="181"/>
        <v>2</v>
      </c>
      <c r="AD156" s="70"/>
      <c r="AE156" s="80" t="s">
        <v>80</v>
      </c>
      <c r="AF156" s="79">
        <f t="shared" ca="1" si="182"/>
        <v>2</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851"/>
      <c r="K157" s="62" t="str">
        <f>Idiomas!$D$198&amp;"-"&amp;ROWS($L$130:L157)</f>
        <v>Dieciseisavofinalista-28</v>
      </c>
      <c r="L157" s="59"/>
      <c r="M157" s="61" t="str">
        <f ca="1">WORLDCUP!AF112</f>
        <v>Croacia</v>
      </c>
      <c r="N157" s="25"/>
      <c r="O157" s="25"/>
      <c r="P157" s="25"/>
      <c r="Q157" s="25"/>
      <c r="R157" s="116"/>
      <c r="S157" s="80" t="s">
        <v>78</v>
      </c>
      <c r="T157" s="79">
        <f t="shared" ca="1" si="178"/>
        <v>2</v>
      </c>
      <c r="U157" s="70"/>
      <c r="V157" s="80" t="s">
        <v>78</v>
      </c>
      <c r="W157" s="79">
        <f t="shared" ca="1" si="179"/>
        <v>2</v>
      </c>
      <c r="X157" s="70"/>
      <c r="Y157" s="80" t="s">
        <v>78</v>
      </c>
      <c r="Z157" s="79">
        <f t="shared" ca="1" si="180"/>
        <v>2</v>
      </c>
      <c r="AA157" s="70"/>
      <c r="AB157" s="80" t="s">
        <v>78</v>
      </c>
      <c r="AC157" s="79">
        <f t="shared" ca="1" si="181"/>
        <v>2</v>
      </c>
      <c r="AD157" s="70"/>
      <c r="AE157" s="80" t="s">
        <v>78</v>
      </c>
      <c r="AF157" s="79">
        <f t="shared" ca="1" si="182"/>
        <v>2</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851"/>
      <c r="K158" s="62" t="str">
        <f>Idiomas!$D$198&amp;"-"&amp;ROWS($L$130:L158)</f>
        <v>Dieciseisavofinalista-29</v>
      </c>
      <c r="L158" s="59"/>
      <c r="M158" s="61" t="str">
        <f ca="1">WORLDCUP!AF113</f>
        <v>Argelia</v>
      </c>
      <c r="N158" s="25"/>
      <c r="O158" s="25"/>
      <c r="P158" s="25"/>
      <c r="Q158" s="25"/>
      <c r="R158" s="116"/>
      <c r="S158" s="80" t="s">
        <v>1558</v>
      </c>
      <c r="T158" s="79">
        <f t="shared" ca="1" si="178"/>
        <v>2</v>
      </c>
      <c r="U158" s="70"/>
      <c r="V158" s="80" t="s">
        <v>1558</v>
      </c>
      <c r="W158" s="79">
        <f t="shared" ca="1" si="179"/>
        <v>2</v>
      </c>
      <c r="X158" s="70"/>
      <c r="Y158" s="80" t="s">
        <v>1558</v>
      </c>
      <c r="Z158" s="79">
        <f t="shared" ca="1" si="180"/>
        <v>2</v>
      </c>
      <c r="AA158" s="70"/>
      <c r="AB158" s="80" t="s">
        <v>1558</v>
      </c>
      <c r="AC158" s="79">
        <f t="shared" ca="1" si="181"/>
        <v>2</v>
      </c>
      <c r="AD158" s="70"/>
      <c r="AE158" s="80" t="s">
        <v>1558</v>
      </c>
      <c r="AF158" s="79">
        <f t="shared" ca="1" si="182"/>
        <v>2</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851"/>
      <c r="K159" s="62" t="str">
        <f>Idiomas!$D$198&amp;"-"&amp;ROWS($L$130:L159)</f>
        <v>Dieciseisavofinalista-30</v>
      </c>
      <c r="L159" s="59"/>
      <c r="M159" s="61" t="str">
        <f ca="1">WORLDCUP!AF114</f>
        <v>Egipto</v>
      </c>
      <c r="N159" s="25"/>
      <c r="O159" s="25"/>
      <c r="P159" s="25"/>
      <c r="Q159" s="25"/>
      <c r="R159" s="116"/>
      <c r="S159" s="80" t="s">
        <v>1550</v>
      </c>
      <c r="T159" s="79">
        <f t="shared" ca="1" si="178"/>
        <v>2</v>
      </c>
      <c r="U159" s="70"/>
      <c r="V159" s="80" t="s">
        <v>1550</v>
      </c>
      <c r="W159" s="79">
        <f t="shared" ca="1" si="179"/>
        <v>2</v>
      </c>
      <c r="X159" s="70"/>
      <c r="Y159" s="80" t="s">
        <v>1550</v>
      </c>
      <c r="Z159" s="79">
        <f t="shared" ca="1" si="180"/>
        <v>2</v>
      </c>
      <c r="AA159" s="70"/>
      <c r="AB159" s="80" t="s">
        <v>1550</v>
      </c>
      <c r="AC159" s="79">
        <f t="shared" ca="1" si="181"/>
        <v>2</v>
      </c>
      <c r="AD159" s="70"/>
      <c r="AE159" s="80" t="s">
        <v>1550</v>
      </c>
      <c r="AF159" s="79">
        <f t="shared" ca="1" si="182"/>
        <v>2</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851"/>
      <c r="K160" s="62" t="str">
        <f>Idiomas!$D$198&amp;"-"&amp;ROWS($L$130:L160)</f>
        <v>Dieciseisavofinalista-31</v>
      </c>
      <c r="L160" s="59"/>
      <c r="M160" s="61" t="str">
        <f ca="1">WORLDCUP!AF115</f>
        <v>Cabo Verde</v>
      </c>
      <c r="N160" s="25"/>
      <c r="O160" s="25"/>
      <c r="P160" s="25"/>
      <c r="Q160" s="25"/>
      <c r="R160" s="116"/>
      <c r="S160" s="80" t="s">
        <v>1552</v>
      </c>
      <c r="T160" s="79">
        <f t="shared" ca="1" si="178"/>
        <v>2</v>
      </c>
      <c r="U160" s="70"/>
      <c r="V160" s="80" t="s">
        <v>1552</v>
      </c>
      <c r="W160" s="79">
        <f t="shared" ca="1" si="179"/>
        <v>2</v>
      </c>
      <c r="X160" s="70"/>
      <c r="Y160" s="80" t="s">
        <v>1552</v>
      </c>
      <c r="Z160" s="79">
        <f t="shared" ca="1" si="180"/>
        <v>2</v>
      </c>
      <c r="AA160" s="70"/>
      <c r="AB160" s="80" t="s">
        <v>1552</v>
      </c>
      <c r="AC160" s="79">
        <f t="shared" ca="1" si="181"/>
        <v>2</v>
      </c>
      <c r="AD160" s="70"/>
      <c r="AE160" s="80" t="s">
        <v>1552</v>
      </c>
      <c r="AF160" s="79">
        <f t="shared" ca="1" si="182"/>
        <v>2</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851"/>
      <c r="K161" s="121" t="str">
        <f>Idiomas!$D$198&amp;"-"&amp;ROWS($L$130:L161)</f>
        <v>Dieciseisavofinalista-32</v>
      </c>
      <c r="L161" s="121"/>
      <c r="M161" s="122" t="str">
        <f ca="1">WORLDCUP!AF116</f>
        <v>Ghana</v>
      </c>
      <c r="N161" s="25"/>
      <c r="O161" s="25"/>
      <c r="P161" s="25"/>
      <c r="Q161" s="25"/>
      <c r="R161" s="116"/>
      <c r="S161" s="86" t="s">
        <v>1551</v>
      </c>
      <c r="T161" s="87">
        <f t="shared" ca="1" si="178"/>
        <v>2</v>
      </c>
      <c r="U161" s="70"/>
      <c r="V161" s="86" t="s">
        <v>1551</v>
      </c>
      <c r="W161" s="87">
        <f t="shared" ca="1" si="179"/>
        <v>2</v>
      </c>
      <c r="X161" s="70"/>
      <c r="Y161" s="86" t="s">
        <v>1551</v>
      </c>
      <c r="Z161" s="87">
        <f t="shared" ca="1" si="180"/>
        <v>2</v>
      </c>
      <c r="AA161" s="70"/>
      <c r="AB161" s="86" t="s">
        <v>1551</v>
      </c>
      <c r="AC161" s="87">
        <f t="shared" ca="1" si="181"/>
        <v>2</v>
      </c>
      <c r="AD161" s="70"/>
      <c r="AE161" s="86" t="s">
        <v>1551</v>
      </c>
      <c r="AF161" s="87">
        <f t="shared" ca="1" si="182"/>
        <v>2</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64</v>
      </c>
      <c r="U162" s="71"/>
      <c r="V162" s="90"/>
      <c r="W162" s="77">
        <f t="shared" ref="W162" ca="1" si="184">SUM(W130:W161)</f>
        <v>64</v>
      </c>
      <c r="X162" s="71"/>
      <c r="Y162" s="90"/>
      <c r="Z162" s="77">
        <f t="shared" ref="Z162" ca="1" si="185">SUM(Z130:Z161)</f>
        <v>64</v>
      </c>
      <c r="AA162" s="71"/>
      <c r="AB162" s="90"/>
      <c r="AC162" s="77">
        <f t="shared" ref="AC162" ca="1" si="186">SUM(AC130:AC161)</f>
        <v>64</v>
      </c>
      <c r="AD162" s="71"/>
      <c r="AE162" s="90"/>
      <c r="AF162" s="77">
        <f t="shared" ref="AF162" ca="1" si="187">SUM(AF130:AF161)</f>
        <v>64</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15">
        <f>SUM($D$16:$D$18)*I164</f>
        <v>9</v>
      </c>
      <c r="G164" s="415">
        <f ca="1">VLOOKUP(H164,Equipos!$Q$1:$R$25,2,0)</f>
        <v>20</v>
      </c>
      <c r="H164" s="454" t="str">
        <f>Idiomas!$D$260</f>
        <v>Dieciseisavos de final</v>
      </c>
      <c r="I164" s="49">
        <v>1</v>
      </c>
      <c r="J164" s="851" t="s">
        <v>483</v>
      </c>
      <c r="K164" s="59" t="str">
        <f ca="1">CONCATENATE(WORLDCUP!AA101,"-",WORLDCUP!AF101)</f>
        <v>Sudáfrica-Canadá</v>
      </c>
      <c r="L164" s="59">
        <f>IF(OR(WORLDCUP!AC101="",WORLDCUP!AD101=""),"PD",IF(WORLDCUP!AC101&gt;WORLDCUP!AD101,1,IF(WORLDCUP!AC101&lt;WORLDCUP!AD101,2,0)))</f>
        <v>2</v>
      </c>
      <c r="M164" s="61" t="str">
        <f>IF(L164="PD","-",N164&amp;"-"&amp;O164)</f>
        <v>0-1</v>
      </c>
      <c r="N164" s="25">
        <f>WORLDCUP!AC101</f>
        <v>0</v>
      </c>
      <c r="O164" s="25">
        <f>WORLDCUP!AD101</f>
        <v>1</v>
      </c>
      <c r="P164" s="25">
        <f>N164-O164</f>
        <v>-1</v>
      </c>
      <c r="Q164" s="25">
        <f>A164-B164</f>
        <v>1</v>
      </c>
      <c r="R164" s="116"/>
      <c r="S164" s="82" t="s">
        <v>1970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3</v>
      </c>
      <c r="U164" s="116"/>
      <c r="V164" s="82" t="s">
        <v>2002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3</v>
      </c>
      <c r="X164" s="116"/>
      <c r="Y164" s="82" t="s">
        <v>2030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
        <v>2002</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3</v>
      </c>
      <c r="AD164" s="116"/>
      <c r="AE164" s="82" t="s">
        <v>2063</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5</v>
      </c>
      <c r="AG164" s="116"/>
      <c r="AH164" s="116"/>
    </row>
    <row r="165" spans="1:34" x14ac:dyDescent="0.2">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15">
        <f t="shared" ref="F165:F179" si="192">SUM($D$16:$D$18)*I165</f>
        <v>9</v>
      </c>
      <c r="G165" s="415">
        <f ca="1">VLOOKUP(H165,Equipos!$Q$1:$R$25,2,0)</f>
        <v>20</v>
      </c>
      <c r="H165" s="454" t="str">
        <f>Idiomas!$D$260</f>
        <v>Dieciseisavos de final</v>
      </c>
      <c r="I165" s="49">
        <v>1</v>
      </c>
      <c r="J165" s="851"/>
      <c r="K165" s="62" t="str">
        <f ca="1">CONCATENATE(WORLDCUP!AA102,"-",WORLDCUP!AF102)</f>
        <v>Brasil-Japón</v>
      </c>
      <c r="L165" s="59">
        <f>IF(OR(WORLDCUP!AC102="",WORLDCUP!AD102=""),"PD",IF(WORLDCUP!AC102&gt;WORLDCUP!AD102,1,IF(WORLDCUP!AC102&lt;WORLDCUP!AD102,2,0)))</f>
        <v>1</v>
      </c>
      <c r="M165" s="61" t="str">
        <f t="shared" ref="M165:M179" si="193">IF(L165="PD","-",N165&amp;"-"&amp;O165)</f>
        <v>2-1</v>
      </c>
      <c r="N165" s="25">
        <f>WORLDCUP!AC102</f>
        <v>2</v>
      </c>
      <c r="O165" s="25">
        <f>WORLDCUP!AD102</f>
        <v>1</v>
      </c>
      <c r="P165" s="25">
        <f t="shared" ref="P165:P179" si="194">N165-O165</f>
        <v>1</v>
      </c>
      <c r="Q165" s="25">
        <f t="shared" ref="Q165:Q179" si="195">A165-B165</f>
        <v>-1</v>
      </c>
      <c r="R165" s="116"/>
      <c r="S165" s="82" t="s">
        <v>1971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9</v>
      </c>
      <c r="U165" s="116"/>
      <c r="V165" s="80" t="s">
        <v>2003</v>
      </c>
      <c r="W165" s="83">
        <f t="shared" ca="1" si="188"/>
        <v>0</v>
      </c>
      <c r="X165" s="116"/>
      <c r="Y165" s="80" t="s">
        <v>1971</v>
      </c>
      <c r="Z165" s="83">
        <f t="shared" ca="1" si="188"/>
        <v>9</v>
      </c>
      <c r="AA165" s="116"/>
      <c r="AB165" s="86" t="s">
        <v>2050</v>
      </c>
      <c r="AC165" s="83">
        <f t="shared" ca="1" si="188"/>
        <v>3</v>
      </c>
      <c r="AD165" s="116"/>
      <c r="AE165" s="80" t="s">
        <v>2050</v>
      </c>
      <c r="AF165" s="83">
        <f t="shared" ca="1" si="188"/>
        <v>3</v>
      </c>
      <c r="AG165" s="116"/>
      <c r="AH165" s="116"/>
    </row>
    <row r="166" spans="1:34" x14ac:dyDescent="0.2">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15">
        <f t="shared" si="192"/>
        <v>9</v>
      </c>
      <c r="G166" s="415">
        <f ca="1">VLOOKUP(H166,Equipos!$Q$1:$R$25,2,0)</f>
        <v>20</v>
      </c>
      <c r="H166" s="454" t="str">
        <f>Idiomas!$D$260</f>
        <v>Dieciseisavos de final</v>
      </c>
      <c r="I166" s="49">
        <v>1</v>
      </c>
      <c r="J166" s="851"/>
      <c r="K166" s="62" t="str">
        <f ca="1">CONCATENATE(WORLDCUP!AA103,"-",WORLDCUP!AF103)</f>
        <v>Alemania-Paraguay</v>
      </c>
      <c r="L166" s="59">
        <f>IF(OR(WORLDCUP!AC103="",WORLDCUP!AD103=""),"PD",IF(WORLDCUP!AC103&gt;WORLDCUP!AD103,1,IF(WORLDCUP!AC103&lt;WORLDCUP!AD103,2,0)))</f>
        <v>0</v>
      </c>
      <c r="M166" s="61" t="str">
        <f t="shared" si="193"/>
        <v>1-1</v>
      </c>
      <c r="N166" s="25">
        <f>WORLDCUP!AC103</f>
        <v>1</v>
      </c>
      <c r="O166" s="25">
        <f>WORLDCUP!AD103</f>
        <v>1</v>
      </c>
      <c r="P166" s="25">
        <f t="shared" si="194"/>
        <v>0</v>
      </c>
      <c r="Q166" s="25">
        <f t="shared" si="195"/>
        <v>0</v>
      </c>
      <c r="R166" s="116"/>
      <c r="S166" s="80" t="s">
        <v>1972</v>
      </c>
      <c r="T166" s="83">
        <f t="shared" ca="1" si="196"/>
        <v>0</v>
      </c>
      <c r="U166" s="116"/>
      <c r="V166" s="80" t="s">
        <v>2004</v>
      </c>
      <c r="W166" s="83">
        <f t="shared" ca="1" si="188"/>
        <v>0</v>
      </c>
      <c r="X166" s="116"/>
      <c r="Y166" s="80" t="s">
        <v>1972</v>
      </c>
      <c r="Z166" s="83">
        <f t="shared" ca="1" si="188"/>
        <v>0</v>
      </c>
      <c r="AA166" s="116"/>
      <c r="AB166" s="86" t="s">
        <v>1972</v>
      </c>
      <c r="AC166" s="83">
        <f t="shared" ca="1" si="188"/>
        <v>0</v>
      </c>
      <c r="AD166" s="116"/>
      <c r="AE166" s="80" t="s">
        <v>2064</v>
      </c>
      <c r="AF166" s="83">
        <f t="shared" ca="1" si="188"/>
        <v>0</v>
      </c>
      <c r="AG166" s="116"/>
      <c r="AH166" s="116"/>
    </row>
    <row r="167" spans="1:34" x14ac:dyDescent="0.2">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15">
        <f t="shared" si="192"/>
        <v>9</v>
      </c>
      <c r="G167" s="415">
        <f ca="1">VLOOKUP(H167,Equipos!$Q$1:$R$25,2,0)</f>
        <v>20</v>
      </c>
      <c r="H167" s="454" t="str">
        <f>Idiomas!$D$260</f>
        <v>Dieciseisavos de final</v>
      </c>
      <c r="I167" s="49">
        <v>1</v>
      </c>
      <c r="J167" s="851"/>
      <c r="K167" s="62" t="str">
        <f ca="1">CONCATENATE(WORLDCUP!AA104,"-",WORLDCUP!AF104)</f>
        <v>Países Bajos-Marruecos</v>
      </c>
      <c r="L167" s="59">
        <f>IF(OR(WORLDCUP!AC104="",WORLDCUP!AD104=""),"PD",IF(WORLDCUP!AC104&gt;WORLDCUP!AD104,1,IF(WORLDCUP!AC104&lt;WORLDCUP!AD104,2,0)))</f>
        <v>0</v>
      </c>
      <c r="M167" s="61" t="str">
        <f t="shared" si="193"/>
        <v>1-1</v>
      </c>
      <c r="N167" s="25">
        <f>WORLDCUP!AC104</f>
        <v>1</v>
      </c>
      <c r="O167" s="25">
        <f>WORLDCUP!AD104</f>
        <v>1</v>
      </c>
      <c r="P167" s="25">
        <f t="shared" si="194"/>
        <v>0</v>
      </c>
      <c r="Q167" s="25">
        <f t="shared" si="195"/>
        <v>0</v>
      </c>
      <c r="R167" s="116"/>
      <c r="S167" s="80" t="s">
        <v>1973</v>
      </c>
      <c r="T167" s="83">
        <f t="shared" ca="1" si="196"/>
        <v>0</v>
      </c>
      <c r="U167" s="116"/>
      <c r="V167" s="80" t="s">
        <v>2005</v>
      </c>
      <c r="W167" s="83">
        <f t="shared" ca="1" si="188"/>
        <v>9</v>
      </c>
      <c r="X167" s="116"/>
      <c r="Y167" s="80" t="s">
        <v>2031</v>
      </c>
      <c r="Z167" s="83">
        <f t="shared" ca="1" si="188"/>
        <v>0</v>
      </c>
      <c r="AA167" s="116"/>
      <c r="AB167" s="86" t="s">
        <v>2031</v>
      </c>
      <c r="AC167" s="83">
        <f t="shared" ca="1" si="188"/>
        <v>0</v>
      </c>
      <c r="AD167" s="116"/>
      <c r="AE167" s="80" t="s">
        <v>2031</v>
      </c>
      <c r="AF167" s="83">
        <f t="shared" ca="1" si="188"/>
        <v>0</v>
      </c>
      <c r="AG167" s="116"/>
      <c r="AH167" s="116"/>
    </row>
    <row r="168" spans="1:34" x14ac:dyDescent="0.2">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15">
        <f t="shared" si="192"/>
        <v>9</v>
      </c>
      <c r="G168" s="415">
        <f ca="1">VLOOKUP(H168,Equipos!$Q$1:$R$25,2,0)</f>
        <v>20</v>
      </c>
      <c r="H168" s="454" t="str">
        <f>Idiomas!$D$260</f>
        <v>Dieciseisavos de final</v>
      </c>
      <c r="I168" s="49">
        <v>1</v>
      </c>
      <c r="J168" s="851"/>
      <c r="K168" s="62" t="str">
        <f ca="1">CONCATENATE(WORLDCUP!AA105,"-",WORLDCUP!AF105)</f>
        <v>Costa de Marfil-Noruega</v>
      </c>
      <c r="L168" s="59">
        <f>IF(OR(WORLDCUP!AC105="",WORLDCUP!AD105=""),"PD",IF(WORLDCUP!AC105&gt;WORLDCUP!AD105,1,IF(WORLDCUP!AC105&lt;WORLDCUP!AD105,2,0)))</f>
        <v>2</v>
      </c>
      <c r="M168" s="61" t="str">
        <f t="shared" si="193"/>
        <v>1-2</v>
      </c>
      <c r="N168" s="25">
        <f>WORLDCUP!AC105</f>
        <v>1</v>
      </c>
      <c r="O168" s="25">
        <f>WORLDCUP!AD105</f>
        <v>2</v>
      </c>
      <c r="P168" s="25">
        <f t="shared" si="194"/>
        <v>-1</v>
      </c>
      <c r="Q168" s="25">
        <f t="shared" si="195"/>
        <v>1</v>
      </c>
      <c r="R168" s="116"/>
      <c r="S168" s="80" t="s">
        <v>1974</v>
      </c>
      <c r="T168" s="83">
        <f t="shared" ca="1" si="196"/>
        <v>5</v>
      </c>
      <c r="U168" s="116"/>
      <c r="V168" s="80" t="s">
        <v>2006</v>
      </c>
      <c r="W168" s="83">
        <f t="shared" ca="1" si="188"/>
        <v>9</v>
      </c>
      <c r="X168" s="116"/>
      <c r="Y168" s="80" t="s">
        <v>2006</v>
      </c>
      <c r="Z168" s="83">
        <f t="shared" ca="1" si="188"/>
        <v>9</v>
      </c>
      <c r="AA168" s="116"/>
      <c r="AB168" s="86" t="s">
        <v>2006</v>
      </c>
      <c r="AC168" s="83">
        <f t="shared" ca="1" si="188"/>
        <v>9</v>
      </c>
      <c r="AD168" s="116"/>
      <c r="AE168" s="80" t="s">
        <v>2065</v>
      </c>
      <c r="AF168" s="83">
        <f t="shared" ca="1" si="188"/>
        <v>3</v>
      </c>
      <c r="AG168" s="116"/>
      <c r="AH168" s="116"/>
    </row>
    <row r="169" spans="1:34" x14ac:dyDescent="0.2">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15">
        <f t="shared" si="192"/>
        <v>9</v>
      </c>
      <c r="G169" s="415">
        <f ca="1">VLOOKUP(H169,Equipos!$Q$1:$R$25,2,0)</f>
        <v>20</v>
      </c>
      <c r="H169" s="454" t="str">
        <f>Idiomas!$D$260</f>
        <v>Dieciseisavos de final</v>
      </c>
      <c r="I169" s="49">
        <v>1</v>
      </c>
      <c r="J169" s="851"/>
      <c r="K169" s="62" t="str">
        <f ca="1">CONCATENATE(WORLDCUP!AA106,"-",WORLDCUP!AF106)</f>
        <v>Francia-Suecia</v>
      </c>
      <c r="L169" s="59">
        <f>IF(OR(WORLDCUP!AC106="",WORLDCUP!AD106=""),"PD",IF(WORLDCUP!AC106&gt;WORLDCUP!AD106,1,IF(WORLDCUP!AC106&lt;WORLDCUP!AD106,2,0)))</f>
        <v>1</v>
      </c>
      <c r="M169" s="61" t="str">
        <f t="shared" si="193"/>
        <v>3-0</v>
      </c>
      <c r="N169" s="25">
        <f>WORLDCUP!AC106</f>
        <v>3</v>
      </c>
      <c r="O169" s="25">
        <f>WORLDCUP!AD106</f>
        <v>0</v>
      </c>
      <c r="P169" s="25">
        <f t="shared" si="194"/>
        <v>3</v>
      </c>
      <c r="Q169" s="25">
        <f t="shared" si="195"/>
        <v>-3</v>
      </c>
      <c r="R169" s="116"/>
      <c r="S169" s="80" t="s">
        <v>1975</v>
      </c>
      <c r="T169" s="83">
        <f t="shared" ca="1" si="196"/>
        <v>3</v>
      </c>
      <c r="U169" s="116"/>
      <c r="V169" s="80" t="s">
        <v>1975</v>
      </c>
      <c r="W169" s="83">
        <f t="shared" ca="1" si="188"/>
        <v>3</v>
      </c>
      <c r="X169" s="116"/>
      <c r="Y169" s="80" t="s">
        <v>1975</v>
      </c>
      <c r="Z169" s="83">
        <f t="shared" ca="1" si="188"/>
        <v>3</v>
      </c>
      <c r="AA169" s="116"/>
      <c r="AB169" s="86" t="s">
        <v>2051</v>
      </c>
      <c r="AC169" s="83">
        <f t="shared" ca="1" si="188"/>
        <v>9</v>
      </c>
      <c r="AD169" s="116"/>
      <c r="AE169" s="80" t="s">
        <v>2066</v>
      </c>
      <c r="AF169" s="83">
        <f t="shared" ca="1" si="188"/>
        <v>3</v>
      </c>
      <c r="AG169" s="116"/>
      <c r="AH169" s="116"/>
    </row>
    <row r="170" spans="1:34" x14ac:dyDescent="0.2">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15">
        <f t="shared" si="192"/>
        <v>9</v>
      </c>
      <c r="G170" s="415">
        <f ca="1">VLOOKUP(H170,Equipos!$Q$1:$R$25,2,0)</f>
        <v>20</v>
      </c>
      <c r="H170" s="454" t="str">
        <f>Idiomas!$D$260</f>
        <v>Dieciseisavos de final</v>
      </c>
      <c r="I170" s="49">
        <v>1</v>
      </c>
      <c r="J170" s="851"/>
      <c r="K170" s="62" t="str">
        <f ca="1">CONCATENATE(WORLDCUP!AA107,"-",WORLDCUP!AF107)</f>
        <v>México-Ecuador</v>
      </c>
      <c r="L170" s="59">
        <f>IF(OR(WORLDCUP!AC107="",WORLDCUP!AD107=""),"PD",IF(WORLDCUP!AC107&gt;WORLDCUP!AD107,1,IF(WORLDCUP!AC107&lt;WORLDCUP!AD107,2,0)))</f>
        <v>1</v>
      </c>
      <c r="M170" s="61" t="str">
        <f t="shared" si="193"/>
        <v>2-0</v>
      </c>
      <c r="N170" s="25">
        <f>WORLDCUP!AC107</f>
        <v>2</v>
      </c>
      <c r="O170" s="25">
        <f>WORLDCUP!AD107</f>
        <v>0</v>
      </c>
      <c r="P170" s="25">
        <f t="shared" si="194"/>
        <v>2</v>
      </c>
      <c r="Q170" s="25">
        <f t="shared" si="195"/>
        <v>-2</v>
      </c>
      <c r="R170" s="116"/>
      <c r="S170" s="80" t="s">
        <v>1976</v>
      </c>
      <c r="T170" s="83">
        <f t="shared" ca="1" si="196"/>
        <v>3</v>
      </c>
      <c r="U170" s="116"/>
      <c r="V170" s="80" t="s">
        <v>2007</v>
      </c>
      <c r="W170" s="83">
        <f t="shared" ca="1" si="188"/>
        <v>0</v>
      </c>
      <c r="X170" s="116"/>
      <c r="Y170" s="80" t="s">
        <v>2032</v>
      </c>
      <c r="Z170" s="83">
        <f t="shared" ca="1" si="188"/>
        <v>9</v>
      </c>
      <c r="AA170" s="116"/>
      <c r="AB170" s="86" t="s">
        <v>1976</v>
      </c>
      <c r="AC170" s="83">
        <f t="shared" ca="1" si="188"/>
        <v>3</v>
      </c>
      <c r="AD170" s="116"/>
      <c r="AE170" s="80" t="s">
        <v>2067</v>
      </c>
      <c r="AF170" s="83">
        <f t="shared" ca="1" si="188"/>
        <v>0</v>
      </c>
      <c r="AG170" s="116"/>
      <c r="AH170" s="116"/>
    </row>
    <row r="171" spans="1:34" x14ac:dyDescent="0.2">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15">
        <f t="shared" si="192"/>
        <v>9</v>
      </c>
      <c r="G171" s="415">
        <f ca="1">VLOOKUP(H171,Equipos!$Q$1:$R$25,2,0)</f>
        <v>20</v>
      </c>
      <c r="H171" s="454" t="str">
        <f>Idiomas!$D$260</f>
        <v>Dieciseisavos de final</v>
      </c>
      <c r="I171" s="49">
        <v>1</v>
      </c>
      <c r="J171" s="851"/>
      <c r="K171" s="62" t="str">
        <f ca="1">CONCATENATE(WORLDCUP!AA108,"-",WORLDCUP!AF108)</f>
        <v>Inglaterra-RD Congo</v>
      </c>
      <c r="L171" s="59">
        <f>IF(OR(WORLDCUP!AC108="",WORLDCUP!AD108=""),"PD",IF(WORLDCUP!AC108&gt;WORLDCUP!AD108,1,IF(WORLDCUP!AC108&lt;WORLDCUP!AD108,2,0)))</f>
        <v>1</v>
      </c>
      <c r="M171" s="61" t="str">
        <f t="shared" si="193"/>
        <v>2-1</v>
      </c>
      <c r="N171" s="25">
        <f>WORLDCUP!AC108</f>
        <v>2</v>
      </c>
      <c r="O171" s="25">
        <f>WORLDCUP!AD108</f>
        <v>1</v>
      </c>
      <c r="P171" s="25">
        <f t="shared" si="194"/>
        <v>1</v>
      </c>
      <c r="Q171" s="25">
        <f t="shared" si="195"/>
        <v>-1</v>
      </c>
      <c r="R171" s="116"/>
      <c r="S171" s="80" t="s">
        <v>1977</v>
      </c>
      <c r="T171" s="83">
        <f t="shared" ca="1" si="196"/>
        <v>3</v>
      </c>
      <c r="U171" s="116"/>
      <c r="V171" s="80" t="s">
        <v>2008</v>
      </c>
      <c r="W171" s="83">
        <f t="shared" ca="1" si="188"/>
        <v>3</v>
      </c>
      <c r="X171" s="116"/>
      <c r="Y171" s="80" t="s">
        <v>2033</v>
      </c>
      <c r="Z171" s="83">
        <f t="shared" ca="1" si="188"/>
        <v>3</v>
      </c>
      <c r="AA171" s="116"/>
      <c r="AB171" s="86" t="s">
        <v>2052</v>
      </c>
      <c r="AC171" s="83">
        <f t="shared" ca="1" si="188"/>
        <v>3</v>
      </c>
      <c r="AD171" s="116"/>
      <c r="AE171" s="80" t="s">
        <v>1977</v>
      </c>
      <c r="AF171" s="83">
        <f t="shared" ca="1" si="188"/>
        <v>3</v>
      </c>
      <c r="AG171" s="116"/>
      <c r="AH171" s="116"/>
    </row>
    <row r="172" spans="1:34" x14ac:dyDescent="0.2">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15">
        <f t="shared" si="192"/>
        <v>9</v>
      </c>
      <c r="G172" s="415">
        <f ca="1">VLOOKUP(H172,Equipos!$Q$1:$R$25,2,0)</f>
        <v>20</v>
      </c>
      <c r="H172" s="454" t="str">
        <f>Idiomas!$D$260</f>
        <v>Dieciseisavos de final</v>
      </c>
      <c r="I172" s="49">
        <v>1</v>
      </c>
      <c r="J172" s="851"/>
      <c r="K172" s="62" t="str">
        <f ca="1">CONCATENATE(WORLDCUP!AA109,"-",WORLDCUP!AF109)</f>
        <v>Bélgica-Senegal</v>
      </c>
      <c r="L172" s="59">
        <f>IF(OR(WORLDCUP!AC109="",WORLDCUP!AD109=""),"PD",IF(WORLDCUP!AC109&gt;WORLDCUP!AD109,1,IF(WORLDCUP!AC109&lt;WORLDCUP!AD109,2,0)))</f>
        <v>1</v>
      </c>
      <c r="M172" s="61" t="str">
        <f t="shared" si="193"/>
        <v>3-2</v>
      </c>
      <c r="N172" s="25">
        <f>WORLDCUP!AC109</f>
        <v>3</v>
      </c>
      <c r="O172" s="25">
        <f>WORLDCUP!AD109</f>
        <v>2</v>
      </c>
      <c r="P172" s="25">
        <f t="shared" si="194"/>
        <v>1</v>
      </c>
      <c r="Q172" s="25">
        <f t="shared" si="195"/>
        <v>-1</v>
      </c>
      <c r="R172" s="116"/>
      <c r="S172" s="80" t="s">
        <v>1978</v>
      </c>
      <c r="T172" s="83">
        <f t="shared" ca="1" si="196"/>
        <v>5</v>
      </c>
      <c r="U172" s="116"/>
      <c r="V172" s="80" t="s">
        <v>2009</v>
      </c>
      <c r="W172" s="83">
        <f t="shared" ca="1" si="188"/>
        <v>0</v>
      </c>
      <c r="X172" s="116"/>
      <c r="Y172" s="80" t="s">
        <v>1978</v>
      </c>
      <c r="Z172" s="83">
        <f t="shared" ca="1" si="188"/>
        <v>5</v>
      </c>
      <c r="AA172" s="116"/>
      <c r="AB172" s="86" t="s">
        <v>1978</v>
      </c>
      <c r="AC172" s="83">
        <f t="shared" ca="1" si="188"/>
        <v>5</v>
      </c>
      <c r="AD172" s="116"/>
      <c r="AE172" s="80" t="s">
        <v>1978</v>
      </c>
      <c r="AF172" s="83">
        <f t="shared" ca="1" si="188"/>
        <v>5</v>
      </c>
      <c r="AG172" s="116"/>
      <c r="AH172" s="116"/>
    </row>
    <row r="173" spans="1:34" x14ac:dyDescent="0.2">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15">
        <f t="shared" si="192"/>
        <v>9</v>
      </c>
      <c r="G173" s="415">
        <f ca="1">VLOOKUP(H173,Equipos!$Q$1:$R$25,2,0)</f>
        <v>20</v>
      </c>
      <c r="H173" s="454" t="str">
        <f>Idiomas!$D$260</f>
        <v>Dieciseisavos de final</v>
      </c>
      <c r="I173" s="49">
        <v>1</v>
      </c>
      <c r="J173" s="851"/>
      <c r="K173" s="62" t="str">
        <f ca="1">CONCATENATE(WORLDCUP!AA110,"-",WORLDCUP!AF110)</f>
        <v>Estados Unidos-Bosnia y Herzegovina</v>
      </c>
      <c r="L173" s="59">
        <f>IF(OR(WORLDCUP!AC110="",WORLDCUP!AD110=""),"PD",IF(WORLDCUP!AC110&gt;WORLDCUP!AD110,1,IF(WORLDCUP!AC110&lt;WORLDCUP!AD110,2,0)))</f>
        <v>1</v>
      </c>
      <c r="M173" s="61" t="str">
        <f t="shared" si="193"/>
        <v>2-0</v>
      </c>
      <c r="N173" s="25">
        <f>WORLDCUP!AC110</f>
        <v>2</v>
      </c>
      <c r="O173" s="25">
        <f>WORLDCUP!AD110</f>
        <v>0</v>
      </c>
      <c r="P173" s="25">
        <f t="shared" si="194"/>
        <v>2</v>
      </c>
      <c r="Q173" s="25">
        <f t="shared" si="195"/>
        <v>-2</v>
      </c>
      <c r="R173" s="116"/>
      <c r="S173" s="80" t="s">
        <v>1979</v>
      </c>
      <c r="T173" s="83">
        <f t="shared" ca="1" si="196"/>
        <v>3</v>
      </c>
      <c r="U173" s="116"/>
      <c r="V173" s="80" t="s">
        <v>1979</v>
      </c>
      <c r="W173" s="83">
        <f t="shared" ca="1" si="188"/>
        <v>3</v>
      </c>
      <c r="X173" s="116"/>
      <c r="Y173" s="80" t="s">
        <v>2034</v>
      </c>
      <c r="Z173" s="83">
        <f t="shared" ca="1" si="188"/>
        <v>0</v>
      </c>
      <c r="AA173" s="116"/>
      <c r="AB173" s="80" t="s">
        <v>2053</v>
      </c>
      <c r="AC173" s="83">
        <f t="shared" ca="1" si="188"/>
        <v>9</v>
      </c>
      <c r="AD173" s="116"/>
      <c r="AE173" s="80" t="s">
        <v>2053</v>
      </c>
      <c r="AF173" s="83">
        <f t="shared" ca="1" si="188"/>
        <v>9</v>
      </c>
      <c r="AG173" s="116"/>
      <c r="AH173" s="116"/>
    </row>
    <row r="174" spans="1:34" x14ac:dyDescent="0.2">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15">
        <f t="shared" si="192"/>
        <v>9</v>
      </c>
      <c r="G174" s="415">
        <f ca="1">VLOOKUP(H174,Equipos!$Q$1:$R$25,2,0)</f>
        <v>20</v>
      </c>
      <c r="H174" s="454" t="str">
        <f>Idiomas!$D$260</f>
        <v>Dieciseisavos de final</v>
      </c>
      <c r="I174" s="49">
        <v>1</v>
      </c>
      <c r="J174" s="851"/>
      <c r="K174" s="62" t="str">
        <f ca="1">CONCATENATE(WORLDCUP!AA111,"-",WORLDCUP!AF111)</f>
        <v>España-Austria</v>
      </c>
      <c r="L174" s="59">
        <f>IF(OR(WORLDCUP!AC111="",WORLDCUP!AD111=""),"PD",IF(WORLDCUP!AC111&gt;WORLDCUP!AD111,1,IF(WORLDCUP!AC111&lt;WORLDCUP!AD111,2,0)))</f>
        <v>1</v>
      </c>
      <c r="M174" s="61" t="str">
        <f t="shared" si="193"/>
        <v>3-0</v>
      </c>
      <c r="N174" s="25">
        <f>WORLDCUP!AC111</f>
        <v>3</v>
      </c>
      <c r="O174" s="25">
        <f>WORLDCUP!AD111</f>
        <v>0</v>
      </c>
      <c r="P174" s="25">
        <f t="shared" si="194"/>
        <v>3</v>
      </c>
      <c r="Q174" s="25">
        <f t="shared" si="195"/>
        <v>-3</v>
      </c>
      <c r="R174" s="116"/>
      <c r="S174" s="80" t="s">
        <v>1980</v>
      </c>
      <c r="T174" s="83">
        <f t="shared" ca="1" si="196"/>
        <v>3</v>
      </c>
      <c r="U174" s="116"/>
      <c r="V174" s="80" t="s">
        <v>2010</v>
      </c>
      <c r="W174" s="83">
        <f t="shared" ca="1" si="188"/>
        <v>9</v>
      </c>
      <c r="X174" s="116"/>
      <c r="Y174" s="80" t="s">
        <v>1980</v>
      </c>
      <c r="Z174" s="83">
        <f t="shared" ca="1" si="188"/>
        <v>3</v>
      </c>
      <c r="AA174" s="116"/>
      <c r="AB174" s="80" t="s">
        <v>1980</v>
      </c>
      <c r="AC174" s="83">
        <f t="shared" ca="1" si="188"/>
        <v>3</v>
      </c>
      <c r="AD174" s="116"/>
      <c r="AE174" s="80" t="s">
        <v>1980</v>
      </c>
      <c r="AF174" s="83">
        <f t="shared" ca="1" si="188"/>
        <v>3</v>
      </c>
      <c r="AG174" s="116"/>
      <c r="AH174" s="116"/>
    </row>
    <row r="175" spans="1:34" x14ac:dyDescent="0.2">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15">
        <f t="shared" si="192"/>
        <v>9</v>
      </c>
      <c r="G175" s="415">
        <f ca="1">VLOOKUP(H175,Equipos!$Q$1:$R$25,2,0)</f>
        <v>20</v>
      </c>
      <c r="H175" s="454" t="str">
        <f>Idiomas!$D$260</f>
        <v>Dieciseisavos de final</v>
      </c>
      <c r="I175" s="49">
        <v>1</v>
      </c>
      <c r="J175" s="851"/>
      <c r="K175" s="62" t="str">
        <f ca="1">CONCATENATE(WORLDCUP!AA112,"-",WORLDCUP!AF112)</f>
        <v>Portugal-Croacia</v>
      </c>
      <c r="L175" s="59">
        <f>IF(OR(WORLDCUP!AC112="",WORLDCUP!AD112=""),"PD",IF(WORLDCUP!AC112&gt;WORLDCUP!AD112,1,IF(WORLDCUP!AC112&lt;WORLDCUP!AD112,2,0)))</f>
        <v>1</v>
      </c>
      <c r="M175" s="61" t="str">
        <f t="shared" si="193"/>
        <v>2-1</v>
      </c>
      <c r="N175" s="25">
        <f>WORLDCUP!AC112</f>
        <v>2</v>
      </c>
      <c r="O175" s="25">
        <f>WORLDCUP!AD112</f>
        <v>1</v>
      </c>
      <c r="P175" s="25">
        <f t="shared" si="194"/>
        <v>1</v>
      </c>
      <c r="Q175" s="25">
        <f t="shared" si="195"/>
        <v>-1</v>
      </c>
      <c r="R175" s="116"/>
      <c r="S175" s="80" t="s">
        <v>1981</v>
      </c>
      <c r="T175" s="83">
        <f t="shared" ca="1" si="196"/>
        <v>0</v>
      </c>
      <c r="U175" s="116"/>
      <c r="V175" s="80" t="s">
        <v>2011</v>
      </c>
      <c r="W175" s="83">
        <f t="shared" ca="1" si="188"/>
        <v>0</v>
      </c>
      <c r="X175" s="116"/>
      <c r="Y175" s="80" t="s">
        <v>2035</v>
      </c>
      <c r="Z175" s="83">
        <f t="shared" ca="1" si="188"/>
        <v>5</v>
      </c>
      <c r="AA175" s="116"/>
      <c r="AB175" s="80" t="s">
        <v>2054</v>
      </c>
      <c r="AC175" s="83">
        <f t="shared" ca="1" si="188"/>
        <v>9</v>
      </c>
      <c r="AD175" s="116"/>
      <c r="AE175" s="80" t="s">
        <v>2068</v>
      </c>
      <c r="AF175" s="83">
        <f t="shared" ca="1" si="188"/>
        <v>5</v>
      </c>
      <c r="AG175" s="116"/>
      <c r="AH175" s="116"/>
    </row>
    <row r="176" spans="1:34" x14ac:dyDescent="0.2">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15">
        <f t="shared" si="192"/>
        <v>9</v>
      </c>
      <c r="G176" s="415">
        <f ca="1">VLOOKUP(H176,Equipos!$Q$1:$R$25,2,0)</f>
        <v>20</v>
      </c>
      <c r="H176" s="454" t="str">
        <f>Idiomas!$D$260</f>
        <v>Dieciseisavos de final</v>
      </c>
      <c r="I176" s="49">
        <v>1</v>
      </c>
      <c r="J176" s="851"/>
      <c r="K176" s="62" t="str">
        <f ca="1">CONCATENATE(WORLDCUP!AA113,"-",WORLDCUP!AF113)</f>
        <v>Suiza-Argelia</v>
      </c>
      <c r="L176" s="59">
        <f>IF(OR(WORLDCUP!AC113="",WORLDCUP!AD113=""),"PD",IF(WORLDCUP!AC113&gt;WORLDCUP!AD113,1,IF(WORLDCUP!AC113&lt;WORLDCUP!AD113,2,0)))</f>
        <v>1</v>
      </c>
      <c r="M176" s="61" t="str">
        <f t="shared" si="193"/>
        <v>2-0</v>
      </c>
      <c r="N176" s="25">
        <f>WORLDCUP!AC113</f>
        <v>2</v>
      </c>
      <c r="O176" s="25">
        <f>WORLDCUP!AD113</f>
        <v>0</v>
      </c>
      <c r="P176" s="25">
        <f t="shared" si="194"/>
        <v>2</v>
      </c>
      <c r="Q176" s="25">
        <f t="shared" si="195"/>
        <v>-2</v>
      </c>
      <c r="R176" s="116"/>
      <c r="S176" s="80" t="s">
        <v>1982</v>
      </c>
      <c r="T176" s="83">
        <f t="shared" ca="1" si="196"/>
        <v>3</v>
      </c>
      <c r="U176" s="116"/>
      <c r="V176" s="80" t="s">
        <v>2012</v>
      </c>
      <c r="W176" s="83">
        <f t="shared" ca="1" si="188"/>
        <v>9</v>
      </c>
      <c r="X176" s="116"/>
      <c r="Y176" s="80" t="s">
        <v>1982</v>
      </c>
      <c r="Z176" s="83">
        <f t="shared" ca="1" si="188"/>
        <v>3</v>
      </c>
      <c r="AA176" s="116"/>
      <c r="AB176" s="80" t="s">
        <v>2055</v>
      </c>
      <c r="AC176" s="83">
        <f t="shared" ca="1" si="188"/>
        <v>3</v>
      </c>
      <c r="AD176" s="116"/>
      <c r="AE176" s="80" t="s">
        <v>2012</v>
      </c>
      <c r="AF176" s="83">
        <f t="shared" ca="1" si="188"/>
        <v>9</v>
      </c>
      <c r="AG176" s="116"/>
      <c r="AH176" s="116"/>
    </row>
    <row r="177" spans="1:34" x14ac:dyDescent="0.2">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15">
        <f t="shared" si="192"/>
        <v>9</v>
      </c>
      <c r="G177" s="415">
        <f ca="1">VLOOKUP(H177,Equipos!$Q$1:$R$25,2,0)</f>
        <v>20</v>
      </c>
      <c r="H177" s="454" t="str">
        <f>Idiomas!$D$260</f>
        <v>Dieciseisavos de final</v>
      </c>
      <c r="I177" s="49">
        <v>1</v>
      </c>
      <c r="J177" s="851"/>
      <c r="K177" s="62" t="str">
        <f ca="1">CONCATENATE(WORLDCUP!AA114,"-",WORLDCUP!AF114)</f>
        <v>Australia-Egipto</v>
      </c>
      <c r="L177" s="59">
        <f>IF(OR(WORLDCUP!AC114="",WORLDCUP!AD114=""),"PD",IF(WORLDCUP!AC114&gt;WORLDCUP!AD114,1,IF(WORLDCUP!AC114&lt;WORLDCUP!AD114,2,0)))</f>
        <v>0</v>
      </c>
      <c r="M177" s="61" t="str">
        <f t="shared" si="193"/>
        <v>1-1</v>
      </c>
      <c r="N177" s="25">
        <f>WORLDCUP!AC114</f>
        <v>1</v>
      </c>
      <c r="O177" s="25">
        <f>WORLDCUP!AD114</f>
        <v>1</v>
      </c>
      <c r="P177" s="25">
        <f t="shared" si="194"/>
        <v>0</v>
      </c>
      <c r="Q177" s="25">
        <f t="shared" si="195"/>
        <v>0</v>
      </c>
      <c r="R177" s="116"/>
      <c r="S177" s="80" t="s">
        <v>1983</v>
      </c>
      <c r="T177" s="83">
        <f t="shared" ca="1" si="196"/>
        <v>5</v>
      </c>
      <c r="U177" s="116"/>
      <c r="V177" s="80" t="s">
        <v>2013</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t="s">
        <v>2013</v>
      </c>
      <c r="Z177" s="83">
        <f t="shared" ca="1" si="197"/>
        <v>0</v>
      </c>
      <c r="AA177" s="116"/>
      <c r="AB177" s="80" t="s">
        <v>2056</v>
      </c>
      <c r="AC177" s="83">
        <f t="shared" ca="1" si="197"/>
        <v>9</v>
      </c>
      <c r="AD177" s="116"/>
      <c r="AE177" s="80" t="s">
        <v>2056</v>
      </c>
      <c r="AF177" s="83">
        <f t="shared" ca="1" si="197"/>
        <v>9</v>
      </c>
      <c r="AG177" s="116"/>
      <c r="AH177" s="116"/>
    </row>
    <row r="178" spans="1:34" x14ac:dyDescent="0.2">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15">
        <f t="shared" si="192"/>
        <v>9</v>
      </c>
      <c r="G178" s="415">
        <f ca="1">VLOOKUP(H178,Equipos!$Q$1:$R$25,2,0)</f>
        <v>20</v>
      </c>
      <c r="H178" s="454" t="str">
        <f>Idiomas!$D$260</f>
        <v>Dieciseisavos de final</v>
      </c>
      <c r="I178" s="49">
        <v>1</v>
      </c>
      <c r="J178" s="851"/>
      <c r="K178" s="62" t="str">
        <f ca="1">CONCATENATE(WORLDCUP!AA115,"-",WORLDCUP!AF115)</f>
        <v>Argentina-Cabo Verde</v>
      </c>
      <c r="L178" s="59">
        <f>IF(OR(WORLDCUP!AC115="",WORLDCUP!AD115=""),"PD",IF(WORLDCUP!AC115&gt;WORLDCUP!AD115,1,IF(WORLDCUP!AC115&lt;WORLDCUP!AD115,2,0)))</f>
        <v>1</v>
      </c>
      <c r="M178" s="61" t="str">
        <f t="shared" si="193"/>
        <v>3-2</v>
      </c>
      <c r="N178" s="25">
        <f>WORLDCUP!AC115</f>
        <v>3</v>
      </c>
      <c r="O178" s="25">
        <f>WORLDCUP!AD115</f>
        <v>2</v>
      </c>
      <c r="P178" s="25">
        <f t="shared" si="194"/>
        <v>1</v>
      </c>
      <c r="Q178" s="25">
        <f t="shared" si="195"/>
        <v>-1</v>
      </c>
      <c r="R178" s="116"/>
      <c r="S178" s="80" t="s">
        <v>1984</v>
      </c>
      <c r="T178" s="83">
        <f t="shared" ca="1" si="196"/>
        <v>3</v>
      </c>
      <c r="U178" s="116"/>
      <c r="V178" s="80" t="s">
        <v>1984</v>
      </c>
      <c r="W178" s="83">
        <f t="shared" ca="1" si="197"/>
        <v>3</v>
      </c>
      <c r="X178" s="116"/>
      <c r="Y178" s="80" t="s">
        <v>2036</v>
      </c>
      <c r="Z178" s="83">
        <f t="shared" ca="1" si="197"/>
        <v>3</v>
      </c>
      <c r="AA178" s="116"/>
      <c r="AB178" s="80" t="s">
        <v>2057</v>
      </c>
      <c r="AC178" s="83">
        <f t="shared" ca="1" si="197"/>
        <v>3</v>
      </c>
      <c r="AD178" s="116"/>
      <c r="AE178" s="80" t="s">
        <v>2057</v>
      </c>
      <c r="AF178" s="83">
        <f t="shared" ca="1" si="197"/>
        <v>3</v>
      </c>
      <c r="AG178" s="116"/>
      <c r="AH178" s="116"/>
    </row>
    <row r="179" spans="1:34" x14ac:dyDescent="0.2">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15">
        <f t="shared" si="192"/>
        <v>9</v>
      </c>
      <c r="G179" s="415">
        <f ca="1">VLOOKUP(H179,Equipos!$Q$1:$R$25,2,0)</f>
        <v>20</v>
      </c>
      <c r="H179" s="454" t="str">
        <f>Idiomas!$D$260</f>
        <v>Dieciseisavos de final</v>
      </c>
      <c r="I179" s="49">
        <v>1</v>
      </c>
      <c r="J179" s="851"/>
      <c r="K179" s="121" t="str">
        <f ca="1">CONCATENATE(WORLDCUP!AA116,"-",WORLDCUP!AF116)</f>
        <v>Colombia-Ghana</v>
      </c>
      <c r="L179" s="121">
        <f>IF(OR(WORLDCUP!AC116="",WORLDCUP!AD116=""),"PD",IF(WORLDCUP!AC116&gt;WORLDCUP!AD116,1,IF(WORLDCUP!AC116&lt;WORLDCUP!AD116,2,0)))</f>
        <v>1</v>
      </c>
      <c r="M179" s="122" t="str">
        <f t="shared" si="193"/>
        <v>1-0</v>
      </c>
      <c r="N179" s="25">
        <f>WORLDCUP!AC116</f>
        <v>1</v>
      </c>
      <c r="O179" s="25">
        <f>WORLDCUP!AD116</f>
        <v>0</v>
      </c>
      <c r="P179" s="25">
        <f t="shared" si="194"/>
        <v>1</v>
      </c>
      <c r="Q179" s="25">
        <f t="shared" si="195"/>
        <v>-1</v>
      </c>
      <c r="R179" s="116"/>
      <c r="S179" s="86" t="s">
        <v>1985</v>
      </c>
      <c r="T179" s="87">
        <f t="shared" ca="1" si="196"/>
        <v>5</v>
      </c>
      <c r="U179" s="116"/>
      <c r="V179" s="86" t="s">
        <v>2014</v>
      </c>
      <c r="W179" s="87">
        <f t="shared" ca="1" si="197"/>
        <v>9</v>
      </c>
      <c r="X179" s="116"/>
      <c r="Y179" s="86" t="s">
        <v>1985</v>
      </c>
      <c r="Z179" s="87">
        <f t="shared" ca="1" si="197"/>
        <v>5</v>
      </c>
      <c r="AA179" s="116"/>
      <c r="AB179" s="86" t="s">
        <v>2058</v>
      </c>
      <c r="AC179" s="87">
        <f t="shared" ca="1" si="197"/>
        <v>3</v>
      </c>
      <c r="AD179" s="116"/>
      <c r="AE179" s="86" t="s">
        <v>2058</v>
      </c>
      <c r="AF179" s="87">
        <f t="shared" ca="1" si="197"/>
        <v>3</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53</v>
      </c>
      <c r="U180" s="71"/>
      <c r="V180" s="90"/>
      <c r="W180" s="77">
        <f t="shared" ref="W180" ca="1" si="198">SUM(W164:W179)</f>
        <v>60</v>
      </c>
      <c r="X180" s="71"/>
      <c r="Y180" s="90"/>
      <c r="Z180" s="77">
        <f t="shared" ref="Z180" ca="1" si="199">SUM(Z164:Z179)</f>
        <v>57</v>
      </c>
      <c r="AA180" s="71"/>
      <c r="AB180" s="90"/>
      <c r="AC180" s="77">
        <f t="shared" ref="AC180" ca="1" si="200">SUM(AC164:AC179)</f>
        <v>74</v>
      </c>
      <c r="AD180" s="71"/>
      <c r="AE180" s="90"/>
      <c r="AF180" s="77">
        <f t="shared" ref="AF180" ca="1" si="201">SUM(AF164:AF179)</f>
        <v>63</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851" t="s">
        <v>88</v>
      </c>
      <c r="K182" s="59" t="str">
        <f>Idiomas!$D$199&amp;"-"&amp;ROWS($L$182:L182)</f>
        <v>Octavofinalista-1</v>
      </c>
      <c r="L182" s="59"/>
      <c r="M182" s="61" t="str">
        <f ca="1">WORLDCUP!AA120</f>
        <v>Canadá</v>
      </c>
      <c r="N182" s="25"/>
      <c r="O182" s="25"/>
      <c r="P182" s="25"/>
      <c r="Q182" s="25"/>
      <c r="R182" s="116"/>
      <c r="S182" s="82" t="s">
        <v>1259</v>
      </c>
      <c r="T182" s="83">
        <f t="shared" ref="T182:T197" ca="1" si="202">COUNTIF($M$182:$M$197,S182)*$D$19</f>
        <v>3</v>
      </c>
      <c r="U182" s="70"/>
      <c r="V182" s="82" t="s">
        <v>1259</v>
      </c>
      <c r="W182" s="83">
        <f t="shared" ref="W182:W197" ca="1" si="203">COUNTIF($M$182:$M$197,V182)*$D$19</f>
        <v>3</v>
      </c>
      <c r="X182" s="70"/>
      <c r="Y182" s="82" t="s">
        <v>1259</v>
      </c>
      <c r="Z182" s="83">
        <f t="shared" ref="Z182:Z197" ca="1" si="204">COUNTIF($M$182:$M$197,Y182)*$D$19</f>
        <v>3</v>
      </c>
      <c r="AA182" s="70"/>
      <c r="AB182" s="82" t="s">
        <v>1259</v>
      </c>
      <c r="AC182" s="83">
        <f t="shared" ref="AC182:AC197" ca="1" si="205">COUNTIF($M$182:$M$197,AB182)*$D$19</f>
        <v>3</v>
      </c>
      <c r="AD182" s="70"/>
      <c r="AE182" s="82" t="s">
        <v>1259</v>
      </c>
      <c r="AF182" s="83">
        <f t="shared" ref="AF182:AF197" ca="1" si="206">COUNTIF($M$182:$M$197,AE182)*$D$19</f>
        <v>3</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851"/>
      <c r="K183" s="62" t="str">
        <f>Idiomas!$D$199&amp;"-"&amp;ROWS($L$182:L183)</f>
        <v>Octavofinalista-2</v>
      </c>
      <c r="L183" s="59"/>
      <c r="M183" s="61" t="str">
        <f ca="1">WORLDCUP!AA121</f>
        <v>Paraguay</v>
      </c>
      <c r="N183" s="25"/>
      <c r="O183" s="25"/>
      <c r="P183" s="25"/>
      <c r="Q183" s="25"/>
      <c r="R183" s="116"/>
      <c r="S183" s="80" t="s">
        <v>77</v>
      </c>
      <c r="T183" s="79">
        <f t="shared" ca="1" si="202"/>
        <v>0</v>
      </c>
      <c r="U183" s="70"/>
      <c r="V183" s="80" t="s">
        <v>77</v>
      </c>
      <c r="W183" s="79">
        <f t="shared" ca="1" si="203"/>
        <v>0</v>
      </c>
      <c r="X183" s="70"/>
      <c r="Y183" s="80" t="s">
        <v>77</v>
      </c>
      <c r="Z183" s="79">
        <f t="shared" ca="1" si="204"/>
        <v>0</v>
      </c>
      <c r="AA183" s="70"/>
      <c r="AB183" s="80" t="s">
        <v>77</v>
      </c>
      <c r="AC183" s="79">
        <f t="shared" ca="1" si="205"/>
        <v>0</v>
      </c>
      <c r="AD183" s="70"/>
      <c r="AE183" s="80" t="s">
        <v>77</v>
      </c>
      <c r="AF183" s="79">
        <f t="shared" ca="1"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851"/>
      <c r="K184" s="62" t="str">
        <f>Idiomas!$D$199&amp;"-"&amp;ROWS($L$182:L184)</f>
        <v>Octavofinalista-3</v>
      </c>
      <c r="L184" s="59"/>
      <c r="M184" s="61" t="str">
        <f ca="1">WORLDCUP!AA122</f>
        <v>Brasil</v>
      </c>
      <c r="N184" s="25"/>
      <c r="O184" s="25"/>
      <c r="P184" s="25"/>
      <c r="Q184" s="25"/>
      <c r="R184" s="116"/>
      <c r="S184" s="80" t="s">
        <v>1258</v>
      </c>
      <c r="T184" s="79">
        <f t="shared" ca="1" si="202"/>
        <v>3</v>
      </c>
      <c r="U184" s="70"/>
      <c r="V184" s="80" t="s">
        <v>1263</v>
      </c>
      <c r="W184" s="79">
        <f t="shared" ca="1" si="203"/>
        <v>0</v>
      </c>
      <c r="X184" s="70"/>
      <c r="Y184" s="80" t="s">
        <v>1258</v>
      </c>
      <c r="Z184" s="79">
        <f t="shared" ca="1" si="204"/>
        <v>3</v>
      </c>
      <c r="AA184" s="70"/>
      <c r="AB184" s="80" t="s">
        <v>1258</v>
      </c>
      <c r="AC184" s="79">
        <f t="shared" ca="1" si="205"/>
        <v>3</v>
      </c>
      <c r="AD184" s="70"/>
      <c r="AE184" s="80" t="s">
        <v>1258</v>
      </c>
      <c r="AF184" s="79">
        <f t="shared" ca="1" si="206"/>
        <v>3</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851"/>
      <c r="K185" s="62" t="str">
        <f>Idiomas!$D$199&amp;"-"&amp;ROWS($L$182:L185)</f>
        <v>Octavofinalista-4</v>
      </c>
      <c r="L185" s="59"/>
      <c r="M185" s="61" t="str">
        <f ca="1">WORLDCUP!AA123</f>
        <v>México</v>
      </c>
      <c r="N185" s="25"/>
      <c r="O185" s="25"/>
      <c r="P185" s="25"/>
      <c r="Q185" s="25"/>
      <c r="R185" s="116"/>
      <c r="S185" s="80" t="s">
        <v>1265</v>
      </c>
      <c r="T185" s="79">
        <f t="shared" ca="1" si="202"/>
        <v>3</v>
      </c>
      <c r="U185" s="70"/>
      <c r="V185" s="80" t="s">
        <v>1261</v>
      </c>
      <c r="W185" s="79">
        <f t="shared" ca="1" si="203"/>
        <v>0</v>
      </c>
      <c r="X185" s="70"/>
      <c r="Y185" s="80" t="s">
        <v>1265</v>
      </c>
      <c r="Z185" s="79">
        <f t="shared" ca="1" si="204"/>
        <v>3</v>
      </c>
      <c r="AA185" s="70"/>
      <c r="AB185" s="80" t="s">
        <v>1265</v>
      </c>
      <c r="AC185" s="79">
        <f t="shared" ca="1" si="205"/>
        <v>3</v>
      </c>
      <c r="AD185" s="70"/>
      <c r="AE185" s="80" t="s">
        <v>1261</v>
      </c>
      <c r="AF185" s="79">
        <f t="shared" ca="1"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851"/>
      <c r="K186" s="62" t="str">
        <f>Idiomas!$D$199&amp;"-"&amp;ROWS($L$182:L186)</f>
        <v>Octavofinalista-5</v>
      </c>
      <c r="L186" s="59"/>
      <c r="M186" s="61" t="str">
        <f ca="1">WORLDCUP!AA124</f>
        <v>Portugal</v>
      </c>
      <c r="N186" s="25"/>
      <c r="O186" s="25"/>
      <c r="P186" s="25"/>
      <c r="Q186" s="25"/>
      <c r="R186" s="116"/>
      <c r="S186" s="80" t="s">
        <v>79</v>
      </c>
      <c r="T186" s="79">
        <f t="shared" ca="1" si="202"/>
        <v>3</v>
      </c>
      <c r="U186" s="70"/>
      <c r="V186" s="80" t="s">
        <v>78</v>
      </c>
      <c r="W186" s="79">
        <f t="shared" ca="1" si="203"/>
        <v>0</v>
      </c>
      <c r="X186" s="70"/>
      <c r="Y186" s="80" t="s">
        <v>79</v>
      </c>
      <c r="Z186" s="79">
        <f t="shared" ca="1" si="204"/>
        <v>3</v>
      </c>
      <c r="AA186" s="70"/>
      <c r="AB186" s="80" t="s">
        <v>79</v>
      </c>
      <c r="AC186" s="79">
        <f t="shared" ca="1" si="205"/>
        <v>3</v>
      </c>
      <c r="AD186" s="70"/>
      <c r="AE186" s="80" t="s">
        <v>79</v>
      </c>
      <c r="AF186" s="79">
        <f t="shared" ca="1" si="206"/>
        <v>3</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851"/>
      <c r="K187" s="62" t="str">
        <f>Idiomas!$D$199&amp;"-"&amp;ROWS($L$182:L187)</f>
        <v>Octavofinalista-6</v>
      </c>
      <c r="L187" s="59"/>
      <c r="M187" s="61" t="str">
        <f ca="1">WORLDCUP!AA125</f>
        <v>Estados Unidos</v>
      </c>
      <c r="N187" s="25"/>
      <c r="O187" s="25"/>
      <c r="P187" s="25"/>
      <c r="Q187" s="25"/>
      <c r="R187" s="116"/>
      <c r="S187" s="80" t="s">
        <v>497</v>
      </c>
      <c r="T187" s="79">
        <f t="shared" ca="1" si="202"/>
        <v>3</v>
      </c>
      <c r="U187" s="70"/>
      <c r="V187" s="80" t="s">
        <v>497</v>
      </c>
      <c r="W187" s="79">
        <f t="shared" ca="1" si="203"/>
        <v>3</v>
      </c>
      <c r="X187" s="70"/>
      <c r="Y187" s="80" t="s">
        <v>497</v>
      </c>
      <c r="Z187" s="79">
        <f t="shared" ca="1" si="204"/>
        <v>3</v>
      </c>
      <c r="AA187" s="70"/>
      <c r="AB187" s="82" t="s">
        <v>497</v>
      </c>
      <c r="AC187" s="79">
        <f t="shared" ca="1" si="205"/>
        <v>3</v>
      </c>
      <c r="AD187" s="70"/>
      <c r="AE187" s="80" t="s">
        <v>497</v>
      </c>
      <c r="AF187" s="79">
        <f t="shared" ca="1" si="206"/>
        <v>3</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851"/>
      <c r="K188" s="62" t="str">
        <f>Idiomas!$D$199&amp;"-"&amp;ROWS($L$182:L188)</f>
        <v>Octavofinalista-7</v>
      </c>
      <c r="L188" s="59"/>
      <c r="M188" s="61" t="str">
        <f ca="1">WORLDCUP!AA126</f>
        <v>Argentina</v>
      </c>
      <c r="N188" s="25"/>
      <c r="O188" s="25"/>
      <c r="P188" s="25"/>
      <c r="Q188" s="25"/>
      <c r="R188" s="116"/>
      <c r="S188" s="80" t="s">
        <v>1256</v>
      </c>
      <c r="T188" s="79">
        <f t="shared" ca="1" si="202"/>
        <v>3</v>
      </c>
      <c r="U188" s="70"/>
      <c r="V188" s="80" t="s">
        <v>1256</v>
      </c>
      <c r="W188" s="79">
        <f t="shared" ca="1" si="203"/>
        <v>3</v>
      </c>
      <c r="X188" s="70"/>
      <c r="Y188" s="80" t="s">
        <v>1256</v>
      </c>
      <c r="Z188" s="79">
        <f t="shared" ca="1" si="204"/>
        <v>3</v>
      </c>
      <c r="AA188" s="70"/>
      <c r="AB188" s="80" t="s">
        <v>1256</v>
      </c>
      <c r="AC188" s="79">
        <f t="shared" ca="1" si="205"/>
        <v>3</v>
      </c>
      <c r="AD188" s="70"/>
      <c r="AE188" s="80" t="s">
        <v>1256</v>
      </c>
      <c r="AF188" s="79">
        <f t="shared" ca="1" si="206"/>
        <v>3</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851"/>
      <c r="K189" s="62" t="str">
        <f>Idiomas!$D$199&amp;"-"&amp;ROWS($L$182:L189)</f>
        <v>Octavofinalista-8</v>
      </c>
      <c r="L189" s="59"/>
      <c r="M189" s="61" t="str">
        <f ca="1">WORLDCUP!AA127</f>
        <v>Suiza</v>
      </c>
      <c r="N189" s="25"/>
      <c r="O189" s="25"/>
      <c r="P189" s="25"/>
      <c r="Q189" s="25"/>
      <c r="R189" s="116"/>
      <c r="S189" s="80" t="s">
        <v>75</v>
      </c>
      <c r="T189" s="79">
        <f t="shared" ca="1" si="202"/>
        <v>3</v>
      </c>
      <c r="U189" s="70"/>
      <c r="V189" s="80" t="s">
        <v>75</v>
      </c>
      <c r="W189" s="79">
        <f t="shared" ca="1" si="203"/>
        <v>3</v>
      </c>
      <c r="X189" s="70"/>
      <c r="Y189" s="80" t="s">
        <v>75</v>
      </c>
      <c r="Z189" s="79">
        <f t="shared" ca="1" si="204"/>
        <v>3</v>
      </c>
      <c r="AA189" s="70"/>
      <c r="AB189" s="80" t="s">
        <v>75</v>
      </c>
      <c r="AC189" s="79">
        <f t="shared" ca="1" si="205"/>
        <v>3</v>
      </c>
      <c r="AD189" s="70"/>
      <c r="AE189" s="80" t="s">
        <v>75</v>
      </c>
      <c r="AF189" s="79">
        <f t="shared" ca="1" si="206"/>
        <v>3</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851"/>
      <c r="K190" s="62" t="str">
        <f>Idiomas!$D$199&amp;"-"&amp;ROWS($L$182:L190)</f>
        <v>Octavofinalista-9</v>
      </c>
      <c r="L190" s="59"/>
      <c r="M190" s="61" t="str">
        <f ca="1">WORLDCUP!AF120</f>
        <v>Marruecos</v>
      </c>
      <c r="N190" s="25"/>
      <c r="O190" s="25"/>
      <c r="P190" s="25"/>
      <c r="Q190" s="25"/>
      <c r="R190" s="116"/>
      <c r="S190" s="80" t="s">
        <v>1321</v>
      </c>
      <c r="T190" s="79">
        <f t="shared" ca="1" si="202"/>
        <v>3</v>
      </c>
      <c r="U190" s="70"/>
      <c r="V190" s="80" t="s">
        <v>111</v>
      </c>
      <c r="W190" s="79">
        <f t="shared" ca="1" si="203"/>
        <v>0</v>
      </c>
      <c r="X190" s="70"/>
      <c r="Y190" s="80" t="s">
        <v>111</v>
      </c>
      <c r="Z190" s="79">
        <f t="shared" ca="1" si="204"/>
        <v>0</v>
      </c>
      <c r="AA190" s="70"/>
      <c r="AB190" s="80" t="s">
        <v>111</v>
      </c>
      <c r="AC190" s="79">
        <f t="shared" ca="1" si="205"/>
        <v>0</v>
      </c>
      <c r="AD190" s="70"/>
      <c r="AE190" s="80" t="s">
        <v>111</v>
      </c>
      <c r="AF190" s="79">
        <f t="shared" ca="1"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851"/>
      <c r="K191" s="62" t="str">
        <f>Idiomas!$D$199&amp;"-"&amp;ROWS($L$182:L191)</f>
        <v>Octavofinalista-10</v>
      </c>
      <c r="L191" s="59"/>
      <c r="M191" s="61" t="str">
        <f ca="1">WORLDCUP!AF121</f>
        <v>Francia</v>
      </c>
      <c r="N191" s="25"/>
      <c r="O191" s="25"/>
      <c r="P191" s="25"/>
      <c r="Q191" s="25"/>
      <c r="R191" s="116"/>
      <c r="S191" s="80" t="s">
        <v>74</v>
      </c>
      <c r="T191" s="79">
        <f t="shared" ca="1" si="202"/>
        <v>3</v>
      </c>
      <c r="U191" s="70"/>
      <c r="V191" s="80" t="s">
        <v>74</v>
      </c>
      <c r="W191" s="79">
        <f t="shared" ca="1" si="203"/>
        <v>3</v>
      </c>
      <c r="X191" s="70"/>
      <c r="Y191" s="80" t="s">
        <v>74</v>
      </c>
      <c r="Z191" s="79">
        <f t="shared" ca="1" si="204"/>
        <v>3</v>
      </c>
      <c r="AA191" s="70"/>
      <c r="AB191" s="80" t="s">
        <v>74</v>
      </c>
      <c r="AC191" s="79">
        <f t="shared" ca="1" si="205"/>
        <v>3</v>
      </c>
      <c r="AD191" s="70"/>
      <c r="AE191" s="80" t="s">
        <v>74</v>
      </c>
      <c r="AF191" s="79">
        <f t="shared" ca="1" si="206"/>
        <v>3</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851"/>
      <c r="K192" s="62" t="str">
        <f>Idiomas!$D$199&amp;"-"&amp;ROWS($L$182:L192)</f>
        <v>Octavofinalista-11</v>
      </c>
      <c r="L192" s="59"/>
      <c r="M192" s="61" t="str">
        <f ca="1">WORLDCUP!AF122</f>
        <v>Noruega</v>
      </c>
      <c r="N192" s="25"/>
      <c r="O192" s="25"/>
      <c r="P192" s="25"/>
      <c r="Q192" s="25"/>
      <c r="R192" s="116"/>
      <c r="S192" s="80" t="s">
        <v>135</v>
      </c>
      <c r="T192" s="79">
        <f t="shared" ca="1" si="202"/>
        <v>3</v>
      </c>
      <c r="U192" s="70"/>
      <c r="V192" s="80" t="s">
        <v>135</v>
      </c>
      <c r="W192" s="79">
        <f t="shared" ca="1" si="203"/>
        <v>3</v>
      </c>
      <c r="X192" s="70"/>
      <c r="Y192" s="80" t="s">
        <v>135</v>
      </c>
      <c r="Z192" s="79">
        <f t="shared" ca="1" si="204"/>
        <v>3</v>
      </c>
      <c r="AA192" s="70"/>
      <c r="AB192" s="80" t="s">
        <v>135</v>
      </c>
      <c r="AC192" s="79">
        <f t="shared" ca="1" si="205"/>
        <v>3</v>
      </c>
      <c r="AD192" s="70"/>
      <c r="AE192" s="80" t="s">
        <v>135</v>
      </c>
      <c r="AF192" s="79">
        <f t="shared" ca="1" si="206"/>
        <v>3</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851"/>
      <c r="K193" s="62" t="str">
        <f>Idiomas!$D$199&amp;"-"&amp;ROWS($L$182:L193)</f>
        <v>Octavofinalista-12</v>
      </c>
      <c r="L193" s="59"/>
      <c r="M193" s="61" t="str">
        <f ca="1">WORLDCUP!AF123</f>
        <v>Inglaterra</v>
      </c>
      <c r="N193" s="25"/>
      <c r="O193" s="25"/>
      <c r="P193" s="25"/>
      <c r="Q193" s="25"/>
      <c r="R193" s="116"/>
      <c r="S193" s="80" t="s">
        <v>76</v>
      </c>
      <c r="T193" s="79">
        <f t="shared" ca="1" si="202"/>
        <v>3</v>
      </c>
      <c r="U193" s="70"/>
      <c r="V193" s="80" t="s">
        <v>76</v>
      </c>
      <c r="W193" s="79">
        <f t="shared" ca="1" si="203"/>
        <v>3</v>
      </c>
      <c r="X193" s="70"/>
      <c r="Y193" s="80" t="s">
        <v>76</v>
      </c>
      <c r="Z193" s="79">
        <f t="shared" ca="1" si="204"/>
        <v>3</v>
      </c>
      <c r="AA193" s="70"/>
      <c r="AB193" s="80" t="s">
        <v>76</v>
      </c>
      <c r="AC193" s="79">
        <f t="shared" ca="1" si="205"/>
        <v>3</v>
      </c>
      <c r="AD193" s="70"/>
      <c r="AE193" s="80" t="s">
        <v>76</v>
      </c>
      <c r="AF193" s="79">
        <f t="shared" ca="1" si="206"/>
        <v>3</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851"/>
      <c r="K194" s="62" t="str">
        <f>Idiomas!$D$199&amp;"-"&amp;ROWS($L$182:L194)</f>
        <v>Octavofinalista-13</v>
      </c>
      <c r="L194" s="59"/>
      <c r="M194" s="61" t="str">
        <f ca="1">WORLDCUP!AF124</f>
        <v>España</v>
      </c>
      <c r="N194" s="25"/>
      <c r="O194" s="25"/>
      <c r="P194" s="25"/>
      <c r="Q194" s="25"/>
      <c r="R194" s="116"/>
      <c r="S194" s="80" t="s">
        <v>38</v>
      </c>
      <c r="T194" s="79">
        <f t="shared" ca="1" si="202"/>
        <v>3</v>
      </c>
      <c r="U194" s="70"/>
      <c r="V194" s="80" t="s">
        <v>38</v>
      </c>
      <c r="W194" s="79">
        <f t="shared" ca="1" si="203"/>
        <v>3</v>
      </c>
      <c r="X194" s="70"/>
      <c r="Y194" s="80" t="s">
        <v>38</v>
      </c>
      <c r="Z194" s="79">
        <f t="shared" ca="1" si="204"/>
        <v>3</v>
      </c>
      <c r="AA194" s="70"/>
      <c r="AB194" s="80" t="s">
        <v>38</v>
      </c>
      <c r="AC194" s="79">
        <f t="shared" ca="1" si="205"/>
        <v>3</v>
      </c>
      <c r="AD194" s="70"/>
      <c r="AE194" s="80" t="s">
        <v>38</v>
      </c>
      <c r="AF194" s="79">
        <f t="shared" ca="1" si="206"/>
        <v>3</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851"/>
      <c r="K195" s="62" t="str">
        <f>Idiomas!$D$199&amp;"-"&amp;ROWS($L$182:L195)</f>
        <v>Octavofinalista-14</v>
      </c>
      <c r="L195" s="59"/>
      <c r="M195" s="61" t="str">
        <f ca="1">WORLDCUP!AF125</f>
        <v>Bélgica</v>
      </c>
      <c r="N195" s="25"/>
      <c r="O195" s="25"/>
      <c r="P195" s="25"/>
      <c r="Q195" s="25"/>
      <c r="R195" s="116"/>
      <c r="S195" s="80" t="s">
        <v>110</v>
      </c>
      <c r="T195" s="79">
        <f t="shared" ca="1" si="202"/>
        <v>3</v>
      </c>
      <c r="U195" s="70"/>
      <c r="V195" s="80" t="s">
        <v>1634</v>
      </c>
      <c r="W195" s="79">
        <f t="shared" ca="1" si="203"/>
        <v>0</v>
      </c>
      <c r="X195" s="70"/>
      <c r="Y195" s="80" t="s">
        <v>110</v>
      </c>
      <c r="Z195" s="79">
        <f t="shared" ca="1" si="204"/>
        <v>3</v>
      </c>
      <c r="AA195" s="70"/>
      <c r="AB195" s="80" t="s">
        <v>110</v>
      </c>
      <c r="AC195" s="79">
        <f t="shared" ca="1" si="205"/>
        <v>3</v>
      </c>
      <c r="AD195" s="70"/>
      <c r="AE195" s="80" t="s">
        <v>110</v>
      </c>
      <c r="AF195" s="79">
        <f t="shared" ca="1" si="206"/>
        <v>3</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851"/>
      <c r="K196" s="62" t="str">
        <f>Idiomas!$D$199&amp;"-"&amp;ROWS($L$182:L196)</f>
        <v>Octavofinalista-15</v>
      </c>
      <c r="L196" s="59"/>
      <c r="M196" s="61" t="str">
        <f ca="1">WORLDCUP!AF126</f>
        <v>Egipto</v>
      </c>
      <c r="N196" s="25"/>
      <c r="O196" s="25"/>
      <c r="P196" s="25"/>
      <c r="Q196" s="25"/>
      <c r="R196" s="116"/>
      <c r="S196" s="80" t="s">
        <v>1550</v>
      </c>
      <c r="T196" s="79">
        <f t="shared" ca="1" si="202"/>
        <v>3</v>
      </c>
      <c r="U196" s="70"/>
      <c r="V196" s="80" t="s">
        <v>1550</v>
      </c>
      <c r="W196" s="79">
        <f t="shared" ca="1" si="203"/>
        <v>3</v>
      </c>
      <c r="X196" s="70"/>
      <c r="Y196" s="80" t="s">
        <v>1550</v>
      </c>
      <c r="Z196" s="79">
        <f t="shared" ca="1" si="204"/>
        <v>3</v>
      </c>
      <c r="AA196" s="70"/>
      <c r="AB196" s="80" t="s">
        <v>1550</v>
      </c>
      <c r="AC196" s="79">
        <f t="shared" ca="1" si="205"/>
        <v>3</v>
      </c>
      <c r="AD196" s="70"/>
      <c r="AE196" s="80" t="s">
        <v>1550</v>
      </c>
      <c r="AF196" s="79">
        <f t="shared" ca="1" si="206"/>
        <v>3</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851"/>
      <c r="K197" s="121" t="str">
        <f>Idiomas!$D$199&amp;"-"&amp;ROWS($L$182:L197)</f>
        <v>Octavofinalista-16</v>
      </c>
      <c r="L197" s="121"/>
      <c r="M197" s="122" t="str">
        <f ca="1">WORLDCUP!AF127</f>
        <v>Colombia</v>
      </c>
      <c r="N197" s="25"/>
      <c r="O197" s="25"/>
      <c r="P197" s="25"/>
      <c r="Q197" s="25"/>
      <c r="R197" s="116"/>
      <c r="S197" s="86" t="s">
        <v>1320</v>
      </c>
      <c r="T197" s="87">
        <f t="shared" ca="1" si="202"/>
        <v>3</v>
      </c>
      <c r="U197" s="70"/>
      <c r="V197" s="86" t="s">
        <v>1320</v>
      </c>
      <c r="W197" s="87">
        <f t="shared" ca="1" si="203"/>
        <v>3</v>
      </c>
      <c r="X197" s="70"/>
      <c r="Y197" s="86" t="s">
        <v>1320</v>
      </c>
      <c r="Z197" s="87">
        <f t="shared" ca="1" si="204"/>
        <v>3</v>
      </c>
      <c r="AA197" s="70"/>
      <c r="AB197" s="86" t="s">
        <v>1320</v>
      </c>
      <c r="AC197" s="87">
        <f t="shared" ca="1" si="205"/>
        <v>3</v>
      </c>
      <c r="AD197" s="70"/>
      <c r="AE197" s="86" t="s">
        <v>1320</v>
      </c>
      <c r="AF197" s="87">
        <f t="shared" ca="1" si="206"/>
        <v>3</v>
      </c>
      <c r="AG197" s="70"/>
      <c r="AH197" s="70"/>
    </row>
    <row r="198" spans="1:34" x14ac:dyDescent="0.2">
      <c r="A198" s="25"/>
      <c r="B198" s="25"/>
      <c r="C198" s="25"/>
      <c r="D198" s="25"/>
      <c r="E198" s="25"/>
      <c r="F198" s="415"/>
      <c r="G198" s="415"/>
      <c r="H198" s="71"/>
      <c r="I198" s="56"/>
      <c r="J198" s="100"/>
      <c r="K198" s="442" t="str">
        <f>Idiomas!D459</f>
        <v>Equipos 1/8</v>
      </c>
      <c r="L198" s="443"/>
      <c r="M198" s="442" t="str">
        <f ca="1">"Max: "&amp;$D$19*COUNT(T182:T197)</f>
        <v>Max: 48</v>
      </c>
      <c r="N198" s="25"/>
      <c r="O198" s="25"/>
      <c r="P198" s="25"/>
      <c r="Q198" s="25"/>
      <c r="R198" s="55"/>
      <c r="S198" s="90"/>
      <c r="T198" s="77">
        <f ca="1">SUM(T182:T197)</f>
        <v>45</v>
      </c>
      <c r="U198" s="71"/>
      <c r="V198" s="90"/>
      <c r="W198" s="77">
        <f t="shared" ref="W198" ca="1" si="208">SUM(W182:W197)</f>
        <v>30</v>
      </c>
      <c r="X198" s="71"/>
      <c r="Y198" s="90"/>
      <c r="Z198" s="77">
        <f t="shared" ref="Z198" ca="1" si="209">SUM(Z182:Z197)</f>
        <v>42</v>
      </c>
      <c r="AA198" s="71"/>
      <c r="AB198" s="90"/>
      <c r="AC198" s="77">
        <f t="shared" ref="AC198" ca="1" si="210">SUM(AC182:AC197)</f>
        <v>42</v>
      </c>
      <c r="AD198" s="71"/>
      <c r="AE198" s="90"/>
      <c r="AF198" s="77">
        <f t="shared" ref="AF198" ca="1" si="211">SUM(AF182:AF197)</f>
        <v>39</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15">
        <f>SUM($D$20:$D$22)*I200</f>
        <v>12</v>
      </c>
      <c r="G200" s="415">
        <f ca="1">VLOOKUP(H200,Equipos!$Q$1:$R$25,2,0)</f>
        <v>21</v>
      </c>
      <c r="H200" s="71" t="str">
        <f>Idiomas!$D$261</f>
        <v>Octavos de final</v>
      </c>
      <c r="I200" s="49">
        <v>1</v>
      </c>
      <c r="J200" s="851" t="s">
        <v>88</v>
      </c>
      <c r="K200" s="59" t="str">
        <f ca="1">CONCATENATE(WORLDCUP!AA120,"-",WORLDCUP!AF120)</f>
        <v>Canadá-Marruecos</v>
      </c>
      <c r="L200" s="59">
        <f>IF(OR(WORLDCUP!AC120="",WORLDCUP!AD120=""),"PD",IF(WORLDCUP!AC120&gt;WORLDCUP!AD120,1,IF(WORLDCUP!AC120&lt;WORLDCUP!AD120,2,0)))</f>
        <v>2</v>
      </c>
      <c r="M200" s="61" t="str">
        <f t="shared" ref="M200:M207" si="212">IF(L200="PD","-",N200&amp;"-"&amp;O200)</f>
        <v>0-3</v>
      </c>
      <c r="N200" s="25">
        <f>WORLDCUP!AC120</f>
        <v>0</v>
      </c>
      <c r="O200" s="25">
        <f>WORLDCUP!AD120</f>
        <v>3</v>
      </c>
      <c r="P200" s="25">
        <f t="shared" ref="P200:P207" si="213">+N200-O200</f>
        <v>-3</v>
      </c>
      <c r="Q200" s="25">
        <f t="shared" ref="Q200:Q207" si="214">+A200-B200</f>
        <v>3</v>
      </c>
      <c r="R200" s="116"/>
      <c r="S200" s="72" t="s">
        <v>1986</v>
      </c>
      <c r="T200" s="91">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4</v>
      </c>
      <c r="U200" s="116"/>
      <c r="V200" s="72" t="s">
        <v>2015</v>
      </c>
      <c r="W200" s="91">
        <f t="shared" ref="W200:AF207" ca="1"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
        <v>2037</v>
      </c>
      <c r="Z200" s="91">
        <f t="shared" ref="Z200" ca="1"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
        <v>2015</v>
      </c>
      <c r="AC200" s="91">
        <f t="shared" ref="AC200" ca="1"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
        <v>2069</v>
      </c>
      <c r="AF200" s="91">
        <f t="shared" ref="AF200" ca="1"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15">
        <f t="shared" ref="F201:F207" si="219">SUM($D$20:$D$22)*I201</f>
        <v>12</v>
      </c>
      <c r="G201" s="415">
        <f ca="1">VLOOKUP(H201,Equipos!$Q$1:$R$25,2,0)</f>
        <v>21</v>
      </c>
      <c r="H201" s="71" t="str">
        <f>Idiomas!$D$261</f>
        <v>Octavos de final</v>
      </c>
      <c r="I201" s="49">
        <v>1</v>
      </c>
      <c r="J201" s="851"/>
      <c r="K201" s="62" t="str">
        <f ca="1">CONCATENATE(WORLDCUP!AA121,"-",WORLDCUP!AF121)</f>
        <v>Paraguay-Francia</v>
      </c>
      <c r="L201" s="59">
        <f>IF(OR(WORLDCUP!AC121="",WORLDCUP!AD121=""),"PD",IF(WORLDCUP!AC121&gt;WORLDCUP!AD121,1,IF(WORLDCUP!AC121&lt;WORLDCUP!AD121,2,0)))</f>
        <v>2</v>
      </c>
      <c r="M201" s="61" t="str">
        <f t="shared" si="212"/>
        <v>0-1</v>
      </c>
      <c r="N201" s="25">
        <f>WORLDCUP!AC121</f>
        <v>0</v>
      </c>
      <c r="O201" s="25">
        <f>WORLDCUP!AD121</f>
        <v>1</v>
      </c>
      <c r="P201" s="25">
        <f t="shared" si="213"/>
        <v>-1</v>
      </c>
      <c r="Q201" s="25">
        <f t="shared" si="214"/>
        <v>1</v>
      </c>
      <c r="R201" s="116"/>
      <c r="S201" s="80" t="s">
        <v>1987</v>
      </c>
      <c r="T201" s="79">
        <f t="shared" ref="T201:T207" ca="1"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t="s">
        <v>2016</v>
      </c>
      <c r="W201" s="79">
        <f t="shared" ca="1" si="215"/>
        <v>0</v>
      </c>
      <c r="X201" s="116"/>
      <c r="Y201" s="86" t="s">
        <v>2038</v>
      </c>
      <c r="Z201" s="79">
        <f t="shared" ca="1" si="215"/>
        <v>0</v>
      </c>
      <c r="AA201" s="116"/>
      <c r="AB201" s="86" t="s">
        <v>1987</v>
      </c>
      <c r="AC201" s="79">
        <f t="shared" ca="1" si="215"/>
        <v>0</v>
      </c>
      <c r="AD201" s="116"/>
      <c r="AE201" s="86" t="s">
        <v>2070</v>
      </c>
      <c r="AF201" s="79">
        <f t="shared" ca="1" si="215"/>
        <v>0</v>
      </c>
      <c r="AG201" s="116"/>
      <c r="AH201" s="116"/>
    </row>
    <row r="202" spans="1:34" x14ac:dyDescent="0.2">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15">
        <f t="shared" si="219"/>
        <v>12</v>
      </c>
      <c r="G202" s="415">
        <f ca="1">VLOOKUP(H202,Equipos!$Q$1:$R$25,2,0)</f>
        <v>21</v>
      </c>
      <c r="H202" s="71" t="str">
        <f>Idiomas!$D$261</f>
        <v>Octavos de final</v>
      </c>
      <c r="I202" s="49">
        <v>1</v>
      </c>
      <c r="J202" s="851"/>
      <c r="K202" s="62" t="str">
        <f ca="1">CONCATENATE(WORLDCUP!AA122,"-",WORLDCUP!AF122)</f>
        <v>Brasil-Noruega</v>
      </c>
      <c r="L202" s="59">
        <f>IF(OR(WORLDCUP!AC122="",WORLDCUP!AD122=""),"PD",IF(WORLDCUP!AC122&gt;WORLDCUP!AD122,1,IF(WORLDCUP!AC122&lt;WORLDCUP!AD122,2,0)))</f>
        <v>2</v>
      </c>
      <c r="M202" s="61" t="str">
        <f t="shared" si="212"/>
        <v>1-2</v>
      </c>
      <c r="N202" s="25">
        <f>WORLDCUP!AC122</f>
        <v>1</v>
      </c>
      <c r="O202" s="25">
        <f>WORLDCUP!AD122</f>
        <v>2</v>
      </c>
      <c r="P202" s="25">
        <f t="shared" si="213"/>
        <v>-1</v>
      </c>
      <c r="Q202" s="25">
        <f t="shared" si="214"/>
        <v>1</v>
      </c>
      <c r="R202" s="116"/>
      <c r="S202" s="80" t="s">
        <v>1988</v>
      </c>
      <c r="T202" s="79">
        <f t="shared" ca="1" si="220"/>
        <v>0</v>
      </c>
      <c r="U202" s="116"/>
      <c r="V202" s="80" t="s">
        <v>2017</v>
      </c>
      <c r="W202" s="79">
        <f t="shared" ca="1" si="215"/>
        <v>0</v>
      </c>
      <c r="X202" s="116"/>
      <c r="Y202" s="86" t="s">
        <v>1988</v>
      </c>
      <c r="Z202" s="79">
        <f t="shared" ca="1" si="215"/>
        <v>0</v>
      </c>
      <c r="AA202" s="116"/>
      <c r="AB202" s="86" t="s">
        <v>1988</v>
      </c>
      <c r="AC202" s="79">
        <f t="shared" ca="1" si="215"/>
        <v>0</v>
      </c>
      <c r="AD202" s="116"/>
      <c r="AE202" s="86" t="s">
        <v>1988</v>
      </c>
      <c r="AF202" s="79">
        <f t="shared" ca="1" si="215"/>
        <v>0</v>
      </c>
      <c r="AG202" s="116"/>
      <c r="AH202" s="116"/>
    </row>
    <row r="203" spans="1:34" x14ac:dyDescent="0.2">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15">
        <f t="shared" si="219"/>
        <v>12</v>
      </c>
      <c r="G203" s="415">
        <f ca="1">VLOOKUP(H203,Equipos!$Q$1:$R$25,2,0)</f>
        <v>21</v>
      </c>
      <c r="H203" s="71" t="str">
        <f>Idiomas!$D$261</f>
        <v>Octavos de final</v>
      </c>
      <c r="I203" s="49">
        <v>1</v>
      </c>
      <c r="J203" s="851"/>
      <c r="K203" s="62" t="str">
        <f ca="1">CONCATENATE(WORLDCUP!AA123,"-",WORLDCUP!AF123)</f>
        <v>México-Inglaterra</v>
      </c>
      <c r="L203" s="59">
        <f>IF(OR(WORLDCUP!AC123="",WORLDCUP!AD123=""),"PD",IF(WORLDCUP!AC123&gt;WORLDCUP!AD123,1,IF(WORLDCUP!AC123&lt;WORLDCUP!AD123,2,0)))</f>
        <v>2</v>
      </c>
      <c r="M203" s="61" t="str">
        <f t="shared" si="212"/>
        <v>2-3</v>
      </c>
      <c r="N203" s="25">
        <f>WORLDCUP!AC123</f>
        <v>2</v>
      </c>
      <c r="O203" s="25">
        <f>WORLDCUP!AD123</f>
        <v>3</v>
      </c>
      <c r="P203" s="25">
        <f t="shared" si="213"/>
        <v>-1</v>
      </c>
      <c r="Q203" s="25">
        <f t="shared" si="214"/>
        <v>1</v>
      </c>
      <c r="R203" s="116"/>
      <c r="S203" s="80" t="s">
        <v>1989</v>
      </c>
      <c r="T203" s="79">
        <f t="shared" ca="1" si="220"/>
        <v>7</v>
      </c>
      <c r="U203" s="116"/>
      <c r="V203" s="80" t="s">
        <v>2018</v>
      </c>
      <c r="W203" s="79">
        <f t="shared" ca="1" si="215"/>
        <v>0</v>
      </c>
      <c r="X203" s="116"/>
      <c r="Y203" s="86" t="s">
        <v>2039</v>
      </c>
      <c r="Z203" s="79">
        <f t="shared" ca="1" si="215"/>
        <v>0</v>
      </c>
      <c r="AA203" s="116"/>
      <c r="AB203" s="86" t="s">
        <v>1989</v>
      </c>
      <c r="AC203" s="79">
        <f t="shared" ca="1" si="215"/>
        <v>7</v>
      </c>
      <c r="AD203" s="116"/>
      <c r="AE203" s="86" t="s">
        <v>2071</v>
      </c>
      <c r="AF203" s="79">
        <f t="shared" ca="1" si="215"/>
        <v>0</v>
      </c>
      <c r="AG203" s="116"/>
      <c r="AH203" s="116"/>
    </row>
    <row r="204" spans="1:34" x14ac:dyDescent="0.2">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15">
        <f t="shared" si="219"/>
        <v>12</v>
      </c>
      <c r="G204" s="415">
        <f ca="1">VLOOKUP(H204,Equipos!$Q$1:$R$25,2,0)</f>
        <v>21</v>
      </c>
      <c r="H204" s="71" t="str">
        <f>Idiomas!$D$261</f>
        <v>Octavos de final</v>
      </c>
      <c r="I204" s="49">
        <v>1</v>
      </c>
      <c r="J204" s="851"/>
      <c r="K204" s="62" t="str">
        <f ca="1">CONCATENATE(WORLDCUP!AA124,"-",WORLDCUP!AF124)</f>
        <v>Portugal-España</v>
      </c>
      <c r="L204" s="59">
        <f>IF(OR(WORLDCUP!AC124="",WORLDCUP!AD124=""),"PD",IF(WORLDCUP!AC124&gt;WORLDCUP!AD124,1,IF(WORLDCUP!AC124&lt;WORLDCUP!AD124,2,0)))</f>
        <v>2</v>
      </c>
      <c r="M204" s="61" t="str">
        <f t="shared" si="212"/>
        <v>0-1</v>
      </c>
      <c r="N204" s="25">
        <f>WORLDCUP!AC124</f>
        <v>0</v>
      </c>
      <c r="O204" s="25">
        <f>WORLDCUP!AD124</f>
        <v>1</v>
      </c>
      <c r="P204" s="25">
        <f t="shared" si="213"/>
        <v>-1</v>
      </c>
      <c r="Q204" s="25">
        <f t="shared" si="214"/>
        <v>1</v>
      </c>
      <c r="R204" s="116"/>
      <c r="S204" s="80" t="s">
        <v>1990</v>
      </c>
      <c r="T204" s="79">
        <f t="shared" ca="1" si="220"/>
        <v>7</v>
      </c>
      <c r="U204" s="116"/>
      <c r="V204" s="80" t="s">
        <v>2019</v>
      </c>
      <c r="W204" s="79">
        <f t="shared" ca="1" si="215"/>
        <v>0</v>
      </c>
      <c r="X204" s="116"/>
      <c r="Y204" s="86" t="s">
        <v>1990</v>
      </c>
      <c r="Z204" s="79">
        <f t="shared" ca="1" si="215"/>
        <v>7</v>
      </c>
      <c r="AA204" s="116"/>
      <c r="AB204" s="86" t="s">
        <v>1990</v>
      </c>
      <c r="AC204" s="79">
        <f t="shared" ca="1" si="215"/>
        <v>7</v>
      </c>
      <c r="AD204" s="116"/>
      <c r="AE204" s="86" t="s">
        <v>2072</v>
      </c>
      <c r="AF204" s="79">
        <f t="shared" ca="1" si="215"/>
        <v>0</v>
      </c>
      <c r="AG204" s="116"/>
      <c r="AH204" s="116"/>
    </row>
    <row r="205" spans="1:34" x14ac:dyDescent="0.2">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15">
        <f t="shared" si="219"/>
        <v>12</v>
      </c>
      <c r="G205" s="415">
        <f ca="1">VLOOKUP(H205,Equipos!$Q$1:$R$25,2,0)</f>
        <v>21</v>
      </c>
      <c r="H205" s="71" t="str">
        <f>Idiomas!$D$261</f>
        <v>Octavos de final</v>
      </c>
      <c r="I205" s="49">
        <v>1</v>
      </c>
      <c r="J205" s="851"/>
      <c r="K205" s="62" t="str">
        <f ca="1">CONCATENATE(WORLDCUP!AA125,"-",WORLDCUP!AF125)</f>
        <v>Estados Unidos-Bélgica</v>
      </c>
      <c r="L205" s="59">
        <f>IF(OR(WORLDCUP!AC125="",WORLDCUP!AD125=""),"PD",IF(WORLDCUP!AC125&gt;WORLDCUP!AD125,1,IF(WORLDCUP!AC125&lt;WORLDCUP!AD125,2,0)))</f>
        <v>2</v>
      </c>
      <c r="M205" s="61" t="str">
        <f t="shared" si="212"/>
        <v>1-4</v>
      </c>
      <c r="N205" s="25">
        <f>WORLDCUP!AC125</f>
        <v>1</v>
      </c>
      <c r="O205" s="25">
        <f>WORLDCUP!AD125</f>
        <v>4</v>
      </c>
      <c r="P205" s="25">
        <f t="shared" si="213"/>
        <v>-3</v>
      </c>
      <c r="Q205" s="25">
        <f t="shared" si="214"/>
        <v>3</v>
      </c>
      <c r="R205" s="116"/>
      <c r="S205" s="80" t="s">
        <v>1991</v>
      </c>
      <c r="T205" s="79">
        <f t="shared" ca="1" si="220"/>
        <v>0</v>
      </c>
      <c r="U205" s="116"/>
      <c r="V205" s="80" t="s">
        <v>2020</v>
      </c>
      <c r="W205" s="79">
        <f t="shared" ca="1" si="215"/>
        <v>0</v>
      </c>
      <c r="X205" s="116"/>
      <c r="Y205" s="86" t="s">
        <v>2040</v>
      </c>
      <c r="Z205" s="79">
        <f t="shared" ca="1" si="215"/>
        <v>4</v>
      </c>
      <c r="AA205" s="116"/>
      <c r="AB205" s="86" t="s">
        <v>1991</v>
      </c>
      <c r="AC205" s="79">
        <f t="shared" ca="1" si="215"/>
        <v>0</v>
      </c>
      <c r="AD205" s="116"/>
      <c r="AE205" s="86" t="s">
        <v>2073</v>
      </c>
      <c r="AF205" s="79">
        <f t="shared" ca="1" si="215"/>
        <v>4</v>
      </c>
      <c r="AG205" s="116"/>
      <c r="AH205" s="116"/>
    </row>
    <row r="206" spans="1:34" x14ac:dyDescent="0.2">
      <c r="A206" s="25">
        <f>WORLDCUP!AD126</f>
        <v>2</v>
      </c>
      <c r="B206" s="25">
        <f>WORLDCUP!AC126</f>
        <v>0</v>
      </c>
      <c r="C206" s="25" t="str">
        <f ca="1">CONCATENATE(WORLDCUP!AF126,"-",WORLDCUP!AA126)</f>
        <v>Egipto-Argentina</v>
      </c>
      <c r="D206" s="25">
        <f>IF(WORLDCUP!AC126&gt;WORLDCUP!AD126,2,IF(WORLDCUP!AC126&lt;WORLDCUP!AD126,1,IF(AND(WORLDCUP!AC126=WORLDCUP!AD126,WORLDCUP!AC126&lt;&gt;"",WORLDCUP!AD126&lt;&gt;""),0,"PD")))</f>
        <v>1</v>
      </c>
      <c r="E206" s="25" t="str">
        <f>IF(OR(WORLDCUP!AD126="",WORLDCUP!AC126=""),"-",A206&amp;"-"&amp;B206)</f>
        <v>2-0</v>
      </c>
      <c r="F206" s="415">
        <f t="shared" si="219"/>
        <v>12</v>
      </c>
      <c r="G206" s="415">
        <f ca="1">VLOOKUP(H206,Equipos!$Q$1:$R$25,2,0)</f>
        <v>21</v>
      </c>
      <c r="H206" s="71" t="str">
        <f>Idiomas!$D$261</f>
        <v>Octavos de final</v>
      </c>
      <c r="I206" s="49">
        <v>1</v>
      </c>
      <c r="J206" s="851"/>
      <c r="K206" s="62" t="str">
        <f ca="1">CONCATENATE(WORLDCUP!AA126,"-",WORLDCUP!AF126)</f>
        <v>Argentina-Egipto</v>
      </c>
      <c r="L206" s="59">
        <f>IF(OR(WORLDCUP!AC126="",WORLDCUP!AD126=""),"PD",IF(WORLDCUP!AC126&gt;WORLDCUP!AD126,1,IF(WORLDCUP!AC126&lt;WORLDCUP!AD126,2,0)))</f>
        <v>2</v>
      </c>
      <c r="M206" s="61" t="str">
        <f t="shared" si="212"/>
        <v>0-2</v>
      </c>
      <c r="N206" s="25">
        <f>WORLDCUP!AC126</f>
        <v>0</v>
      </c>
      <c r="O206" s="25">
        <f>WORLDCUP!AD126</f>
        <v>2</v>
      </c>
      <c r="P206" s="25">
        <f t="shared" si="213"/>
        <v>-2</v>
      </c>
      <c r="Q206" s="25">
        <f t="shared" si="214"/>
        <v>2</v>
      </c>
      <c r="R206" s="116"/>
      <c r="S206" s="80" t="s">
        <v>1992</v>
      </c>
      <c r="T206" s="79">
        <f t="shared" ca="1" si="220"/>
        <v>0</v>
      </c>
      <c r="U206" s="116"/>
      <c r="V206" s="80" t="s">
        <v>2021</v>
      </c>
      <c r="W206" s="79">
        <f t="shared" ca="1" si="215"/>
        <v>0</v>
      </c>
      <c r="X206" s="116"/>
      <c r="Y206" s="86" t="s">
        <v>1992</v>
      </c>
      <c r="Z206" s="79">
        <f t="shared" ca="1" si="215"/>
        <v>0</v>
      </c>
      <c r="AA206" s="116"/>
      <c r="AB206" s="86" t="s">
        <v>1992</v>
      </c>
      <c r="AC206" s="79">
        <f t="shared" ca="1" si="215"/>
        <v>0</v>
      </c>
      <c r="AD206" s="116"/>
      <c r="AE206" s="86" t="s">
        <v>1992</v>
      </c>
      <c r="AF206" s="79">
        <f t="shared" ca="1" si="215"/>
        <v>0</v>
      </c>
      <c r="AG206" s="116"/>
      <c r="AH206" s="116"/>
    </row>
    <row r="207" spans="1:34" x14ac:dyDescent="0.2">
      <c r="A207" s="25">
        <f>WORLDCUP!AD127</f>
        <v>0</v>
      </c>
      <c r="B207" s="25">
        <f>WORLDCUP!AC127</f>
        <v>0</v>
      </c>
      <c r="C207" s="25" t="str">
        <f ca="1">CONCATENATE(WORLDCUP!AF127,"-",WORLDCUP!AA127)</f>
        <v>Colombia-Suiza</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851"/>
      <c r="K207" s="121" t="str">
        <f ca="1">CONCATENATE(WORLDCUP!AA127,"-",WORLDCUP!AF127)</f>
        <v>Suiza-Colombia</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t="s">
        <v>1993</v>
      </c>
      <c r="T207" s="91">
        <f t="shared" ca="1" si="220"/>
        <v>0</v>
      </c>
      <c r="U207" s="116"/>
      <c r="V207" s="80" t="s">
        <v>2022</v>
      </c>
      <c r="W207" s="91">
        <f t="shared" ca="1" si="215"/>
        <v>0</v>
      </c>
      <c r="X207" s="116"/>
      <c r="Y207" s="86" t="s">
        <v>2041</v>
      </c>
      <c r="Z207" s="91">
        <f t="shared" ca="1" si="215"/>
        <v>0</v>
      </c>
      <c r="AA207" s="116"/>
      <c r="AB207" s="86" t="s">
        <v>2041</v>
      </c>
      <c r="AC207" s="91">
        <f t="shared" ca="1" si="215"/>
        <v>0</v>
      </c>
      <c r="AD207" s="116"/>
      <c r="AE207" s="86" t="s">
        <v>2074</v>
      </c>
      <c r="AF207" s="91">
        <f t="shared" ca="1"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 ca="1">SUM(T200:T207)</f>
        <v>18</v>
      </c>
      <c r="U208" s="55"/>
      <c r="V208" s="90"/>
      <c r="W208" s="77">
        <f t="shared" ref="W208" ca="1" si="221">SUM(W200:W207)</f>
        <v>0</v>
      </c>
      <c r="X208" s="55"/>
      <c r="Y208" s="90"/>
      <c r="Z208" s="77">
        <f t="shared" ref="Z208" ca="1" si="222">SUM(Z200:Z207)</f>
        <v>11</v>
      </c>
      <c r="AA208" s="55"/>
      <c r="AB208" s="90"/>
      <c r="AC208" s="77">
        <f t="shared" ref="AC208" ca="1" si="223">SUM(AC200:AC207)</f>
        <v>14</v>
      </c>
      <c r="AD208" s="55"/>
      <c r="AE208" s="90"/>
      <c r="AF208" s="77">
        <f t="shared" ref="AF208" ca="1" si="224">SUM(AF200:AF207)</f>
        <v>4</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851" t="s">
        <v>34</v>
      </c>
      <c r="K210" s="59" t="str">
        <f>Idiomas!$D$200&amp;"-"&amp;ROWS($L$210:L210)</f>
        <v>Cuartofinalista-1</v>
      </c>
      <c r="L210" s="59"/>
      <c r="M210" s="61" t="str">
        <f ca="1">WORLDCUP!AA131</f>
        <v>Francia</v>
      </c>
      <c r="N210" s="25"/>
      <c r="O210" s="25"/>
      <c r="P210" s="25"/>
      <c r="Q210" s="25"/>
      <c r="R210" s="116"/>
      <c r="S210" s="82" t="s">
        <v>74</v>
      </c>
      <c r="T210" s="83">
        <f t="shared" ref="T210:T217" ca="1" si="225">COUNTIF($M$210:$M$217,S210)*$D$23</f>
        <v>5</v>
      </c>
      <c r="U210" s="116"/>
      <c r="V210" s="82" t="s">
        <v>77</v>
      </c>
      <c r="W210" s="83">
        <f t="shared" ref="W210:W217" ca="1" si="226">COUNTIF($M$210:$M$217,V210)*$D$23</f>
        <v>0</v>
      </c>
      <c r="X210" s="116"/>
      <c r="Y210" s="82" t="s">
        <v>74</v>
      </c>
      <c r="Z210" s="83">
        <f t="shared" ref="Z210:Z217" ca="1" si="227">COUNTIF($M$210:$M$217,Y210)*$D$23</f>
        <v>5</v>
      </c>
      <c r="AA210" s="116"/>
      <c r="AB210" s="82" t="s">
        <v>74</v>
      </c>
      <c r="AC210" s="83">
        <f t="shared" ref="AC210:AC217" ca="1" si="228">COUNTIF($M$210:$M$217,AB210)*$D$23</f>
        <v>5</v>
      </c>
      <c r="AD210" s="116"/>
      <c r="AE210" s="82" t="s">
        <v>74</v>
      </c>
      <c r="AF210" s="83">
        <f t="shared" ref="AF210:AF217" ca="1" si="229">COUNTIF($M$210:$M$217,AE210)*$D$23</f>
        <v>5</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851"/>
      <c r="K211" s="62" t="str">
        <f>Idiomas!$D$200&amp;"-"&amp;ROWS($L$210:L211)</f>
        <v>Cuartofinalista-2</v>
      </c>
      <c r="L211" s="59"/>
      <c r="M211" s="61" t="str">
        <f ca="1">WORLDCUP!AA132</f>
        <v>España</v>
      </c>
      <c r="N211" s="25"/>
      <c r="O211" s="25"/>
      <c r="P211" s="25"/>
      <c r="Q211" s="25"/>
      <c r="R211" s="116"/>
      <c r="S211" s="80" t="s">
        <v>38</v>
      </c>
      <c r="T211" s="79">
        <f t="shared" ca="1" si="225"/>
        <v>5</v>
      </c>
      <c r="U211" s="116"/>
      <c r="V211" s="80" t="s">
        <v>38</v>
      </c>
      <c r="W211" s="79">
        <f t="shared" ca="1" si="226"/>
        <v>5</v>
      </c>
      <c r="X211" s="116"/>
      <c r="Y211" s="80" t="s">
        <v>38</v>
      </c>
      <c r="Z211" s="79">
        <f t="shared" ca="1" si="227"/>
        <v>5</v>
      </c>
      <c r="AA211" s="116"/>
      <c r="AB211" s="80" t="s">
        <v>38</v>
      </c>
      <c r="AC211" s="79">
        <f t="shared" ca="1" si="228"/>
        <v>5</v>
      </c>
      <c r="AD211" s="116"/>
      <c r="AE211" s="80" t="s">
        <v>38</v>
      </c>
      <c r="AF211" s="79">
        <f t="shared" ca="1" si="229"/>
        <v>5</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851"/>
      <c r="K212" s="62" t="str">
        <f>Idiomas!$D$200&amp;"-"&amp;ROWS($L$210:L212)</f>
        <v>Cuartofinalista-3</v>
      </c>
      <c r="L212" s="59"/>
      <c r="M212" s="61" t="str">
        <f ca="1">WORLDCUP!AA133</f>
        <v>Noruega</v>
      </c>
      <c r="N212" s="25"/>
      <c r="O212" s="25"/>
      <c r="P212" s="25"/>
      <c r="Q212" s="25"/>
      <c r="R212" s="116"/>
      <c r="S212" s="80" t="s">
        <v>1258</v>
      </c>
      <c r="T212" s="79">
        <f t="shared" ca="1" si="225"/>
        <v>0</v>
      </c>
      <c r="U212" s="116"/>
      <c r="V212" s="80" t="s">
        <v>1263</v>
      </c>
      <c r="W212" s="79">
        <f t="shared" ca="1" si="226"/>
        <v>0</v>
      </c>
      <c r="X212" s="116"/>
      <c r="Y212" s="80" t="s">
        <v>1258</v>
      </c>
      <c r="Z212" s="79">
        <f t="shared" ca="1" si="227"/>
        <v>0</v>
      </c>
      <c r="AA212" s="116"/>
      <c r="AB212" s="80" t="s">
        <v>1258</v>
      </c>
      <c r="AC212" s="79">
        <f t="shared" ca="1" si="228"/>
        <v>0</v>
      </c>
      <c r="AD212" s="116"/>
      <c r="AE212" s="80" t="s">
        <v>1258</v>
      </c>
      <c r="AF212" s="79">
        <f t="shared" ca="1"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851"/>
      <c r="K213" s="62" t="str">
        <f>Idiomas!$D$200&amp;"-"&amp;ROWS($L$210:L213)</f>
        <v>Cuartofinalista-4</v>
      </c>
      <c r="L213" s="59"/>
      <c r="M213" s="61" t="str">
        <f ca="1">WORLDCUP!AA134</f>
        <v>Egipto</v>
      </c>
      <c r="N213" s="25"/>
      <c r="O213" s="25"/>
      <c r="P213" s="25"/>
      <c r="Q213" s="25"/>
      <c r="R213" s="116"/>
      <c r="S213" s="80" t="s">
        <v>1256</v>
      </c>
      <c r="T213" s="79">
        <f t="shared" ca="1" si="225"/>
        <v>0</v>
      </c>
      <c r="U213" s="116"/>
      <c r="V213" s="80" t="s">
        <v>1256</v>
      </c>
      <c r="W213" s="79">
        <f t="shared" ca="1" si="226"/>
        <v>0</v>
      </c>
      <c r="X213" s="116"/>
      <c r="Y213" s="80" t="s">
        <v>1256</v>
      </c>
      <c r="Z213" s="79">
        <f t="shared" ca="1" si="227"/>
        <v>0</v>
      </c>
      <c r="AA213" s="116"/>
      <c r="AB213" s="80" t="s">
        <v>1256</v>
      </c>
      <c r="AC213" s="79">
        <f t="shared" ca="1" si="228"/>
        <v>0</v>
      </c>
      <c r="AD213" s="116"/>
      <c r="AE213" s="80" t="s">
        <v>1256</v>
      </c>
      <c r="AF213" s="79">
        <f t="shared" ca="1"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851"/>
      <c r="K214" s="62" t="str">
        <f>Idiomas!$D$200&amp;"-"&amp;ROWS($L$210:L214)</f>
        <v>Cuartofinalista-5</v>
      </c>
      <c r="L214" s="59"/>
      <c r="M214" s="61" t="str">
        <f ca="1">WORLDCUP!AF131</f>
        <v>Marruecos</v>
      </c>
      <c r="N214" s="25"/>
      <c r="O214" s="25"/>
      <c r="P214" s="25"/>
      <c r="Q214" s="25"/>
      <c r="R214" s="116"/>
      <c r="S214" s="80" t="s">
        <v>1321</v>
      </c>
      <c r="T214" s="79">
        <f t="shared" ca="1" si="225"/>
        <v>5</v>
      </c>
      <c r="U214" s="116"/>
      <c r="V214" s="80" t="s">
        <v>111</v>
      </c>
      <c r="W214" s="79">
        <f t="shared" ca="1" si="226"/>
        <v>0</v>
      </c>
      <c r="X214" s="116"/>
      <c r="Y214" s="80" t="s">
        <v>111</v>
      </c>
      <c r="Z214" s="79">
        <f t="shared" ca="1" si="227"/>
        <v>0</v>
      </c>
      <c r="AA214" s="116"/>
      <c r="AB214" s="80" t="s">
        <v>111</v>
      </c>
      <c r="AC214" s="79">
        <f t="shared" ca="1" si="228"/>
        <v>0</v>
      </c>
      <c r="AD214" s="116"/>
      <c r="AE214" s="80" t="s">
        <v>111</v>
      </c>
      <c r="AF214" s="79">
        <f t="shared" ca="1"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851"/>
      <c r="K215" s="62" t="str">
        <f>Idiomas!$D$200&amp;"-"&amp;ROWS($L$210:L215)</f>
        <v>Cuartofinalista-6</v>
      </c>
      <c r="L215" s="59"/>
      <c r="M215" s="61" t="str">
        <f ca="1">WORLDCUP!AF132</f>
        <v>Bélgica</v>
      </c>
      <c r="N215" s="25"/>
      <c r="O215" s="25"/>
      <c r="P215" s="25"/>
      <c r="Q215" s="25"/>
      <c r="R215" s="116"/>
      <c r="S215" s="80" t="s">
        <v>497</v>
      </c>
      <c r="T215" s="79">
        <f t="shared" ca="1" si="225"/>
        <v>0</v>
      </c>
      <c r="U215" s="116"/>
      <c r="V215" s="80" t="s">
        <v>497</v>
      </c>
      <c r="W215" s="79">
        <f t="shared" ca="1" si="226"/>
        <v>0</v>
      </c>
      <c r="X215" s="116"/>
      <c r="Y215" s="80" t="s">
        <v>110</v>
      </c>
      <c r="Z215" s="79">
        <f t="shared" ca="1" si="227"/>
        <v>5</v>
      </c>
      <c r="AA215" s="116"/>
      <c r="AB215" s="80" t="s">
        <v>497</v>
      </c>
      <c r="AC215" s="79">
        <f t="shared" ca="1" si="228"/>
        <v>0</v>
      </c>
      <c r="AD215" s="116"/>
      <c r="AE215" s="80" t="s">
        <v>110</v>
      </c>
      <c r="AF215" s="79">
        <f t="shared" ca="1" si="229"/>
        <v>5</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851"/>
      <c r="K216" s="62" t="str">
        <f>Idiomas!$D$200&amp;"-"&amp;ROWS($L$210:L216)</f>
        <v>Cuartofinalista-7</v>
      </c>
      <c r="L216" s="59"/>
      <c r="M216" s="61" t="str">
        <f ca="1">WORLDCUP!AF133</f>
        <v>Inglaterra</v>
      </c>
      <c r="N216" s="25"/>
      <c r="O216" s="25"/>
      <c r="P216" s="25"/>
      <c r="Q216" s="25"/>
      <c r="R216" s="116"/>
      <c r="S216" s="80" t="s">
        <v>76</v>
      </c>
      <c r="T216" s="79">
        <f t="shared" ca="1" si="225"/>
        <v>5</v>
      </c>
      <c r="U216" s="116"/>
      <c r="V216" s="80" t="s">
        <v>76</v>
      </c>
      <c r="W216" s="79">
        <f t="shared" ca="1" si="226"/>
        <v>5</v>
      </c>
      <c r="X216" s="116"/>
      <c r="Y216" s="80" t="s">
        <v>76</v>
      </c>
      <c r="Z216" s="79">
        <f t="shared" ca="1" si="227"/>
        <v>5</v>
      </c>
      <c r="AA216" s="116"/>
      <c r="AB216" s="80" t="s">
        <v>76</v>
      </c>
      <c r="AC216" s="79">
        <f t="shared" ca="1" si="228"/>
        <v>5</v>
      </c>
      <c r="AD216" s="116"/>
      <c r="AE216" s="80" t="s">
        <v>76</v>
      </c>
      <c r="AF216" s="79">
        <f t="shared" ca="1" si="229"/>
        <v>5</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851"/>
      <c r="K217" s="121" t="str">
        <f>Idiomas!$D$200&amp;"-"&amp;ROWS($L$210:L217)</f>
        <v>Cuartofinalista-8</v>
      </c>
      <c r="L217" s="121"/>
      <c r="M217" s="122" t="str">
        <f>WORLDCUP!AF134</f>
        <v>W96</v>
      </c>
      <c r="N217" s="25"/>
      <c r="O217" s="25"/>
      <c r="P217" s="25"/>
      <c r="Q217" s="25"/>
      <c r="R217" s="116"/>
      <c r="S217" s="86" t="s">
        <v>1320</v>
      </c>
      <c r="T217" s="87">
        <f t="shared" ca="1" si="225"/>
        <v>0</v>
      </c>
      <c r="U217" s="116"/>
      <c r="V217" s="86" t="s">
        <v>75</v>
      </c>
      <c r="W217" s="87">
        <f t="shared" ca="1" si="226"/>
        <v>0</v>
      </c>
      <c r="X217" s="116"/>
      <c r="Y217" s="86" t="s">
        <v>1320</v>
      </c>
      <c r="Z217" s="87">
        <f t="shared" ca="1" si="227"/>
        <v>0</v>
      </c>
      <c r="AA217" s="116"/>
      <c r="AB217" s="86" t="s">
        <v>1320</v>
      </c>
      <c r="AC217" s="87">
        <f t="shared" ca="1" si="228"/>
        <v>0</v>
      </c>
      <c r="AD217" s="116"/>
      <c r="AE217" s="86" t="s">
        <v>75</v>
      </c>
      <c r="AF217" s="87">
        <f t="shared" ca="1"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 ca="1">"Max: "&amp;$D$23*COUNT(T210:T217)</f>
        <v>Max: 40</v>
      </c>
      <c r="N218" s="25"/>
      <c r="O218" s="25"/>
      <c r="P218" s="25"/>
      <c r="Q218" s="25"/>
      <c r="R218" s="55"/>
      <c r="S218" s="90"/>
      <c r="T218" s="77">
        <f ca="1">SUM(T210:T217)</f>
        <v>20</v>
      </c>
      <c r="U218" s="55"/>
      <c r="V218" s="90"/>
      <c r="W218" s="77">
        <f t="shared" ref="W218" ca="1" si="231">SUM(W210:W217)</f>
        <v>10</v>
      </c>
      <c r="X218" s="55"/>
      <c r="Y218" s="90"/>
      <c r="Z218" s="77">
        <f t="shared" ref="Z218" ca="1" si="232">SUM(Z210:Z217)</f>
        <v>20</v>
      </c>
      <c r="AA218" s="55"/>
      <c r="AB218" s="90"/>
      <c r="AC218" s="77">
        <f t="shared" ref="AC218" ca="1" si="233">SUM(AC210:AC217)</f>
        <v>15</v>
      </c>
      <c r="AD218" s="55"/>
      <c r="AE218" s="90"/>
      <c r="AF218" s="77">
        <f t="shared" ref="AF218" ca="1" si="234">SUM(AF210:AF217)</f>
        <v>20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 ca="1">CONCATENATE(WORLDCUP!AF131,"-",WORLDCUP!AA131)</f>
        <v>Marruecos-Francia</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851" t="s">
        <v>34</v>
      </c>
      <c r="K220" s="59" t="str">
        <f ca="1">CONCATENATE(WORLDCUP!AA131,"-",WORLDCUP!AF131)</f>
        <v>Francia-Marruecos</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
        <v>1994</v>
      </c>
      <c r="T220" s="83">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
        <v>2023</v>
      </c>
      <c r="W220" s="83">
        <f t="shared" ref="W220:AF223" ca="1"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
        <v>2042</v>
      </c>
      <c r="Z220" s="83">
        <f t="shared" ref="Z220" ca="1"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
        <v>2059</v>
      </c>
      <c r="AC220" s="83">
        <f t="shared" ref="AC220" ca="1"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
        <v>2075</v>
      </c>
      <c r="AF220" s="83">
        <f t="shared" ref="AF220" ca="1"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 ca="1">CONCATENATE(WORLDCUP!AF132,"-",WORLDCUP!AA132)</f>
        <v>Bélgica-España</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851"/>
      <c r="K221" s="62" t="str">
        <f ca="1">CONCATENATE(WORLDCUP!AA132,"-",WORLDCUP!AF132)</f>
        <v>España-Bélgica</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t="s">
        <v>1995</v>
      </c>
      <c r="T221" s="83">
        <f t="shared" ref="T221:T223" ca="1"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t="s">
        <v>1995</v>
      </c>
      <c r="W221" s="83">
        <f t="shared" ca="1" si="237"/>
        <v>0</v>
      </c>
      <c r="X221" s="116"/>
      <c r="Y221" s="80" t="s">
        <v>2043</v>
      </c>
      <c r="Z221" s="83">
        <f t="shared" ca="1" si="237"/>
        <v>0</v>
      </c>
      <c r="AA221" s="116"/>
      <c r="AB221" s="80" t="s">
        <v>1995</v>
      </c>
      <c r="AC221" s="83">
        <f t="shared" ca="1" si="237"/>
        <v>0</v>
      </c>
      <c r="AD221" s="116"/>
      <c r="AE221" s="80" t="s">
        <v>2076</v>
      </c>
      <c r="AF221" s="83">
        <f t="shared" ca="1" si="237"/>
        <v>0</v>
      </c>
      <c r="AG221" s="116"/>
      <c r="AH221" s="116"/>
    </row>
    <row r="222" spans="1:34" x14ac:dyDescent="0.2">
      <c r="A222" s="25">
        <f>WORLDCUP!AD133</f>
        <v>0</v>
      </c>
      <c r="B222" s="25">
        <f>WORLDCUP!AC133</f>
        <v>0</v>
      </c>
      <c r="C222" s="25" t="str">
        <f ca="1">CONCATENATE(WORLDCUP!AF133,"-",WORLDCUP!AA133)</f>
        <v>Inglaterra-Noruega</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851"/>
      <c r="K222" s="62" t="str">
        <f ca="1">CONCATENATE(WORLDCUP!AA133,"-",WORLDCUP!AF133)</f>
        <v>Noruega-Inglaterra</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t="s">
        <v>1996</v>
      </c>
      <c r="T222" s="83">
        <f t="shared" ca="1" si="242"/>
        <v>0</v>
      </c>
      <c r="U222" s="116"/>
      <c r="V222" s="80" t="s">
        <v>2024</v>
      </c>
      <c r="W222" s="83">
        <f t="shared" ca="1" si="237"/>
        <v>0</v>
      </c>
      <c r="X222" s="116"/>
      <c r="Y222" s="80" t="s">
        <v>2044</v>
      </c>
      <c r="Z222" s="83">
        <f t="shared" ca="1" si="237"/>
        <v>0</v>
      </c>
      <c r="AA222" s="116"/>
      <c r="AB222" s="80" t="s">
        <v>1996</v>
      </c>
      <c r="AC222" s="83">
        <f t="shared" ca="1" si="237"/>
        <v>0</v>
      </c>
      <c r="AD222" s="116"/>
      <c r="AE222" s="80" t="s">
        <v>1996</v>
      </c>
      <c r="AF222" s="83">
        <f t="shared" ca="1" si="237"/>
        <v>0</v>
      </c>
      <c r="AG222" s="116"/>
      <c r="AH222" s="116"/>
    </row>
    <row r="223" spans="1:34" x14ac:dyDescent="0.2">
      <c r="A223" s="25">
        <f>WORLDCUP!AD134</f>
        <v>0</v>
      </c>
      <c r="B223" s="25">
        <f>WORLDCUP!AC134</f>
        <v>0</v>
      </c>
      <c r="C223" s="25" t="str">
        <f ca="1">CONCATENATE(WORLDCUP!AF134,"-",WORLDCUP!AA134)</f>
        <v>W96-Egipto</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851"/>
      <c r="K223" s="121" t="str">
        <f ca="1">CONCATENATE(WORLDCUP!AA134,"-",WORLDCUP!AF134)</f>
        <v>Egipto-W96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t="s">
        <v>1997</v>
      </c>
      <c r="T223" s="87">
        <f t="shared" ca="1" si="242"/>
        <v>0</v>
      </c>
      <c r="U223" s="116"/>
      <c r="V223" s="86" t="s">
        <v>2025</v>
      </c>
      <c r="W223" s="87">
        <f t="shared" ca="1" si="237"/>
        <v>0</v>
      </c>
      <c r="X223" s="116"/>
      <c r="Y223" s="86" t="s">
        <v>2045</v>
      </c>
      <c r="Z223" s="87">
        <f t="shared" ca="1" si="237"/>
        <v>0</v>
      </c>
      <c r="AA223" s="116"/>
      <c r="AB223" s="86" t="s">
        <v>1997</v>
      </c>
      <c r="AC223" s="87">
        <f t="shared" ca="1" si="237"/>
        <v>0</v>
      </c>
      <c r="AD223" s="116"/>
      <c r="AE223" s="86" t="s">
        <v>2077</v>
      </c>
      <c r="AF223" s="87">
        <f t="shared" ca="1"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 ca="1">SUM(T220:T223)</f>
        <v>0</v>
      </c>
      <c r="U224" s="71"/>
      <c r="V224" s="90"/>
      <c r="W224" s="77">
        <f t="shared" ref="W224" ca="1" si="243">SUM(W220:W223)</f>
        <v>0</v>
      </c>
      <c r="X224" s="71"/>
      <c r="Y224" s="90"/>
      <c r="Z224" s="77">
        <f t="shared" ref="Z224" ca="1" si="244">SUM(Z220:Z223)</f>
        <v>0</v>
      </c>
      <c r="AA224" s="71"/>
      <c r="AB224" s="90"/>
      <c r="AC224" s="77">
        <f t="shared" ref="AC224" ca="1" si="245">SUM(AC220:AC223)</f>
        <v>0</v>
      </c>
      <c r="AD224" s="71"/>
      <c r="AE224" s="90"/>
      <c r="AF224" s="77">
        <f t="shared" ref="AF224" ca="1"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851" t="s">
        <v>35</v>
      </c>
      <c r="K226" s="59" t="str">
        <f>Idiomas!$D$201&amp;"-"&amp;ROWS($L$226:L226)</f>
        <v>Semifinalista-1</v>
      </c>
      <c r="L226" s="59"/>
      <c r="M226" s="61" t="str">
        <f>WORLDCUP!AA138</f>
        <v>W97</v>
      </c>
      <c r="N226" s="25"/>
      <c r="O226" s="25"/>
      <c r="P226" s="25"/>
      <c r="Q226" s="25"/>
      <c r="R226" s="116"/>
      <c r="S226" s="82" t="s">
        <v>74</v>
      </c>
      <c r="T226" s="83">
        <f>COUNTIF($M$226:$M$229,S226)*$D$27</f>
        <v>0</v>
      </c>
      <c r="U226" s="70"/>
      <c r="V226" s="82" t="s">
        <v>77</v>
      </c>
      <c r="W226" s="83">
        <f t="shared" ref="W226" si="247">COUNTIF($M$226:$M$229,V226)*$D$27</f>
        <v>0</v>
      </c>
      <c r="X226" s="70"/>
      <c r="Y226" s="82" t="s">
        <v>74</v>
      </c>
      <c r="Z226" s="83">
        <f t="shared" ref="Z226" si="248">COUNTIF($M$226:$M$229,Y226)*$D$27</f>
        <v>0</v>
      </c>
      <c r="AA226" s="70"/>
      <c r="AB226" s="82" t="s">
        <v>74</v>
      </c>
      <c r="AC226" s="83">
        <f t="shared" ref="AC226" si="249">COUNTIF($M$226:$M$229,AB226)*$D$27</f>
        <v>0</v>
      </c>
      <c r="AD226" s="70"/>
      <c r="AE226" s="82" t="s">
        <v>74</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851"/>
      <c r="K227" s="62" t="str">
        <f>Idiomas!$D$201&amp;"-"&amp;ROWS($L$226:L227)</f>
        <v>Semifinalista-2</v>
      </c>
      <c r="L227" s="59"/>
      <c r="M227" s="61" t="str">
        <f>WORLDCUP!AA139</f>
        <v>W99</v>
      </c>
      <c r="N227" s="25"/>
      <c r="O227" s="25"/>
      <c r="P227" s="25"/>
      <c r="Q227" s="25"/>
      <c r="R227" s="116"/>
      <c r="S227" s="80" t="s">
        <v>76</v>
      </c>
      <c r="T227" s="79">
        <f>COUNTIF($M$226:$M$229,S227)*$D$27</f>
        <v>0</v>
      </c>
      <c r="U227" s="70"/>
      <c r="V227" s="80" t="s">
        <v>76</v>
      </c>
      <c r="W227" s="79">
        <f t="shared" ref="W227" si="252">COUNTIF($M$226:$M$229,V227)*$D$27</f>
        <v>0</v>
      </c>
      <c r="X227" s="70"/>
      <c r="Y227" s="80" t="s">
        <v>1258</v>
      </c>
      <c r="Z227" s="79">
        <f t="shared" ref="Z227" si="253">COUNTIF($M$226:$M$229,Y227)*$D$27</f>
        <v>0</v>
      </c>
      <c r="AA227" s="70"/>
      <c r="AB227" s="80" t="s">
        <v>76</v>
      </c>
      <c r="AC227" s="79">
        <f t="shared" ref="AC227" si="254">COUNTIF($M$226:$M$229,AB227)*$D$27</f>
        <v>0</v>
      </c>
      <c r="AD227" s="70"/>
      <c r="AE227" s="80" t="s">
        <v>76</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851"/>
      <c r="K228" s="62" t="str">
        <f>Idiomas!$D$201&amp;"-"&amp;ROWS($L$226:L228)</f>
        <v>Semifinalista-3</v>
      </c>
      <c r="L228" s="59"/>
      <c r="M228" s="61" t="str">
        <f>WORLDCUP!AF138</f>
        <v>W98</v>
      </c>
      <c r="N228" s="25"/>
      <c r="O228" s="25"/>
      <c r="P228" s="25"/>
      <c r="Q228" s="25"/>
      <c r="R228" s="116"/>
      <c r="S228" s="80" t="s">
        <v>38</v>
      </c>
      <c r="T228" s="79">
        <f>COUNTIF($M$226:$M$229,S228)*$D$27</f>
        <v>0</v>
      </c>
      <c r="U228" s="70"/>
      <c r="V228" s="80" t="s">
        <v>38</v>
      </c>
      <c r="W228" s="79">
        <f t="shared" ref="W228" si="256">COUNTIF($M$226:$M$229,V228)*$D$27</f>
        <v>0</v>
      </c>
      <c r="X228" s="70"/>
      <c r="Y228" s="80" t="s">
        <v>38</v>
      </c>
      <c r="Z228" s="79">
        <f t="shared" ref="Z228" si="257">COUNTIF($M$226:$M$229,Y228)*$D$27</f>
        <v>0</v>
      </c>
      <c r="AA228" s="70"/>
      <c r="AB228" s="80" t="s">
        <v>38</v>
      </c>
      <c r="AC228" s="79">
        <f t="shared" ref="AC228" si="258">COUNTIF($M$226:$M$229,AB228)*$D$27</f>
        <v>0</v>
      </c>
      <c r="AD228" s="70"/>
      <c r="AE228" s="80" t="s">
        <v>38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851"/>
      <c r="K229" s="62" t="str">
        <f>Idiomas!$D$201&amp;"-"&amp;ROWS($L$226:L229)</f>
        <v>Semifinalista-4</v>
      </c>
      <c r="L229" s="59"/>
      <c r="M229" s="61" t="str">
        <f>WORLDCUP!AF139</f>
        <v>W100</v>
      </c>
      <c r="N229" s="25"/>
      <c r="O229" s="25"/>
      <c r="P229" s="25"/>
      <c r="Q229" s="25"/>
      <c r="R229" s="116"/>
      <c r="S229" s="86" t="s">
        <v>1256</v>
      </c>
      <c r="T229" s="87">
        <f>COUNTIF($M$226:$M$229,S229)*$D$27</f>
        <v>0</v>
      </c>
      <c r="U229" s="70"/>
      <c r="V229" s="86" t="s">
        <v>1256</v>
      </c>
      <c r="W229" s="87">
        <f t="shared" ref="W229" si="260">COUNTIF($M$226:$M$229,V229)*$D$27</f>
        <v>0</v>
      </c>
      <c r="X229" s="70"/>
      <c r="Y229" s="86" t="s">
        <v>1256</v>
      </c>
      <c r="Z229" s="87">
        <f t="shared" ref="Z229" si="261">COUNTIF($M$226:$M$229,Y229)*$D$27</f>
        <v>0</v>
      </c>
      <c r="AA229" s="70"/>
      <c r="AB229" s="86" t="s">
        <v>1256</v>
      </c>
      <c r="AC229" s="87">
        <f t="shared" ref="AC229" si="262">COUNTIF($M$226:$M$229,AB229)*$D$27</f>
        <v>0</v>
      </c>
      <c r="AD229" s="70"/>
      <c r="AE229" s="86" t="s">
        <v>1256</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852"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
        <v>1998</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
        <v>2026</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
        <v>2046</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
        <v>1998</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
        <v>2078</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852"/>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t="s">
        <v>1999</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t="s">
        <v>2027</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t="s">
        <v>2047</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t="s">
        <v>2060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t="s">
        <v>1999</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852" t="s">
        <v>493</v>
      </c>
      <c r="K236" s="59" t="str">
        <f>Idiomas!D202&amp;"-"&amp;ROWS($L$236:L236)</f>
        <v>3º y 4º puesto-1</v>
      </c>
      <c r="L236" s="59"/>
      <c r="M236" s="61" t="str">
        <f>WORLDCUP!AA143</f>
        <v>L101</v>
      </c>
      <c r="N236" s="25"/>
      <c r="O236" s="25"/>
      <c r="P236" s="25"/>
      <c r="Q236" s="25"/>
      <c r="R236" s="17"/>
      <c r="S236" s="82" t="s">
        <v>38</v>
      </c>
      <c r="T236" s="83">
        <f>COUNTIF($M$236:$M$237,S236)*$D$31</f>
        <v>0</v>
      </c>
      <c r="U236" s="116"/>
      <c r="V236" s="82" t="s">
        <v>77</v>
      </c>
      <c r="W236" s="83">
        <f t="shared" ref="W236" si="281">COUNTIF($M$236:$M$237,V236)*$D$31</f>
        <v>0</v>
      </c>
      <c r="X236" s="116"/>
      <c r="Y236" s="82" t="s">
        <v>38</v>
      </c>
      <c r="Z236" s="83">
        <f t="shared" ref="Z236" si="282">COUNTIF($M$236:$M$237,Y236)*$D$31</f>
        <v>0</v>
      </c>
      <c r="AA236" s="116"/>
      <c r="AB236" s="82" t="s">
        <v>38</v>
      </c>
      <c r="AC236" s="83">
        <f t="shared" ref="AC236" si="283">COUNTIF($M$236:$M$237,AB236)*$D$31</f>
        <v>0</v>
      </c>
      <c r="AD236" s="116"/>
      <c r="AE236" s="82" t="s">
        <v>38</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852"/>
      <c r="K237" s="121" t="str">
        <f>Idiomas!D203&amp;"-"&amp;ROWS($L$236:L237)</f>
        <v>Finalista-2</v>
      </c>
      <c r="L237" s="121"/>
      <c r="M237" s="122" t="str">
        <f>WORLDCUP!AF143</f>
        <v>L102</v>
      </c>
      <c r="N237" s="25"/>
      <c r="O237" s="25"/>
      <c r="P237" s="25"/>
      <c r="Q237" s="25"/>
      <c r="R237" s="17"/>
      <c r="S237" s="86" t="s">
        <v>1256</v>
      </c>
      <c r="T237" s="87">
        <f>COUNTIF($M$236:$M$237,S237)*$D$31</f>
        <v>0</v>
      </c>
      <c r="U237" s="116"/>
      <c r="V237" s="86" t="s">
        <v>1256</v>
      </c>
      <c r="W237" s="87">
        <f t="shared" ref="W237" si="285">COUNTIF($M$236:$M$237,V237)*$D$31</f>
        <v>0</v>
      </c>
      <c r="X237" s="116"/>
      <c r="Y237" s="86" t="s">
        <v>1258</v>
      </c>
      <c r="Z237" s="87">
        <f t="shared" ref="Z237" si="286">COUNTIF($M$236:$M$237,Y237)*$D$31</f>
        <v>0</v>
      </c>
      <c r="AA237" s="116"/>
      <c r="AB237" s="86" t="s">
        <v>76</v>
      </c>
      <c r="AC237" s="87">
        <f t="shared" ref="AC237" si="287">COUNTIF($M$236:$M$237,AB237)*$D$31</f>
        <v>0</v>
      </c>
      <c r="AD237" s="116"/>
      <c r="AE237" s="86" t="s">
        <v>1256</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852" t="s">
        <v>4</v>
      </c>
      <c r="K240" s="59" t="str">
        <f>Idiomas!$D$203&amp;"-"&amp;ROWS($L$240:L240)</f>
        <v>Finalista-1</v>
      </c>
      <c r="L240" s="59"/>
      <c r="M240" s="61" t="str">
        <f>WORLDCUP!AA147</f>
        <v>W101</v>
      </c>
      <c r="N240" s="25"/>
      <c r="O240" s="25"/>
      <c r="P240" s="25"/>
      <c r="Q240" s="25"/>
      <c r="R240" s="17"/>
      <c r="S240" s="82" t="s">
        <v>74</v>
      </c>
      <c r="T240" s="83">
        <f>COUNTIF($M$240:$M$241,S240)*$D$32</f>
        <v>0</v>
      </c>
      <c r="U240" s="116"/>
      <c r="V240" s="82" t="s">
        <v>38</v>
      </c>
      <c r="W240" s="83">
        <f t="shared" ref="W240" si="293">COUNTIF($M$240:$M$241,V240)*$D$32</f>
        <v>0</v>
      </c>
      <c r="X240" s="116"/>
      <c r="Y240" s="82" t="s">
        <v>74</v>
      </c>
      <c r="Z240" s="83">
        <f t="shared" ref="Z240" si="294">COUNTIF($M$240:$M$241,Y240)*$D$32</f>
        <v>0</v>
      </c>
      <c r="AA240" s="116"/>
      <c r="AB240" s="82" t="s">
        <v>74</v>
      </c>
      <c r="AC240" s="83">
        <f t="shared" ref="AC240" si="295">COUNTIF($M$240:$M$241,AB240)*$D$32</f>
        <v>0</v>
      </c>
      <c r="AD240" s="116"/>
      <c r="AE240" s="82" t="s">
        <v>74</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852"/>
      <c r="K241" s="121" t="str">
        <f>Idiomas!$D$203&amp;"-"&amp;ROWS($L$240:L241)</f>
        <v>Finalista-2</v>
      </c>
      <c r="L241" s="121"/>
      <c r="M241" s="122" t="str">
        <f>WORLDCUP!AF147</f>
        <v>W102</v>
      </c>
      <c r="N241" s="25"/>
      <c r="O241" s="25"/>
      <c r="P241" s="25"/>
      <c r="Q241" s="25"/>
      <c r="R241" s="17"/>
      <c r="S241" s="86" t="s">
        <v>76</v>
      </c>
      <c r="T241" s="87">
        <f>COUNTIF($M$240:$M$241,S241)*$D$32</f>
        <v>0</v>
      </c>
      <c r="U241" s="116"/>
      <c r="V241" s="86" t="s">
        <v>76</v>
      </c>
      <c r="W241" s="87">
        <f t="shared" ref="W241" si="297">COUNTIF($M$240:$M$241,V241)*$D$32</f>
        <v>0</v>
      </c>
      <c r="X241" s="116"/>
      <c r="Y241" s="86" t="s">
        <v>1256</v>
      </c>
      <c r="Z241" s="87">
        <f t="shared" ref="Z241" si="298">COUNTIF($M$240:$M$241,Y241)*$D$32</f>
        <v>0</v>
      </c>
      <c r="AA241" s="116"/>
      <c r="AB241" s="86" t="s">
        <v>1256</v>
      </c>
      <c r="AC241" s="87">
        <f t="shared" ref="AC241" si="299">COUNTIF($M$240:$M$241,AB241)*$D$32</f>
        <v>0</v>
      </c>
      <c r="AD241" s="116"/>
      <c r="AE241" s="86" t="s">
        <v>76</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
        <v>2000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
        <v>2028</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
        <v>2048</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
        <v>2061</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
        <v>2000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t="s">
        <v>2001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t="s">
        <v>2029</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t="s">
        <v>2049</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t="s">
        <v>2062</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t="s">
        <v>2079</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t="s">
        <v>74</v>
      </c>
      <c r="T250" s="83">
        <f>COUNTIF($M$250,S250)*$D$39</f>
        <v>0</v>
      </c>
      <c r="U250" s="70"/>
      <c r="V250" s="82" t="s">
        <v>38</v>
      </c>
      <c r="W250" s="83">
        <f t="shared" ref="W250" si="321">COUNTIF($M$250,V250)*$D$39</f>
        <v>0</v>
      </c>
      <c r="X250" s="70"/>
      <c r="Y250" s="82" t="s">
        <v>74</v>
      </c>
      <c r="Z250" s="83">
        <f t="shared" ref="Z250" si="322">COUNTIF($M$250,Y250)*$D$39</f>
        <v>0</v>
      </c>
      <c r="AA250" s="70"/>
      <c r="AB250" s="82" t="s">
        <v>74</v>
      </c>
      <c r="AC250" s="83">
        <f t="shared" ref="AC250" si="323">COUNTIF($M$250,AB250)*$D$39</f>
        <v>0</v>
      </c>
      <c r="AD250" s="70"/>
      <c r="AE250" s="82" t="s">
        <v>74</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t="s">
        <v>76</v>
      </c>
      <c r="T251" s="79">
        <f>COUNTIF($M$251,S251)*$D$40</f>
        <v>0</v>
      </c>
      <c r="U251" s="70"/>
      <c r="V251" s="80" t="s">
        <v>76</v>
      </c>
      <c r="W251" s="79">
        <f t="shared" ref="W251" si="325">COUNTIF($M$251,V251)*$D$40</f>
        <v>0</v>
      </c>
      <c r="X251" s="70"/>
      <c r="Y251" s="80" t="s">
        <v>1256</v>
      </c>
      <c r="Z251" s="79">
        <f t="shared" ref="Z251" si="326">COUNTIF($M$251,Y251)*$D$40</f>
        <v>0</v>
      </c>
      <c r="AA251" s="70"/>
      <c r="AB251" s="80" t="s">
        <v>1256</v>
      </c>
      <c r="AC251" s="79">
        <f t="shared" ref="AC251" si="327">COUNTIF($M$251,AB251)*$D$40</f>
        <v>0</v>
      </c>
      <c r="AD251" s="70"/>
      <c r="AE251" s="80" t="s">
        <v>76</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t="s">
        <v>38</v>
      </c>
      <c r="T252" s="79">
        <f>COUNTIF($M$252,S252)*$D$41</f>
        <v>0</v>
      </c>
      <c r="U252" s="70"/>
      <c r="V252" s="80" t="s">
        <v>77</v>
      </c>
      <c r="W252" s="79">
        <f t="shared" ref="W252" si="329">COUNTIF($M$252,V252)*$D$41</f>
        <v>0</v>
      </c>
      <c r="X252" s="70"/>
      <c r="Y252" s="80" t="s">
        <v>38</v>
      </c>
      <c r="Z252" s="79">
        <f t="shared" ref="Z252" si="330">COUNTIF($M$252,Y252)*$D$41</f>
        <v>0</v>
      </c>
      <c r="AA252" s="70"/>
      <c r="AB252" s="80" t="s">
        <v>38</v>
      </c>
      <c r="AC252" s="79">
        <f t="shared" ref="AC252" si="331">COUNTIF($M$252,AB252)*$D$41</f>
        <v>0</v>
      </c>
      <c r="AD252" s="70"/>
      <c r="AE252" s="80" t="s">
        <v>38</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2080</v>
      </c>
      <c r="T253" s="79">
        <f>COUNTIF($M$253,S253)*$D$42</f>
        <v>0</v>
      </c>
      <c r="U253" s="70"/>
      <c r="V253" s="80" t="s">
        <v>2080</v>
      </c>
      <c r="W253" s="79">
        <f t="shared" ref="W253" si="333">COUNTIF($M$253,V253)*$D$42</f>
        <v>0</v>
      </c>
      <c r="X253" s="70"/>
      <c r="Y253" s="80" t="s">
        <v>2090</v>
      </c>
      <c r="Z253" s="79">
        <f t="shared" ref="Z253" si="334">COUNTIF($M$253,Y253)*$D$42</f>
        <v>0</v>
      </c>
      <c r="AA253" s="70"/>
      <c r="AB253" s="80" t="s">
        <v>2080</v>
      </c>
      <c r="AC253" s="79">
        <f t="shared" ref="AC253" si="335">COUNTIF($M$253,AB253)*$D$42</f>
        <v>0</v>
      </c>
      <c r="AD253" s="70"/>
      <c r="AE253" s="80" t="s">
        <v>2080</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2081</v>
      </c>
      <c r="T254" s="79">
        <f>COUNTIF($M$254,S254)*$D$43</f>
        <v>0</v>
      </c>
      <c r="U254" s="70"/>
      <c r="V254" s="80" t="s">
        <v>2086</v>
      </c>
      <c r="W254" s="79">
        <f t="shared" ref="W254" si="337">COUNTIF($M$254,V254)*$D$43</f>
        <v>0</v>
      </c>
      <c r="X254" s="70"/>
      <c r="Y254" s="80" t="s">
        <v>2080</v>
      </c>
      <c r="Z254" s="79">
        <f t="shared" ref="Z254" si="338">COUNTIF($M$254,Y254)*$D$43</f>
        <v>0</v>
      </c>
      <c r="AA254" s="70"/>
      <c r="AB254" s="80" t="s">
        <v>2093</v>
      </c>
      <c r="AC254" s="79">
        <f t="shared" ref="AC254" si="339">COUNTIF($M$254,AB254)*$D$43</f>
        <v>0</v>
      </c>
      <c r="AD254" s="70"/>
      <c r="AE254" s="80" t="s">
        <v>2093</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2082</v>
      </c>
      <c r="T255" s="79">
        <f>COUNTIF($M$255,S255)*$D$44</f>
        <v>0</v>
      </c>
      <c r="U255" s="70"/>
      <c r="V255" s="80" t="s">
        <v>2087</v>
      </c>
      <c r="W255" s="79">
        <f t="shared" ref="W255" si="341">COUNTIF($M$255,V255)*$D$44</f>
        <v>0</v>
      </c>
      <c r="X255" s="70"/>
      <c r="Y255" s="80" t="s">
        <v>2091</v>
      </c>
      <c r="Z255" s="79">
        <f t="shared" ref="Z255" si="342">COUNTIF($M$255,Y255)*$D$44</f>
        <v>0</v>
      </c>
      <c r="AA255" s="70"/>
      <c r="AB255" s="80" t="s">
        <v>2091</v>
      </c>
      <c r="AC255" s="79">
        <f t="shared" ref="AC255" si="343">COUNTIF($M$255,AB255)*$D$44</f>
        <v>0</v>
      </c>
      <c r="AD255" s="70"/>
      <c r="AE255" s="80" t="s">
        <v>2094</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2083</v>
      </c>
      <c r="T256" s="79">
        <f>COUNTIF($M$256,S256)*$D$45</f>
        <v>0</v>
      </c>
      <c r="U256" s="70"/>
      <c r="V256" s="80" t="s">
        <v>2088</v>
      </c>
      <c r="W256" s="79">
        <f t="shared" ref="W256" si="345">COUNTIF($M$256,V256)*$D$45</f>
        <v>0</v>
      </c>
      <c r="X256" s="70"/>
      <c r="Y256" s="80" t="s">
        <v>2088</v>
      </c>
      <c r="Z256" s="79">
        <f t="shared" ref="Z256" si="346">COUNTIF($M$256,Y256)*$D$45</f>
        <v>0</v>
      </c>
      <c r="AA256" s="70"/>
      <c r="AB256" s="80" t="s">
        <v>2088</v>
      </c>
      <c r="AC256" s="79">
        <f t="shared" ref="AC256" si="347">COUNTIF($M$256,AB256)*$D$45</f>
        <v>0</v>
      </c>
      <c r="AD256" s="70"/>
      <c r="AE256" s="80" t="s">
        <v>2080</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2084</v>
      </c>
      <c r="T257" s="79">
        <f>COUNTIF($M$257,S257)*$D$46</f>
        <v>0</v>
      </c>
      <c r="U257" s="70"/>
      <c r="V257" s="80" t="s">
        <v>2083</v>
      </c>
      <c r="W257" s="79">
        <f t="shared" ref="W257" si="349">COUNTIF($M$257,V257)*$D$46</f>
        <v>0</v>
      </c>
      <c r="X257" s="70"/>
      <c r="Y257" s="80" t="s">
        <v>2080</v>
      </c>
      <c r="Z257" s="79">
        <f t="shared" ref="Z257" si="350">COUNTIF($M$257,Y257)*$D$46</f>
        <v>0</v>
      </c>
      <c r="AA257" s="70"/>
      <c r="AB257" s="80" t="s">
        <v>2093</v>
      </c>
      <c r="AC257" s="79">
        <f t="shared" ref="AC257" si="351">COUNTIF($M$257,AB257)*$D$46</f>
        <v>0</v>
      </c>
      <c r="AD257" s="70"/>
      <c r="AE257" s="80" t="s">
        <v>2088</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2085</v>
      </c>
      <c r="T258" s="87">
        <f>COUNTIF($M$258,S258)*$D$47</f>
        <v>0</v>
      </c>
      <c r="U258" s="70"/>
      <c r="V258" s="86" t="s">
        <v>2089</v>
      </c>
      <c r="W258" s="87">
        <f t="shared" ref="W258" si="353">COUNTIF($M$258,V258)*$D$47</f>
        <v>0</v>
      </c>
      <c r="X258" s="70"/>
      <c r="Y258" s="86" t="s">
        <v>2092</v>
      </c>
      <c r="Z258" s="87">
        <f t="shared" ref="Z258" si="354">COUNTIF($M$258,Y258)*$D$47</f>
        <v>0</v>
      </c>
      <c r="AA258" s="70"/>
      <c r="AB258" s="86" t="s">
        <v>2080</v>
      </c>
      <c r="AC258" s="87">
        <f t="shared" ref="AC258" si="355">COUNTIF($M$258,AB258)*$D$47</f>
        <v>0</v>
      </c>
      <c r="AD258" s="70"/>
      <c r="AE258" s="86" t="s">
        <v>2093</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VICTOR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cU5ibwQKu4gq+RISPqZLCXANOPFEgRI4oUUnlXyz5b4ynVNktEaBOPA/jyhp1SzZ/VO0Zy1vooeyVfX0WB5jmA==" saltValue="Ot1RiypUrVhmxKt/xcVCz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792" t="str">
        <f>Idiomas!D451&amp;" "&amp;Home!C10</f>
        <v>CLASIFICACIÓN MUNDIAL 2026 LOS NANOS 1</v>
      </c>
      <c r="C1" s="793"/>
      <c r="D1" s="793"/>
      <c r="E1" s="793"/>
      <c r="F1" s="793"/>
      <c r="G1" s="793"/>
      <c r="H1" s="793"/>
      <c r="I1" s="793"/>
      <c r="J1" s="793"/>
      <c r="K1" s="793"/>
      <c r="L1" s="793"/>
      <c r="M1" s="793"/>
      <c r="N1" s="793"/>
      <c r="O1" s="793"/>
      <c r="P1" s="793"/>
      <c r="Q1" s="793"/>
      <c r="R1" s="793"/>
      <c r="S1" s="793"/>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MEDINA</v>
      </c>
      <c r="D5" s="97">
        <f ca="1">IFERROR(HLOOKUP(A5,Rango_Admin_Clas,4,FALSE),"-")</f>
        <v>428</v>
      </c>
      <c r="E5" s="98" cm="1">
        <f t="array" aca="1" ref="E5" ca="1">IFERROR(INDEX(Rango_Admin_Clas_Total,E$2,MATCH($A5,Rango_Admin_Clas_Primera,0)+1),"-")</f>
        <v>130</v>
      </c>
      <c r="F5" s="98" cm="1">
        <f t="array" aca="1" ref="F5" ca="1">IFERROR(INDEX(Rango_Admin_Clas_Total,F$2,MATCH($A5,Rango_Admin_Clas_Primera,0)+1),"-")</f>
        <v>89</v>
      </c>
      <c r="G5" s="98" cm="1">
        <f t="array" aca="1" ref="G5" ca="1">IFERROR(INDEX(Rango_Admin_Clas_Total,G$2,MATCH($A5,Rango_Admin_Clas_Primera,0)+1),"-")</f>
        <v>64</v>
      </c>
      <c r="H5" s="98" cm="1">
        <f t="array" aca="1" ref="H5" ca="1">IFERROR(INDEX(Rango_Admin_Clas_Total,H$2,MATCH($A5,Rango_Admin_Clas_Primera,0)+1),"-")</f>
        <v>74</v>
      </c>
      <c r="I5" s="98" cm="1">
        <f t="array" aca="1" ref="I5" ca="1">IFERROR(INDEX(Rango_Admin_Clas_Total,I$2,MATCH($A5,Rango_Admin_Clas_Primera,0)+1),"-")</f>
        <v>42</v>
      </c>
      <c r="J5" s="98" cm="1">
        <f t="array" aca="1" ref="J5" ca="1">IFERROR(INDEX(Rango_Admin_Clas_Total,J$2,MATCH($A5,Rango_Admin_Clas_Primera,0)+1),"-")</f>
        <v>14</v>
      </c>
      <c r="K5" s="98" cm="1">
        <f t="array" aca="1" ref="K5" ca="1">IFERROR(INDEX(Rango_Admin_Clas_Total,K$2,MATCH($A5,Rango_Admin_Clas_Primera,0)+1),"-")</f>
        <v>15</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JUANCHO</v>
      </c>
      <c r="D6" s="97">
        <f ca="1">IFERROR(HLOOKUP(A6,Rango_Admin_Clas,4,FALSE),"-")</f>
        <v>406</v>
      </c>
      <c r="E6" s="98" cm="1">
        <f t="array" aca="1" ref="E6" ca="1">IFERROR(INDEX(Rango_Admin_Clas_Total,E$2,MATCH($A6,Rango_Admin_Clas_Primera,0)+1),"-")</f>
        <v>121</v>
      </c>
      <c r="F6" s="98" cm="1">
        <f t="array" aca="1" ref="F6" ca="1">IFERROR(INDEX(Rango_Admin_Clas_Total,F$2,MATCH($A6,Rango_Admin_Clas_Primera,0)+1),"-")</f>
        <v>85</v>
      </c>
      <c r="G6" s="98" cm="1">
        <f t="array" aca="1" ref="G6" ca="1">IFERROR(INDEX(Rango_Admin_Clas_Total,G$2,MATCH($A6,Rango_Admin_Clas_Primera,0)+1),"-")</f>
        <v>64</v>
      </c>
      <c r="H6" s="98" cm="1">
        <f t="array" aca="1" ref="H6" ca="1">IFERROR(INDEX(Rango_Admin_Clas_Total,H$2,MATCH($A6,Rango_Admin_Clas_Primera,0)+1),"-")</f>
        <v>53</v>
      </c>
      <c r="I6" s="98" cm="1">
        <f t="array" aca="1" ref="I6" ca="1">IFERROR(INDEX(Rango_Admin_Clas_Total,I$2,MATCH($A6,Rango_Admin_Clas_Primera,0)+1),"-")</f>
        <v>45</v>
      </c>
      <c r="J6" s="98" cm="1">
        <f t="array" aca="1" ref="J6" ca="1">IFERROR(INDEX(Rango_Admin_Clas_Total,J$2,MATCH($A6,Rango_Admin_Clas_Primera,0)+1),"-")</f>
        <v>18</v>
      </c>
      <c r="K6" s="98" cm="1">
        <f t="array" aca="1" ref="K6" ca="1">IFERROR(INDEX(Rango_Admin_Clas_Total,K$2,MATCH($A6,Rango_Admin_Clas_Primera,0)+1),"-")</f>
        <v>20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VICTOR</v>
      </c>
      <c r="D7" s="97">
        <f ca="1">IFERROR(HLOOKUP(A7,Rango_Admin_Clas,4,FALSE),"-")</f>
        <v>399</v>
      </c>
      <c r="E7" s="98" cm="1">
        <f t="array" aca="1" ref="E7" ca="1">IFERROR(INDEX(Rango_Admin_Clas_Total,E$2,MATCH($A7,Rango_Admin_Clas_Primera,0)+1),"-")</f>
        <v>134</v>
      </c>
      <c r="F7" s="98" cm="1">
        <f t="array" aca="1" ref="F7" ca="1">IFERROR(INDEX(Rango_Admin_Clas_Total,F$2,MATCH($A7,Rango_Admin_Clas_Primera,0)+1),"-")</f>
        <v>75</v>
      </c>
      <c r="G7" s="98" cm="1">
        <f t="array" aca="1" ref="G7" ca="1">IFERROR(INDEX(Rango_Admin_Clas_Total,G$2,MATCH($A7,Rango_Admin_Clas_Primera,0)+1),"-")</f>
        <v>64</v>
      </c>
      <c r="H7" s="98" cm="1">
        <f t="array" aca="1" ref="H7" ca="1">IFERROR(INDEX(Rango_Admin_Clas_Total,H$2,MATCH($A7,Rango_Admin_Clas_Primera,0)+1),"-")</f>
        <v>63</v>
      </c>
      <c r="I7" s="98" cm="1">
        <f t="array" aca="1" ref="I7" ca="1">IFERROR(INDEX(Rango_Admin_Clas_Total,I$2,MATCH($A7,Rango_Admin_Clas_Primera,0)+1),"-")</f>
        <v>39</v>
      </c>
      <c r="J7" s="98" cm="1">
        <f t="array" aca="1" ref="J7" ca="1">IFERROR(INDEX(Rango_Admin_Clas_Total,J$2,MATCH($A7,Rango_Admin_Clas_Primera,0)+1),"-")</f>
        <v>4</v>
      </c>
      <c r="K7" s="98" cm="1">
        <f t="array" aca="1" ref="K7" ca="1">IFERROR(INDEX(Rango_Admin_Clas_Total,K$2,MATCH($A7,Rango_Admin_Clas_Primera,0)+1),"-")</f>
        <v>20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LUIS/VIR</v>
      </c>
      <c r="D8" s="97">
        <f ca="1">IFERROR(HLOOKUP(A8,Rango_Admin_Clas,4,FALSE),"-")</f>
        <v>372</v>
      </c>
      <c r="E8" s="98" cm="1">
        <f t="array" aca="1" ref="E8" ca="1">IFERROR(INDEX(Rango_Admin_Clas_Total,E$2,MATCH($A8,Rango_Admin_Clas_Primera,0)+1),"-")</f>
        <v>101</v>
      </c>
      <c r="F8" s="98" cm="1">
        <f t="array" aca="1" ref="F8" ca="1">IFERROR(INDEX(Rango_Admin_Clas_Total,F$2,MATCH($A8,Rango_Admin_Clas_Primera,0)+1),"-")</f>
        <v>77</v>
      </c>
      <c r="G8" s="98" cm="1">
        <f t="array" aca="1" ref="G8" ca="1">IFERROR(INDEX(Rango_Admin_Clas_Total,G$2,MATCH($A8,Rango_Admin_Clas_Primera,0)+1),"-")</f>
        <v>64</v>
      </c>
      <c r="H8" s="98" cm="1">
        <f t="array" aca="1" ref="H8" ca="1">IFERROR(INDEX(Rango_Admin_Clas_Total,H$2,MATCH($A8,Rango_Admin_Clas_Primera,0)+1),"-")</f>
        <v>57</v>
      </c>
      <c r="I8" s="98" cm="1">
        <f t="array" aca="1" ref="I8" ca="1">IFERROR(INDEX(Rango_Admin_Clas_Total,I$2,MATCH($A8,Rango_Admin_Clas_Primera,0)+1),"-")</f>
        <v>42</v>
      </c>
      <c r="J8" s="98" cm="1">
        <f t="array" aca="1" ref="J8" ca="1">IFERROR(INDEX(Rango_Admin_Clas_Total,J$2,MATCH($A8,Rango_Admin_Clas_Primera,0)+1),"-")</f>
        <v>11</v>
      </c>
      <c r="K8" s="98" cm="1">
        <f t="array" aca="1" ref="K8" ca="1">IFERROR(INDEX(Rango_Admin_Clas_Total,K$2,MATCH($A8,Rango_Admin_Clas_Primera,0)+1),"-")</f>
        <v>20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5</v>
      </c>
      <c r="C9" s="18" t="str">
        <f ca="1">IFERROR(HLOOKUP(A9,Rango_Admin_Clas,5,FALSE),"-")</f>
        <v>LARRY</v>
      </c>
      <c r="D9" s="97">
        <f ca="1">IFERROR(HLOOKUP(A9,Rango_Admin_Clas,4,FALSE),"-")</f>
        <v>336</v>
      </c>
      <c r="E9" s="98" cm="1">
        <f t="array" aca="1" ref="E9" ca="1">IFERROR(INDEX(Rango_Admin_Clas_Total,E$2,MATCH($A9,Rango_Admin_Clas_Primera,0)+1),"-")</f>
        <v>105</v>
      </c>
      <c r="F9" s="98" cm="1">
        <f t="array" aca="1" ref="F9" ca="1">IFERROR(INDEX(Rango_Admin_Clas_Total,F$2,MATCH($A9,Rango_Admin_Clas_Primera,0)+1),"-")</f>
        <v>67</v>
      </c>
      <c r="G9" s="98" cm="1">
        <f t="array" aca="1" ref="G9" ca="1">IFERROR(INDEX(Rango_Admin_Clas_Total,G$2,MATCH($A9,Rango_Admin_Clas_Primera,0)+1),"-")</f>
        <v>64</v>
      </c>
      <c r="H9" s="98" cm="1">
        <f t="array" aca="1" ref="H9" ca="1">IFERROR(INDEX(Rango_Admin_Clas_Total,H$2,MATCH($A9,Rango_Admin_Clas_Primera,0)+1),"-")</f>
        <v>60</v>
      </c>
      <c r="I9" s="98" cm="1">
        <f t="array" aca="1" ref="I9" ca="1">IFERROR(INDEX(Rango_Admin_Clas_Total,I$2,MATCH($A9,Rango_Admin_Clas_Primera,0)+1),"-")</f>
        <v>30</v>
      </c>
      <c r="J9" s="98" cm="1">
        <f t="array" aca="1" ref="J9" ca="1">IFERROR(INDEX(Rango_Admin_Clas_Total,J$2,MATCH($A9,Rango_Admin_Clas_Primera,0)+1),"-")</f>
        <v>0</v>
      </c>
      <c r="K9" s="98" cm="1">
        <f t="array" aca="1" ref="K9" ca="1">IFERROR(INDEX(Rango_Admin_Clas_Total,K$2,MATCH($A9,Rango_Admin_Clas_Primera,0)+1),"-")</f>
        <v>10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794"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795"/>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VICTOR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VICTOR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 ca="1">SUM(WORLDCUP!AG4:AG147)/104</f>
        <v>0.91346153846153844</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0</v>
      </c>
      <c r="N8" s="477">
        <f ca="1">IFERROR(COUNTIF(ADMIN!$S$130:INDEX(ADMIN!$S$130:$FD$161,32,ADMIN!$D$5*3-1),Stats!$L8)-SUM(O8:T8),0)</f>
        <v>0</v>
      </c>
      <c r="O8" s="477">
        <f ca="1">COUNTIF(ADMIN!$S$182:INDEX(ADMIN!$S$182:$FD$197,16,ADMIN!$D$5*3-1),Stats!$L8)-SUM(P8:T8)</f>
        <v>4</v>
      </c>
      <c r="P8" s="477">
        <f ca="1">COUNTIF(ADMIN!$S$210:INDEX(ADMIN!$S$210:$FD$217,8,ADMIN!$D$5*3-1),Stats!$L8)-SUM(Q8:T8)</f>
        <v>0</v>
      </c>
      <c r="Q8" s="477">
        <f ca="1">COUNTIF(ADMIN!$S$226:INDEX(ADMIN!$S$226:$FD$229,4,ADMIN!$D$5*3-1),Stats!$L8)-SUM(R8:T8)</f>
        <v>0</v>
      </c>
      <c r="R8" s="477">
        <f ca="1">IFERROR(COUNTIF(ADMIN!$S$252:INDEX(ADMIN!$S$252:$FD$252,1,ADMIN!$D$5*3-1),Stats!$L8),0)</f>
        <v>1</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0</v>
      </c>
      <c r="N10" s="477">
        <f ca="1">IFERROR(COUNTIF(ADMIN!$S$130:INDEX(ADMIN!$S$130:$FD$161,32,ADMIN!$D$5*3-1),Stats!$L10)-SUM(O10:T10),0)</f>
        <v>5</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0</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3</v>
      </c>
      <c r="R11" s="479">
        <f ca="1">IFERROR(COUNTIF(ADMIN!$S$252:INDEX(ADMIN!$S$252:$FD$252,1,ADMIN!$D$5*3-1),Stats!$L11),0)</f>
        <v>0</v>
      </c>
      <c r="S11" s="479">
        <f ca="1">IFERROR(COUNTIF(ADMIN!$S$251:INDEX(ADMIN!$S$251:$FD$251,1,ADMIN!$D$5*3-1),Stats!$L11),0)</f>
        <v>2</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0</v>
      </c>
      <c r="N12" s="477">
        <f ca="1">IFERROR(COUNTIF(ADMIN!$S$130:INDEX(ADMIN!$S$130:$FD$161,32,ADMIN!$D$5*3-1),Stats!$L12)-SUM(O12:T12),0)</f>
        <v>5</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0</v>
      </c>
      <c r="N13" s="479">
        <f ca="1">IFERROR(COUNTIF(ADMIN!$S$130:INDEX(ADMIN!$S$130:$FD$161,32,ADMIN!$D$5*3-1),Stats!$L13)-SUM(O13:T13),0)</f>
        <v>5</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0</v>
      </c>
      <c r="N14" s="477">
        <f ca="1">IFERROR(COUNTIF(ADMIN!$S$130:INDEX(ADMIN!$S$130:$FD$161,32,ADMIN!$D$5*3-1),Stats!$L14)-SUM(O14:T14),0)</f>
        <v>1</v>
      </c>
      <c r="O14" s="477">
        <f ca="1">COUNTIF(ADMIN!$S$182:INDEX(ADMIN!$S$182:$FD$197,16,ADMIN!$D$5*3-1),Stats!$L14)-SUM(P14:T14)</f>
        <v>2</v>
      </c>
      <c r="P14" s="477">
        <f ca="1">COUNTIF(ADMIN!$S$210:INDEX(ADMIN!$S$210:$FD$217,8,ADMIN!$D$5*3-1),Stats!$L14)-SUM(Q14:T14)</f>
        <v>2</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0</v>
      </c>
      <c r="N15" s="479">
        <f ca="1">IFERROR(COUNTIF(ADMIN!$S$130:INDEX(ADMIN!$S$130:$FD$161,32,ADMIN!$D$5*3-1),Stats!$L15)-SUM(O15:T15),0)</f>
        <v>5</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0</v>
      </c>
      <c r="N16" s="477">
        <f ca="1">IFERROR(COUNTIF(ADMIN!$S$130:INDEX(ADMIN!$S$130:$FD$161,32,ADMIN!$D$5*3-1),Stats!$L16)-SUM(O16:T16),0)</f>
        <v>1</v>
      </c>
      <c r="O16" s="477">
        <f ca="1">COUNTIF(ADMIN!$S$182:INDEX(ADMIN!$S$182:$FD$197,16,ADMIN!$D$5*3-1),Stats!$L16)-SUM(P16:T16)</f>
        <v>0</v>
      </c>
      <c r="P16" s="477">
        <f ca="1">COUNTIF(ADMIN!$S$210:INDEX(ADMIN!$S$210:$FD$217,8,ADMIN!$D$5*3-1),Stats!$L16)-SUM(Q16:T16)</f>
        <v>3</v>
      </c>
      <c r="Q16" s="477">
        <f ca="1">COUNTIF(ADMIN!$S$226:INDEX(ADMIN!$S$226:$FD$229,4,ADMIN!$D$5*3-1),Stats!$L16)-SUM(R16:T16)</f>
        <v>1</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0</v>
      </c>
      <c r="N17" s="479">
        <f ca="1">IFERROR(COUNTIF(ADMIN!$S$130:INDEX(ADMIN!$S$130:$FD$161,32,ADMIN!$D$5*3-1),Stats!$L17)-SUM(O17:T17),0)</f>
        <v>5</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0</v>
      </c>
      <c r="N18" s="477">
        <f ca="1">IFERROR(COUNTIF(ADMIN!$S$130:INDEX(ADMIN!$S$130:$FD$161,32,ADMIN!$D$5*3-1),Stats!$L18)-SUM(O18:T18),0)</f>
        <v>0</v>
      </c>
      <c r="O18" s="477">
        <f ca="1">COUNTIF(ADMIN!$S$182:INDEX(ADMIN!$S$182:$FD$197,16,ADMIN!$D$5*3-1),Stats!$L18)-SUM(P18:T18)</f>
        <v>5</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0</v>
      </c>
      <c r="N20" s="477">
        <f ca="1">IFERROR(COUNTIF(ADMIN!$S$130:INDEX(ADMIN!$S$130:$FD$161,32,ADMIN!$D$5*3-1),Stats!$L20)-SUM(O20:T20),0)</f>
        <v>0</v>
      </c>
      <c r="O20" s="477">
        <f ca="1">COUNTIF(ADMIN!$S$182:INDEX(ADMIN!$S$182:$FD$197,16,ADMIN!$D$5*3-1),Stats!$L20)-SUM(P20:T20)</f>
        <v>2</v>
      </c>
      <c r="P20" s="477">
        <f ca="1">COUNTIF(ADMIN!$S$210:INDEX(ADMIN!$S$210:$FD$217,8,ADMIN!$D$5*3-1),Stats!$L20)-SUM(Q20:T20)</f>
        <v>3</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0</v>
      </c>
      <c r="N22" s="477">
        <f ca="1">IFERROR(COUNTIF(ADMIN!$S$130:INDEX(ADMIN!$S$130:$FD$161,32,ADMIN!$D$5*3-1),Stats!$L22)-SUM(O22:T22),0)</f>
        <v>5</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0</v>
      </c>
      <c r="N23" s="479">
        <f ca="1">IFERROR(COUNTIF(ADMIN!$S$130:INDEX(ADMIN!$S$130:$FD$161,32,ADMIN!$D$5*3-1),Stats!$L23)-SUM(O23:T23),0)</f>
        <v>4</v>
      </c>
      <c r="O23" s="479">
        <f ca="1">COUNTIF(ADMIN!$S$182:INDEX(ADMIN!$S$182:$FD$197,16,ADMIN!$D$5*3-1),Stats!$L23)-SUM(P23:T23)</f>
        <v>1</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30</v>
      </c>
      <c r="C25" s="17"/>
      <c r="D25" s="17"/>
      <c r="E25" s="17"/>
      <c r="F25" s="17"/>
      <c r="G25" s="17"/>
      <c r="H25" s="786"/>
      <c r="I25" s="787"/>
      <c r="J25" s="483"/>
      <c r="K25" s="483"/>
      <c r="L25" s="138" t="str">
        <f ca="1">Horarios!Q20</f>
        <v>Ecuador</v>
      </c>
      <c r="M25" s="479">
        <f ca="1">ADMIN!$D$5-SUM(N25:T25)</f>
        <v>0</v>
      </c>
      <c r="N25" s="479">
        <f ca="1">IFERROR(COUNTIF(ADMIN!$S$130:INDEX(ADMIN!$S$130:$FD$161,32,ADMIN!$D$5*3-1),Stats!$L25)-SUM(O25:T25),0)</f>
        <v>3</v>
      </c>
      <c r="O25" s="479">
        <f ca="1">COUNTIF(ADMIN!$S$182:INDEX(ADMIN!$S$182:$FD$197,16,ADMIN!$D$5*3-1),Stats!$L25)-SUM(P25:T25)</f>
        <v>2</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24</v>
      </c>
      <c r="C26" s="17"/>
      <c r="D26" s="17"/>
      <c r="E26" s="17"/>
      <c r="F26" s="17"/>
      <c r="G26" s="17"/>
      <c r="H26" s="786"/>
      <c r="I26" s="787"/>
      <c r="J26" s="483"/>
      <c r="K26" s="483"/>
      <c r="L26" s="139" t="str">
        <f ca="1">Horarios!Q21</f>
        <v>Egipto</v>
      </c>
      <c r="M26" s="477">
        <f ca="1">ADMIN!$D$5-SUM(N26:T26)</f>
        <v>0</v>
      </c>
      <c r="N26" s="477">
        <f ca="1">IFERROR(COUNTIF(ADMIN!$S$130:INDEX(ADMIN!$S$130:$FD$161,32,ADMIN!$D$5*3-1),Stats!$L26)-SUM(O26:T26),0)</f>
        <v>0</v>
      </c>
      <c r="O26" s="477">
        <f ca="1">COUNTIF(ADMIN!$S$182:INDEX(ADMIN!$S$182:$FD$197,16,ADMIN!$D$5*3-1),Stats!$L26)-SUM(P26:T26)</f>
        <v>5</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30</v>
      </c>
      <c r="C28" s="17"/>
      <c r="D28" s="17"/>
      <c r="E28" s="17"/>
      <c r="F28" s="17"/>
      <c r="G28" s="17"/>
      <c r="H28" s="786"/>
      <c r="I28" s="787"/>
      <c r="J28" s="483"/>
      <c r="K28" s="483"/>
      <c r="L28" s="139" t="str">
        <f ca="1">Horarios!Q23</f>
        <v>España</v>
      </c>
      <c r="M28" s="477">
        <f ca="1">ADMIN!$D$5-SUM(N28:T28)</f>
        <v>0</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4</v>
      </c>
      <c r="S28" s="477">
        <f ca="1">IFERROR(COUNTIF(ADMIN!$S$251:INDEX(ADMIN!$S$251:$FD$251,1,ADMIN!$D$5*3-1),Stats!$L28),0)</f>
        <v>0</v>
      </c>
      <c r="T28" s="478">
        <f ca="1">IFERROR(COUNTIF(ADMIN!$S$250:INDEX(ADMIN!$S$250:$FD$250,1,ADMIN!$D$5*3-1),Stats!$L28),0)</f>
        <v>1</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24</v>
      </c>
      <c r="C29" s="17"/>
      <c r="D29" s="17"/>
      <c r="E29" s="17"/>
      <c r="F29" s="17"/>
      <c r="G29" s="17"/>
      <c r="H29" s="786"/>
      <c r="I29" s="787"/>
      <c r="J29" s="483"/>
      <c r="K29" s="483"/>
      <c r="L29" s="138" t="str">
        <f ca="1">Horarios!Q24</f>
        <v>Estados Unidos</v>
      </c>
      <c r="M29" s="479">
        <f ca="1">ADMIN!$D$5-SUM(N29:T29)</f>
        <v>0</v>
      </c>
      <c r="N29" s="479">
        <f ca="1">IFERROR(COUNTIF(ADMIN!$S$130:INDEX(ADMIN!$S$130:$FD$161,32,ADMIN!$D$5*3-1),Stats!$L29)-SUM(O29:T29),0)</f>
        <v>0</v>
      </c>
      <c r="O29" s="479">
        <f ca="1">COUNTIF(ADMIN!$S$182:INDEX(ADMIN!$S$182:$FD$197,16,ADMIN!$D$5*3-1),Stats!$L29)-SUM(P29:T29)</f>
        <v>2</v>
      </c>
      <c r="P29" s="479">
        <f ca="1">COUNTIF(ADMIN!$S$210:INDEX(ADMIN!$S$210:$FD$217,8,ADMIN!$D$5*3-1),Stats!$L29)-SUM(Q29:T29)</f>
        <v>3</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0</v>
      </c>
      <c r="N30" s="477">
        <f ca="1">IFERROR(COUNTIF(ADMIN!$S$130:INDEX(ADMIN!$S$130:$FD$161,32,ADMIN!$D$5*3-1),Stats!$L30)-SUM(O30:T30),0)</f>
        <v>0</v>
      </c>
      <c r="O30" s="477">
        <f ca="1">COUNTIF(ADMIN!$S$182:INDEX(ADMIN!$S$182:$FD$197,16,ADMIN!$D$5*3-1),Stats!$L30)-SUM(P30:T30)</f>
        <v>1</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4</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30</v>
      </c>
      <c r="C31" s="17"/>
      <c r="D31" s="17"/>
      <c r="E31" s="17"/>
      <c r="F31" s="17"/>
      <c r="G31" s="17"/>
      <c r="H31" s="788"/>
      <c r="I31" s="789"/>
      <c r="J31" s="483"/>
      <c r="K31" s="483"/>
      <c r="L31" s="138" t="str">
        <f ca="1">Horarios!Q26</f>
        <v>Ghana</v>
      </c>
      <c r="M31" s="479">
        <f ca="1">ADMIN!$D$5-SUM(N31:T31)</f>
        <v>0</v>
      </c>
      <c r="N31" s="479">
        <f ca="1">IFERROR(COUNTIF(ADMIN!$S$130:INDEX(ADMIN!$S$130:$FD$161,32,ADMIN!$D$5*3-1),Stats!$L31)-SUM(O31:T31),0)</f>
        <v>5</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24</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24</v>
      </c>
      <c r="C33" s="17"/>
      <c r="D33" s="17"/>
      <c r="E33" s="17"/>
      <c r="F33" s="17"/>
      <c r="G33" s="17"/>
      <c r="H33" s="17"/>
      <c r="I33" s="17"/>
      <c r="J33" s="483"/>
      <c r="K33" s="483"/>
      <c r="L33" s="138" t="str">
        <f ca="1">Horarios!Q28</f>
        <v>Inglaterra</v>
      </c>
      <c r="M33" s="479">
        <f ca="1">ADMIN!$D$5-SUM(N33:T33)</f>
        <v>0</v>
      </c>
      <c r="N33" s="479">
        <f ca="1">IFERROR(COUNTIF(ADMIN!$S$130:INDEX(ADMIN!$S$130:$FD$161,32,ADMIN!$D$5*3-1),Stats!$L33)-SUM(O33:T33),0)</f>
        <v>0</v>
      </c>
      <c r="O33" s="479">
        <f ca="1">COUNTIF(ADMIN!$S$182:INDEX(ADMIN!$S$182:$FD$197,16,ADMIN!$D$5*3-1),Stats!$L33)-SUM(P33:T33)</f>
        <v>0</v>
      </c>
      <c r="P33" s="479">
        <f ca="1">COUNTIF(ADMIN!$S$210:INDEX(ADMIN!$S$210:$FD$217,8,ADMIN!$D$5*3-1),Stats!$L33)-SUM(Q33:T33)</f>
        <v>1</v>
      </c>
      <c r="Q33" s="479">
        <f ca="1">COUNTIF(ADMIN!$S$226:INDEX(ADMIN!$S$226:$FD$229,4,ADMIN!$D$5*3-1),Stats!$L33)-SUM(R33:T33)</f>
        <v>1</v>
      </c>
      <c r="R33" s="479">
        <f ca="1">IFERROR(COUNTIF(ADMIN!$S$252:INDEX(ADMIN!$S$252:$FD$252,1,ADMIN!$D$5*3-1),Stats!$L33),0)</f>
        <v>0</v>
      </c>
      <c r="S33" s="479">
        <f ca="1">IFERROR(COUNTIF(ADMIN!$S$251:INDEX(ADMIN!$S$251:$FD$251,1,ADMIN!$D$5*3-1),Stats!$L33),0)</f>
        <v>3</v>
      </c>
      <c r="T33" s="480">
        <f ca="1">IFERROR(COUNTIF(ADMIN!$S$250:INDEX(ADMIN!$S$250:$FD$250,1,ADMIN!$D$5*3-1),Stats!$L33),0)</f>
        <v>0</v>
      </c>
      <c r="U33" s="25"/>
      <c r="V33" s="11">
        <f t="shared" ca="1" si="0"/>
        <v>5</v>
      </c>
      <c r="W33" s="11"/>
      <c r="X33" s="11"/>
      <c r="Y33" s="11"/>
      <c r="Z33" s="11" t="e" cm="1" vm="2">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34</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66</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0</v>
      </c>
      <c r="N36" s="477">
        <f ca="1">IFERROR(COUNTIF(ADMIN!$S$130:INDEX(ADMIN!$S$130:$FD$161,32,ADMIN!$D$5*3-1),Stats!$L36)-SUM(O36:T36),0)</f>
        <v>4</v>
      </c>
      <c r="O36" s="477">
        <f ca="1">COUNTIF(ADMIN!$S$182:INDEX(ADMIN!$S$182:$FD$197,16,ADMIN!$D$5*3-1),Stats!$L36)-SUM(P36:T36)</f>
        <v>0</v>
      </c>
      <c r="P36" s="477">
        <f ca="1">COUNTIF(ADMIN!$S$210:INDEX(ADMIN!$S$210:$FD$217,8,ADMIN!$D$5*3-1),Stats!$L36)-SUM(Q36:T36)</f>
        <v>1</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66</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66</v>
      </c>
      <c r="C38" s="17"/>
      <c r="D38" s="25"/>
      <c r="E38" s="25"/>
      <c r="F38" s="25"/>
      <c r="G38" s="17"/>
      <c r="H38" s="17"/>
      <c r="I38" s="17"/>
      <c r="J38" s="25"/>
      <c r="K38" s="25"/>
      <c r="L38" s="139" t="str">
        <f ca="1">Horarios!Q33</f>
        <v>Marruecos</v>
      </c>
      <c r="M38" s="477">
        <f ca="1">ADMIN!$D$5-SUM(N38:T38)</f>
        <v>0</v>
      </c>
      <c r="N38" s="477">
        <f ca="1">IFERROR(COUNTIF(ADMIN!$S$130:INDEX(ADMIN!$S$130:$FD$161,32,ADMIN!$D$5*3-1),Stats!$L38)-SUM(O38:T38),0)</f>
        <v>4</v>
      </c>
      <c r="O38" s="477">
        <f ca="1">COUNTIF(ADMIN!$S$182:INDEX(ADMIN!$S$182:$FD$197,16,ADMIN!$D$5*3-1),Stats!$L38)-SUM(P38:T38)</f>
        <v>0</v>
      </c>
      <c r="P38" s="477">
        <f ca="1">COUNTIF(ADMIN!$S$210:INDEX(ADMIN!$S$210:$FD$217,8,ADMIN!$D$5*3-1),Stats!$L38)-SUM(Q38:T38)</f>
        <v>1</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44</v>
      </c>
      <c r="C39" s="17"/>
      <c r="D39" s="461"/>
      <c r="E39" s="461"/>
      <c r="F39" s="461"/>
      <c r="G39" s="17"/>
      <c r="H39" s="17"/>
      <c r="I39" s="17"/>
      <c r="J39" s="25"/>
      <c r="K39" s="25"/>
      <c r="L39" s="138" t="str">
        <f ca="1">Horarios!Q34</f>
        <v>México</v>
      </c>
      <c r="M39" s="479">
        <f ca="1">ADMIN!$D$5-SUM(N39:T39)</f>
        <v>0</v>
      </c>
      <c r="N39" s="479">
        <f ca="1">IFERROR(COUNTIF(ADMIN!$S$130:INDEX(ADMIN!$S$130:$FD$161,32,ADMIN!$D$5*3-1),Stats!$L39)-SUM(O39:T39),0)</f>
        <v>2</v>
      </c>
      <c r="O39" s="479">
        <f ca="1">COUNTIF(ADMIN!$S$182:INDEX(ADMIN!$S$182:$FD$197,16,ADMIN!$D$5*3-1),Stats!$L39)-SUM(P39:T39)</f>
        <v>3</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0</v>
      </c>
      <c r="N40" s="477">
        <f ca="1">IFERROR(COUNTIF(ADMIN!$S$130:INDEX(ADMIN!$S$130:$FD$161,32,ADMIN!$D$5*3-1),Stats!$L40)-SUM(O40:T40),0)</f>
        <v>0</v>
      </c>
      <c r="O40" s="477">
        <f ca="1">COUNTIF(ADMIN!$S$182:INDEX(ADMIN!$S$182:$FD$197,16,ADMIN!$D$5*3-1),Stats!$L40)-SUM(P40:T40)</f>
        <v>5</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0</v>
      </c>
      <c r="N42" s="477">
        <f ca="1">IFERROR(COUNTIF(ADMIN!$S$130:INDEX(ADMIN!$S$130:$FD$161,32,ADMIN!$D$5*3-1),Stats!$L42)-SUM(O42:T42),0)</f>
        <v>1</v>
      </c>
      <c r="O42" s="477">
        <f ca="1">COUNTIF(ADMIN!$S$182:INDEX(ADMIN!$S$182:$FD$197,16,ADMIN!$D$5*3-1),Stats!$L42)-SUM(P42:T42)</f>
        <v>0</v>
      </c>
      <c r="P42" s="477">
        <f ca="1">COUNTIF(ADMIN!$S$210:INDEX(ADMIN!$S$210:$FD$217,8,ADMIN!$D$5*3-1),Stats!$L42)-SUM(Q42:T42)</f>
        <v>4</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0</v>
      </c>
      <c r="N44" s="477">
        <f ca="1">IFERROR(COUNTIF(ADMIN!$S$130:INDEX(ADMIN!$S$130:$FD$161,32,ADMIN!$D$5*3-1),Stats!$L44)-SUM(O44:T44),0)</f>
        <v>5</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279 goles en el Mundial de Clubes sin contar tandas de penalti</v>
      </c>
      <c r="F45" s="461"/>
      <c r="G45" s="17"/>
      <c r="H45" s="17"/>
      <c r="I45" s="17"/>
      <c r="J45" s="25"/>
      <c r="K45" s="25"/>
      <c r="L45" s="138" t="str">
        <f ca="1">Horarios!Q40</f>
        <v>Portugal</v>
      </c>
      <c r="M45" s="479">
        <f ca="1">ADMIN!$D$5-SUM(N45:T45)</f>
        <v>0</v>
      </c>
      <c r="N45" s="479">
        <f ca="1">IFERROR(COUNTIF(ADMIN!$S$130:INDEX(ADMIN!$S$130:$FD$161,32,ADMIN!$D$5*3-1),Stats!$L45)-SUM(O45:T45),0)</f>
        <v>1</v>
      </c>
      <c r="O45" s="479">
        <f ca="1">COUNTIF(ADMIN!$S$182:INDEX(ADMIN!$S$182:$FD$197,16,ADMIN!$D$5*3-1),Stats!$L45)-SUM(P45:T45)</f>
        <v>4</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0</v>
      </c>
      <c r="N46" s="477">
        <f ca="1">IFERROR(COUNTIF(ADMIN!$S$130:INDEX(ADMIN!$S$130:$FD$161,32,ADMIN!$D$5*3-1),Stats!$L46)-SUM(O46:T46),0)</f>
        <v>5</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0</v>
      </c>
      <c r="N48" s="477">
        <f ca="1">IFERROR(COUNTIF(ADMIN!$S$130:INDEX(ADMIN!$S$130:$FD$161,32,ADMIN!$D$5*3-1),Stats!$L48)-SUM(O48:T48),0)</f>
        <v>4</v>
      </c>
      <c r="O48" s="477">
        <f ca="1">COUNTIF(ADMIN!$S$182:INDEX(ADMIN!$S$182:$FD$197,16,ADMIN!$D$5*3-1),Stats!$L48)-SUM(P48:T48)</f>
        <v>1</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0</v>
      </c>
      <c r="N49" s="479">
        <f ca="1">IFERROR(COUNTIF(ADMIN!$S$130:INDEX(ADMIN!$S$130:$FD$161,32,ADMIN!$D$5*3-1),Stats!$L49)-SUM(O49:T49),0)</f>
        <v>5</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0</v>
      </c>
      <c r="N50" s="477">
        <f ca="1">IFERROR(COUNTIF(ADMIN!$S$130:INDEX(ADMIN!$S$130:$FD$161,32,ADMIN!$D$5*3-1),Stats!$L50)-SUM(O50:T50),0)</f>
        <v>5</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0</v>
      </c>
      <c r="N51" s="479">
        <f ca="1">IFERROR(COUNTIF(ADMIN!$S$130:INDEX(ADMIN!$S$130:$FD$161,32,ADMIN!$D$5*3-1),Stats!$L51)-SUM(O51:T51),0)</f>
        <v>0</v>
      </c>
      <c r="O51" s="479">
        <f ca="1">COUNTIF(ADMIN!$S$182:INDEX(ADMIN!$S$182:$FD$197,16,ADMIN!$D$5*3-1),Stats!$L51)-SUM(P51:T51)</f>
        <v>3</v>
      </c>
      <c r="P51" s="479">
        <f ca="1">COUNTIF(ADMIN!$S$210:INDEX(ADMIN!$S$210:$FD$217,8,ADMIN!$D$5*3-1),Stats!$L51)-SUM(Q51:T51)</f>
        <v>2</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f>IF(ISBLANK(INDEX(WORLDCUP!$AC$4:$AC$147,MATCH(M3,WORLDCUP!$AH$4:$AH$147,0))),"",INDEX(WORLDCUP!$AC$4:$AC$147,MATCH(M3,WORLDCUP!$AH$4:$AH$147,0)))</f>
        <v>1</v>
      </c>
      <c r="Q3" s="511">
        <f>IF(ISBLANK(INDEX(WORLDCUP!$AD$4:$AD$147,MATCH(M3,WORLDCUP!$AH$4:$AH$147,0))),"",INDEX(WORLDCUP!$AD$4:$AD$147,MATCH(M3,WORLDCUP!$AH$4:$AH$147,0)))</f>
        <v>1</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Ale</v>
      </c>
      <c r="AB3" s="520">
        <f>+IF(ISBLANK(INDEX(WORLDCUP!$AC$101:$AC$147,MATCH(Y3,WORLDCUP!$Z$101:$Z$147,0))),"",INDEX(WORLDCUP!$AC$101:$AC$147,MATCH(Y3,WORLDCUP!$Z$101:$Z$147,0)))</f>
        <v>1</v>
      </c>
      <c r="AC3" s="521" t="str">
        <f>+IF(ISBLANK(INDEX(WORLDCUP!$AB$101:$AB$147,MATCH(Y3,WORLDCUP!$Z$101:$Z$147,0))),"","( "&amp;INDEX(WORLDCUP!$AB$101:$AB$147,MATCH(Y3,WORLDCUP!$Z$101:$Z$147,0))&amp;" )")</f>
        <v>( 3 )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9</v>
      </c>
      <c r="J4" s="543">
        <f ca="1">+INDEX(WORLDCUP!$AT$6:$AT$97,MATCH(L4,WORLDCUP!$AI$6:$AI$97,0))</f>
        <v>6</v>
      </c>
      <c r="K4" s="544" t="str">
        <f ca="1">+INDEX(WORLDCUP!$AR$6:$AR$97,MATCH(L4,WORLDCUP!$AI$6:$AI$97,0))&amp;"-"&amp;INDEX(WORLDCUP!$AS$6:$AS$97,MATCH(L4,WORLDCUP!$AI$6:$AI$97,0))</f>
        <v>6-0</v>
      </c>
      <c r="L4" s="19" t="s">
        <v>645</v>
      </c>
      <c r="M4" s="19">
        <v>15</v>
      </c>
      <c r="N4" s="545"/>
      <c r="O4" s="537" t="str">
        <f ca="1">+MID(INDEX(WORLDCUP!$AA$4:$AA$147,MATCH(M4,WORLDCUP!$AH$4:$AH$147,0)),1,3)</f>
        <v>Irá</v>
      </c>
      <c r="P4" s="538">
        <f>IF(ISBLANK(INDEX(WORLDCUP!$AC$4:$AC$147,MATCH(M4,WORLDCUP!$AH$4:$AH$147,0))),"",INDEX(WORLDCUP!$AC$4:$AC$147,MATCH(M4,WORLDCUP!$AH$4:$AH$147,0)))</f>
        <v>2</v>
      </c>
      <c r="Q4" s="538">
        <f>IF(ISBLANK(INDEX(WORLDCUP!$AD$4:$AD$147,MATCH(M4,WORLDCUP!$AH$4:$AH$147,0))),"",INDEX(WORLDCUP!$AD$4:$AD$147,MATCH(M4,WORLDCUP!$AH$4:$AH$147,0)))</f>
        <v>2</v>
      </c>
      <c r="R4" s="539" t="str">
        <f ca="1">+MID(INDEX(WORLDCUP!$AF$4:$AF$147,MATCH(M4,WORLDCUP!$AH$4:$AH$147,0)),1,3)</f>
        <v>Nue</v>
      </c>
      <c r="S4" s="540">
        <v>1</v>
      </c>
      <c r="T4" s="541" t="str">
        <f ca="1">+MID(INDEX(WORLDCUP!$AL$6:$AL$97,MATCH(X4,WORLDCUP!$AI$6:$AI$97,0)),1,3)</f>
        <v>Bél</v>
      </c>
      <c r="U4" s="542">
        <f ca="1">+INDEX(WORLDCUP!$AM$6:$AM$97,MATCH(X4,WORLDCUP!$AI$6:$AI$97,0))</f>
        <v>5</v>
      </c>
      <c r="V4" s="543">
        <f ca="1">+INDEX(WORLDCUP!$AT$6:$AT$97,MATCH(X4,WORLDCUP!$AI$6:$AI$97,0))</f>
        <v>4</v>
      </c>
      <c r="W4" s="544" t="str">
        <f ca="1">+INDEX(WORLDCUP!$AR$6:$AR$97,MATCH(X4,WORLDCUP!$AI$6:$AI$97,0))&amp;"-"&amp;INDEX(WORLDCUP!$AS$6:$AS$97,MATCH(X4,WORLDCUP!$AI$6:$AI$97,0))</f>
        <v>6-2</v>
      </c>
      <c r="X4" s="19" t="s">
        <v>667</v>
      </c>
      <c r="Y4" s="19">
        <v>74</v>
      </c>
      <c r="Z4" s="518" t="s">
        <v>722</v>
      </c>
      <c r="AA4" s="519" t="str">
        <f ca="1">+MID(INDEX(WORLDCUP!$AF$101:$AF$147,MATCH(Y4,WORLDCUP!$Z$101:$Z$147,0)),1,IF(WORLDCUP!$H$113&lt;144,6,3))</f>
        <v>Par</v>
      </c>
      <c r="AB4" s="546">
        <f>+IF(ISBLANK(INDEX(WORLDCUP!$AD$101:$AD$147,MATCH(Y4,WORLDCUP!$Z$101:$Z$147,0))),"",INDEX(WORLDCUP!$AD$101:$AD$147,MATCH(Y4,WORLDCUP!$Z$101:$Z$147,0)))</f>
        <v>1</v>
      </c>
      <c r="AC4" s="547" t="str">
        <f>+IF(ISBLANK(INDEX(WORLDCUP!$AE$101:$AE$147,MATCH(Y4,WORLDCUP!$Z$101:$Z$147,0))),"","( "&amp;INDEX(WORLDCUP!$AE$101:$AE$147,MATCH(Y4,WORLDCUP!$Z$101:$Z$147,0))&amp;" )")</f>
        <v>( 4 )</v>
      </c>
      <c r="AD4" s="548">
        <v>89</v>
      </c>
      <c r="AE4" s="549" t="str">
        <f ca="1">+MID(INDEX(WORLDCUP!$AA$101:$AA$147,MATCH(AD4,WORLDCUP!$Z$101:$Z$147,0)),1,3)</f>
        <v>Par</v>
      </c>
      <c r="AF4" s="550">
        <f>+IF(ISBLANK(INDEX(WORLDCUP!$AC$101:$AC$147,MATCH(AD4,WORLDCUP!$Z$101:$Z$147,0))),"",INDEX(WORLDCUP!$AC$101:$AC$147,MATCH(AD4,WORLDCUP!$Z$101:$Z$147,0)))</f>
        <v>0</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0</v>
      </c>
      <c r="BI4" s="556">
        <f ca="1">COUNTIF(ADMIN!$M$130:$M$161,Fixture!BG4)-BJ4-BK4-BL4-BM4-BN4-BO4</f>
        <v>1</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Sud</v>
      </c>
      <c r="I5" s="229">
        <f ca="1">+INDEX(WORLDCUP!$AM$6:$AM$97,MATCH(L5,WORLDCUP!$AI$6:$AI$97,0))</f>
        <v>4</v>
      </c>
      <c r="J5" s="230">
        <f ca="1">+INDEX(WORLDCUP!$AT$6:$AT$97,MATCH(L5,WORLDCUP!$AI$6:$AI$97,0))</f>
        <v>-1</v>
      </c>
      <c r="K5" s="231" t="str">
        <f ca="1">+INDEX(WORLDCUP!$AR$6:$AR$97,MATCH(L5,WORLDCUP!$AI$6:$AI$97,0))&amp;"-"&amp;INDEX(WORLDCUP!$AS$6:$AS$97,MATCH(L5,WORLDCUP!$AI$6:$AI$97,0))</f>
        <v>2-3</v>
      </c>
      <c r="L5" s="19" t="s">
        <v>646</v>
      </c>
      <c r="M5" s="19">
        <v>39</v>
      </c>
      <c r="N5" s="545"/>
      <c r="O5" s="537" t="str">
        <f ca="1">+MID(INDEX(WORLDCUP!$AA$4:$AA$147,MATCH(M5,WORLDCUP!$AH$4:$AH$147,0)),1,3)</f>
        <v>Bél</v>
      </c>
      <c r="P5" s="538">
        <f>IF(ISBLANK(INDEX(WORLDCUP!$AC$4:$AC$147,MATCH(M5,WORLDCUP!$AH$4:$AH$147,0))),"",INDEX(WORLDCUP!$AC$4:$AC$147,MATCH(M5,WORLDCUP!$AH$4:$AH$147,0)))</f>
        <v>0</v>
      </c>
      <c r="Q5" s="538">
        <f>IF(ISBLANK(INDEX(WORLDCUP!$AD$4:$AD$147,MATCH(M5,WORLDCUP!$AH$4:$AH$147,0))),"",INDEX(WORLDCUP!$AD$4:$AD$147,MATCH(M5,WORLDCUP!$AH$4:$AH$147,0)))</f>
        <v>0</v>
      </c>
      <c r="R5" s="539" t="str">
        <f ca="1">+MID(INDEX(WORLDCUP!$AF$4:$AF$147,MATCH(M5,WORLDCUP!$AH$4:$AH$147,0)),1,3)</f>
        <v>Irá</v>
      </c>
      <c r="S5" s="560">
        <v>2</v>
      </c>
      <c r="T5" s="561" t="str">
        <f ca="1">+MID(INDEX(WORLDCUP!$AL$6:$AL$97,MATCH(X5,WORLDCUP!$AI$6:$AI$97,0)),1,3)</f>
        <v>Egi</v>
      </c>
      <c r="U5" s="229">
        <f ca="1">+INDEX(WORLDCUP!$AM$6:$AM$97,MATCH(X5,WORLDCUP!$AI$6:$AI$97,0))</f>
        <v>5</v>
      </c>
      <c r="V5" s="230">
        <f ca="1">+INDEX(WORLDCUP!$AT$6:$AT$97,MATCH(X5,WORLDCUP!$AI$6:$AI$97,0))</f>
        <v>2</v>
      </c>
      <c r="W5" s="231" t="str">
        <f ca="1">+INDEX(WORLDCUP!$AR$6:$AR$97,MATCH(X5,WORLDCUP!$AI$6:$AI$97,0))&amp;"-"&amp;INDEX(WORLDCUP!$AS$6:$AS$97,MATCH(X5,WORLDCUP!$AI$6:$AI$97,0))</f>
        <v>5-3</v>
      </c>
      <c r="X5" s="19" t="s">
        <v>668</v>
      </c>
      <c r="Y5" s="19"/>
      <c r="Z5" s="518"/>
      <c r="AA5" s="562"/>
      <c r="AB5" s="562"/>
      <c r="AC5" s="563"/>
      <c r="AD5" s="19">
        <v>89</v>
      </c>
      <c r="AE5" s="549" t="str">
        <f ca="1">+MID(INDEX(WORLDCUP!$AF$101:$AF$147,MATCH(AD5,WORLDCUP!$Z$101:$Z$147,0)),1,3)</f>
        <v>Fra</v>
      </c>
      <c r="AF5" s="550">
        <f>+IF(ISBLANK(INDEX(WORLDCUP!$AD$101:$AD$147,MATCH(AD5,WORLDCUP!$Z$101:$Z$147,0))),"",INDEX(WORLDCUP!$AD$101:$AD$147,MATCH(AD5,WORLDCUP!$Z$101:$Z$147,0)))</f>
        <v>1</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f>IF(ISBLANK(INDEX(WORLDCUP!$AC$4:$AC$147,MATCH(A6,WORLDCUP!$AH$4:$AH$147,0))),"",INDEX(WORLDCUP!$AC$4:$AC$147,MATCH(A6,WORLDCUP!$AH$4:$AH$147,0)))</f>
        <v>1</v>
      </c>
      <c r="E6" s="538">
        <f>IF(ISBLANK(INDEX(WORLDCUP!$AD$4:$AD$147,MATCH(A6,WORLDCUP!$AH$4:$AH$147,0))),"",INDEX(WORLDCUP!$AD$4:$AD$147,MATCH(A6,WORLDCUP!$AH$4:$AH$147,0)))</f>
        <v>0</v>
      </c>
      <c r="F6" s="539" t="str">
        <f ca="1">+MID(INDEX(WORLDCUP!$AF$4:$AF$147,MATCH(A6,WORLDCUP!$AH$4:$AH$147,0)),1,3)</f>
        <v>Cor</v>
      </c>
      <c r="G6" s="560">
        <v>3</v>
      </c>
      <c r="H6" s="561" t="str">
        <f ca="1">+MID(INDEX(WORLDCUP!$AL$6:$AL$97,MATCH(L6,WORLDCUP!$AI$6:$AI$97,0)),1,3)</f>
        <v>Cor</v>
      </c>
      <c r="I6" s="229">
        <f ca="1">+INDEX(WORLDCUP!$AM$6:$AM$97,MATCH(L6,WORLDCUP!$AI$6:$AI$97,0))</f>
        <v>3</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f>IF(ISBLANK(INDEX(WORLDCUP!$AC$4:$AC$147,MATCH(M6,WORLDCUP!$AH$4:$AH$147,0))),"",INDEX(WORLDCUP!$AC$4:$AC$147,MATCH(M6,WORLDCUP!$AH$4:$AH$147,0)))</f>
        <v>1</v>
      </c>
      <c r="Q6" s="538">
        <f>IF(ISBLANK(INDEX(WORLDCUP!$AD$4:$AD$147,MATCH(M6,WORLDCUP!$AH$4:$AH$147,0))),"",INDEX(WORLDCUP!$AD$4:$AD$147,MATCH(M6,WORLDCUP!$AH$4:$AH$147,0)))</f>
        <v>3</v>
      </c>
      <c r="R6" s="539" t="str">
        <f ca="1">+MID(INDEX(WORLDCUP!$AF$4:$AF$147,MATCH(M6,WORLDCUP!$AH$4:$AH$147,0)),1,3)</f>
        <v>Egi</v>
      </c>
      <c r="S6" s="560">
        <v>3</v>
      </c>
      <c r="T6" s="561" t="str">
        <f ca="1">+MID(INDEX(WORLDCUP!$AL$6:$AL$97,MATCH(X6,WORLDCUP!$AI$6:$AI$97,0)),1,3)</f>
        <v>Irá</v>
      </c>
      <c r="U6" s="229">
        <f ca="1">+INDEX(WORLDCUP!$AM$6:$AM$97,MATCH(X6,WORLDCUP!$AI$6:$AI$97,0))</f>
        <v>3</v>
      </c>
      <c r="V6" s="230">
        <f ca="1">+INDEX(WORLDCUP!$AT$6:$AT$97,MATCH(X6,WORLDCUP!$AI$6:$AI$97,0))</f>
        <v>0</v>
      </c>
      <c r="W6" s="231" t="str">
        <f ca="1">+INDEX(WORLDCUP!$AR$6:$AR$97,MATCH(X6,WORLDCUP!$AI$6:$AI$97,0))&amp;"-"&amp;INDEX(WORLDCUP!$AS$6:$AS$97,MATCH(X6,WORLDCUP!$AI$6:$AI$97,0))</f>
        <v>3-3</v>
      </c>
      <c r="X6" s="19" t="s">
        <v>435</v>
      </c>
      <c r="Y6" s="19">
        <v>77</v>
      </c>
      <c r="Z6" s="518" t="s">
        <v>673</v>
      </c>
      <c r="AA6" s="519" t="str">
        <f ca="1">+MID(INDEX(WORLDCUP!$AA$101:$AA$147,MATCH(Y6,WORLDCUP!$Z$101:$Z$147,0)),1,3)</f>
        <v>Fra</v>
      </c>
      <c r="AB6" s="565">
        <f>+IF(ISBLANK(INDEX(WORLDCUP!$AC$101:$AC$147,MATCH(Y6,WORLDCUP!$Z$101:$Z$147,0))),"",INDEX(WORLDCUP!$AC$101:$AC$147,MATCH(Y6,WORLDCUP!$Z$101:$Z$147,0)))</f>
        <v>3</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0</v>
      </c>
      <c r="BI6" s="556">
        <f ca="1">COUNTIF(ADMIN!$M$130:$M$161,Fixture!BG6)-BJ6-BK6-BL6-BM6-BN6-BO6</f>
        <v>1</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f>IF(ISBLANK(INDEX(WORLDCUP!$AC$4:$AC$147,MATCH(A7,WORLDCUP!$AH$4:$AH$147,0))),"",INDEX(WORLDCUP!$AC$4:$AC$147,MATCH(A7,WORLDCUP!$AH$4:$AH$147,0)))</f>
        <v>0</v>
      </c>
      <c r="E7" s="538">
        <f>IF(ISBLANK(INDEX(WORLDCUP!$AD$4:$AD$147,MATCH(A7,WORLDCUP!$AH$4:$AH$147,0))),"",INDEX(WORLDCUP!$AD$4:$AD$147,MATCH(A7,WORLDCUP!$AH$4:$AH$147,0)))</f>
        <v>3</v>
      </c>
      <c r="F7" s="539" t="str">
        <f ca="1">+MID(INDEX(WORLDCUP!$AF$4:$AF$147,MATCH(A7,WORLDCUP!$AH$4:$AH$147,0)),1,3)</f>
        <v>Méx</v>
      </c>
      <c r="G7" s="560">
        <v>4</v>
      </c>
      <c r="H7" s="569" t="str">
        <f ca="1">+MID(INDEX(WORLDCUP!$AL$6:$AL$97,MATCH(L7,WORLDCUP!$AI$6:$AI$97,0)),1,3)</f>
        <v>Rep</v>
      </c>
      <c r="I7" s="570">
        <f ca="1">+INDEX(WORLDCUP!$AM$6:$AM$97,MATCH(L7,WORLDCUP!$AI$6:$AI$97,0))</f>
        <v>1</v>
      </c>
      <c r="J7" s="571">
        <f ca="1">+INDEX(WORLDCUP!$AT$6:$AT$97,MATCH(L7,WORLDCUP!$AI$6:$AI$97,0))</f>
        <v>-4</v>
      </c>
      <c r="K7" s="572" t="str">
        <f ca="1">+INDEX(WORLDCUP!$AR$6:$AR$97,MATCH(L7,WORLDCUP!$AI$6:$AI$97,0))&amp;"-"&amp;INDEX(WORLDCUP!$AS$6:$AS$97,MATCH(L7,WORLDCUP!$AI$6:$AI$97,0))</f>
        <v>2-6</v>
      </c>
      <c r="L7" s="19" t="s">
        <v>647</v>
      </c>
      <c r="M7" s="19">
        <v>63</v>
      </c>
      <c r="N7" s="545"/>
      <c r="O7" s="537" t="str">
        <f ca="1">+MID(INDEX(WORLDCUP!$AA$4:$AA$147,MATCH(M7,WORLDCUP!$AH$4:$AH$147,0)),1,3)</f>
        <v>Egi</v>
      </c>
      <c r="P7" s="538">
        <f>IF(ISBLANK(INDEX(WORLDCUP!$AC$4:$AC$147,MATCH(M7,WORLDCUP!$AH$4:$AH$147,0))),"",INDEX(WORLDCUP!$AC$4:$AC$147,MATCH(M7,WORLDCUP!$AH$4:$AH$147,0)))</f>
        <v>1</v>
      </c>
      <c r="Q7" s="538">
        <f>IF(ISBLANK(INDEX(WORLDCUP!$AD$4:$AD$147,MATCH(M7,WORLDCUP!$AH$4:$AH$147,0))),"",INDEX(WORLDCUP!$AD$4:$AD$147,MATCH(M7,WORLDCUP!$AH$4:$AH$147,0)))</f>
        <v>1</v>
      </c>
      <c r="R7" s="539" t="str">
        <f ca="1">+MID(INDEX(WORLDCUP!$AF$4:$AF$147,MATCH(M7,WORLDCUP!$AH$4:$AH$147,0)),1,3)</f>
        <v>Irá</v>
      </c>
      <c r="S7" s="560">
        <v>4</v>
      </c>
      <c r="T7" s="569" t="str">
        <f ca="1">+MID(INDEX(WORLDCUP!$AL$6:$AL$97,MATCH(X7,WORLDCUP!$AI$6:$AI$97,0)),1,3)</f>
        <v>Nue</v>
      </c>
      <c r="U7" s="570">
        <f ca="1">+INDEX(WORLDCUP!$AM$6:$AM$97,MATCH(X7,WORLDCUP!$AI$6:$AI$97,0))</f>
        <v>1</v>
      </c>
      <c r="V7" s="571">
        <f ca="1">+INDEX(WORLDCUP!$AT$6:$AT$97,MATCH(X7,WORLDCUP!$AI$6:$AI$97,0))</f>
        <v>-6</v>
      </c>
      <c r="W7" s="572" t="str">
        <f ca="1">+INDEX(WORLDCUP!$AR$6:$AR$97,MATCH(X7,WORLDCUP!$AI$6:$AI$97,0))&amp;"-"&amp;INDEX(WORLDCUP!$AS$6:$AS$97,MATCH(X7,WORLDCUP!$AI$6:$AI$97,0))</f>
        <v>4-10</v>
      </c>
      <c r="X7" s="19" t="s">
        <v>669</v>
      </c>
      <c r="Y7" s="19">
        <v>77</v>
      </c>
      <c r="Z7" s="518" t="s">
        <v>723</v>
      </c>
      <c r="AA7" s="573" t="str">
        <f ca="1">+MID(INDEX(WORLDCUP!$AF$101:$AF$147,MATCH(Y7,WORLDCUP!$Z$101:$Z$147,0)),1,IF(WORLDCUP!$H$113&lt;144,6,3))</f>
        <v>Sue</v>
      </c>
      <c r="AB7" s="574">
        <f>+IF(ISBLANK(INDEX(WORLDCUP!$AD$101:$AD$147,MATCH(Y7,WORLDCUP!$Z$101:$Z$147,0))),"",INDEX(WORLDCUP!$AD$101:$AD$147,MATCH(Y7,WORLDCUP!$Z$101:$Z$147,0)))</f>
        <v>0</v>
      </c>
      <c r="AC7" s="575" t="str">
        <f>+IF(ISBLANK(INDEX(WORLDCUP!$AE$101:$AE$147,MATCH(Y7,WORLDCUP!$Z$101:$Z$147,0))),"","( "&amp;INDEX(WORLDCUP!$AE$101:$AE$147,MATCH(Y7,WORLDCUP!$Z$101:$Z$147,0))&amp;" )")</f>
        <v/>
      </c>
      <c r="AD7" s="19"/>
      <c r="AE7" s="567"/>
      <c r="AF7" s="567"/>
      <c r="AG7" s="568"/>
      <c r="AH7" s="548">
        <v>97</v>
      </c>
      <c r="AI7" s="576" t="str">
        <f ca="1">+MID(INDEX(WORLDCUP!$AA$101:$AA$147,MATCH(AH7,WORLDCUP!$Z$101:$Z$147,0)),1,3)</f>
        <v>Fra</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0</v>
      </c>
      <c r="BI7" s="556">
        <f ca="1">COUNTIF(ADMIN!$M$130:$M$161,Fixture!BG7)-BJ7-BK7-BL7-BM7-BN7-BO7</f>
        <v>0</v>
      </c>
      <c r="BJ7" s="557">
        <f ca="1">COUNTIF(ADMIN!$M$182:$M$197,Fixture!BG7)-BK7-BL7-BM7-BN7-BO7</f>
        <v>1</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f>IF(ISBLANK(INDEX(WORLDCUP!$AC$4:$AC$147,MATCH(A8,WORLDCUP!$AH$4:$AH$147,0))),"",INDEX(WORLDCUP!$AC$4:$AC$147,MATCH(A8,WORLDCUP!$AH$4:$AH$147,0)))</f>
        <v>1</v>
      </c>
      <c r="E8" s="581">
        <f>IF(ISBLANK(INDEX(WORLDCUP!$AD$4:$AD$147,MATCH(A8,WORLDCUP!$AH$4:$AH$147,0))),"",INDEX(WORLDCUP!$AD$4:$AD$147,MATCH(A8,WORLDCUP!$AH$4:$AH$147,0)))</f>
        <v>0</v>
      </c>
      <c r="F8" s="582" t="str">
        <f ca="1">+MID(INDEX(WORLDCUP!$AF$4:$AF$147,MATCH(A8,WORLDCUP!$AH$4:$AH$147,0)),1,3)</f>
        <v>Cor</v>
      </c>
      <c r="G8" s="583"/>
      <c r="H8" s="583"/>
      <c r="I8" s="584"/>
      <c r="J8" s="584"/>
      <c r="K8" s="585"/>
      <c r="L8" s="19"/>
      <c r="M8" s="19">
        <v>64</v>
      </c>
      <c r="N8" s="586"/>
      <c r="O8" s="580" t="str">
        <f ca="1">+MID(INDEX(WORLDCUP!$AA$4:$AA$147,MATCH(M8,WORLDCUP!$AH$4:$AH$147,0)),1,3)</f>
        <v>Nue</v>
      </c>
      <c r="P8" s="581">
        <f>IF(ISBLANK(INDEX(WORLDCUP!$AC$4:$AC$147,MATCH(M8,WORLDCUP!$AH$4:$AH$147,0))),"",INDEX(WORLDCUP!$AC$4:$AC$147,MATCH(M8,WORLDCUP!$AH$4:$AH$147,0)))</f>
        <v>1</v>
      </c>
      <c r="Q8" s="581">
        <f>IF(ISBLANK(INDEX(WORLDCUP!$AD$4:$AD$147,MATCH(M8,WORLDCUP!$AH$4:$AH$147,0))),"",INDEX(WORLDCUP!$AD$4:$AD$147,MATCH(M8,WORLDCUP!$AH$4:$AH$147,0)))</f>
        <v>5</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 ca="1">+MID(INDEX(WORLDCUP!$AF$101:$AF$147,MATCH(AH8,WORLDCUP!$Z$101:$Z$147,0)),1,3)</f>
        <v>Mar</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0</v>
      </c>
      <c r="BI8" s="556">
        <f ca="1">COUNTIF(ADMIN!$M$130:$M$161,Fixture!BG8)-BJ8-BK8-BL8-BM8-BN8-BO8</f>
        <v>1</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Sud</v>
      </c>
      <c r="AB9" s="520">
        <f>+IF(ISBLANK(INDEX(WORLDCUP!$AC$101:$AC$147,MATCH(Y9,WORLDCUP!$Z$101:$Z$147,0))),"",INDEX(WORLDCUP!$AC$101:$AC$147,MATCH(Y9,WORLDCUP!$Z$101:$Z$147,0)))</f>
        <v>0</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0</v>
      </c>
      <c r="BI9" s="556">
        <f ca="1">COUNTIF(ADMIN!$M$130:$M$161,Fixture!BG9)-BJ9-BK9-BL9-BM9-BN9-BO9</f>
        <v>1</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Can</v>
      </c>
      <c r="AB10" s="546">
        <f>+IF(ISBLANK(INDEX(WORLDCUP!$AD$101:$AD$147,MATCH(Y10,WORLDCUP!$Z$101:$Z$147,0))),"",INDEX(WORLDCUP!$AD$101:$AD$147,MATCH(Y10,WORLDCUP!$Z$101:$Z$147,0)))</f>
        <v>1</v>
      </c>
      <c r="AC10" s="547" t="str">
        <f>+IF(ISBLANK(INDEX(WORLDCUP!$AE$101:$AE$147,MATCH(Y10,WORLDCUP!$Z$101:$Z$147,0))),"","( "&amp;INDEX(WORLDCUP!$AE$101:$AE$147,MATCH(Y10,WORLDCUP!$Z$101:$Z$147,0))&amp;" )")</f>
        <v/>
      </c>
      <c r="AD10" s="592">
        <v>90</v>
      </c>
      <c r="AE10" s="549" t="str">
        <f ca="1">+MID(INDEX(WORLDCUP!$AA$101:$AA$147,MATCH(AD10,WORLDCUP!$Z$101:$Z$147,0)),1,3)</f>
        <v>Can</v>
      </c>
      <c r="AF10" s="550">
        <f>+IF(ISBLANK(INDEX(WORLDCUP!$AC$101:$AC$147,MATCH(AD10,WORLDCUP!$Z$101:$Z$147,0))),"",INDEX(WORLDCUP!$AC$101:$AC$147,MATCH(AD10,WORLDCUP!$Z$101:$Z$147,0)))</f>
        <v>0</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0</v>
      </c>
      <c r="BI10" s="556">
        <f ca="1">COUNTIF(ADMIN!$M$130:$M$161,Fixture!BG10)-BJ10-BK10-BL10-BM10-BN10-BO10</f>
        <v>0</v>
      </c>
      <c r="BJ10" s="557">
        <f ca="1">COUNTIF(ADMIN!$M$182:$M$197,Fixture!BG10)-BK10-BL10-BM10-BN10-BO10</f>
        <v>0</v>
      </c>
      <c r="BK10" s="558">
        <f ca="1">COUNTIF(ADMIN!$M$210:$M$217,Fixture!BG10)-BL10-BM10-BN10-BO10</f>
        <v>1</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f>IF(ISBLANK(INDEX(WORLDCUP!$AC$4:$AC$147,MATCH(M11,WORLDCUP!$AH$4:$AH$147,0))),"",INDEX(WORLDCUP!$AC$4:$AC$147,MATCH(M11,WORLDCUP!$AH$4:$AH$147,0)))</f>
        <v>0</v>
      </c>
      <c r="Q11" s="511">
        <f>IF(ISBLANK(INDEX(WORLDCUP!$AD$4:$AD$147,MATCH(M11,WORLDCUP!$AH$4:$AH$147,0))),"",INDEX(WORLDCUP!$AD$4:$AD$147,MATCH(M11,WORLDCUP!$AH$4:$AH$147,0)))</f>
        <v>0</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 ca="1">+MID(INDEX(WORLDCUP!$AF$101:$AF$147,MATCH(AD11,WORLDCUP!$Z$101:$Z$147,0)),1,3)</f>
        <v>Mar</v>
      </c>
      <c r="AF11" s="550">
        <f>+IF(ISBLANK(INDEX(WORLDCUP!$AD$101:$AD$147,MATCH(AD11,WORLDCUP!$Z$101:$Z$147,0))),"",INDEX(WORLDCUP!$AD$101:$AD$147,MATCH(AD11,WORLDCUP!$Z$101:$Z$147,0)))</f>
        <v>3</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0</v>
      </c>
      <c r="BI11" s="556">
        <f ca="1">COUNTIF(ADMIN!$M$130:$M$161,Fixture!BG11)-BJ11-BK11-BL11-BM11-BN11-BO11</f>
        <v>1</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f>IF(ISBLANK(INDEX(WORLDCUP!$AC$4:$AC$147,MATCH(A12,WORLDCUP!$AH$4:$AH$147,0))),"",INDEX(WORLDCUP!$AC$4:$AC$147,MATCH(A12,WORLDCUP!$AH$4:$AH$147,0)))</f>
        <v>1</v>
      </c>
      <c r="E12" s="538">
        <f>IF(ISBLANK(INDEX(WORLDCUP!$AD$4:$AD$147,MATCH(A12,WORLDCUP!$AH$4:$AH$147,0))),"",INDEX(WORLDCUP!$AD$4:$AD$147,MATCH(A12,WORLDCUP!$AH$4:$AH$147,0)))</f>
        <v>1</v>
      </c>
      <c r="F12" s="539" t="str">
        <f ca="1">+MID(INDEX(WORLDCUP!$AF$4:$AF$147,MATCH(A12,WORLDCUP!$AH$4:$AH$147,0)),1,3)</f>
        <v>Sui</v>
      </c>
      <c r="G12" s="540">
        <v>1</v>
      </c>
      <c r="H12" s="541" t="str">
        <f ca="1">+MID(INDEX(WORLDCUP!$AL$6:$AL$97,MATCH(L12,WORLDCUP!$AI$6:$AI$97,0)),1,3)</f>
        <v>Sui</v>
      </c>
      <c r="I12" s="542">
        <f ca="1">+INDEX(WORLDCUP!$AM$6:$AM$97,MATCH(L12,WORLDCUP!$AI$6:$AI$97,0))</f>
        <v>7</v>
      </c>
      <c r="J12" s="543">
        <f ca="1">+INDEX(WORLDCUP!$AT$6:$AT$97,MATCH(L12,WORLDCUP!$AI$6:$AI$97,0))</f>
        <v>4</v>
      </c>
      <c r="K12" s="544" t="str">
        <f ca="1">+INDEX(WORLDCUP!$AR$6:$AR$97,MATCH(L12,WORLDCUP!$AI$6:$AI$97,0))&amp;"-"&amp;INDEX(WORLDCUP!$AS$6:$AS$97,MATCH(L12,WORLDCUP!$AI$6:$AI$97,0))</f>
        <v>7-3</v>
      </c>
      <c r="L12" s="19" t="s">
        <v>648</v>
      </c>
      <c r="M12" s="19">
        <v>13</v>
      </c>
      <c r="N12" s="598"/>
      <c r="O12" s="537" t="str">
        <f ca="1">+MID(INDEX(WORLDCUP!$AA$4:$AA$147,MATCH(M12,WORLDCUP!$AH$4:$AH$147,0)),1,3)</f>
        <v>Ara</v>
      </c>
      <c r="P12" s="538">
        <f>IF(ISBLANK(INDEX(WORLDCUP!$AC$4:$AC$147,MATCH(M12,WORLDCUP!$AH$4:$AH$147,0))),"",INDEX(WORLDCUP!$AC$4:$AC$147,MATCH(M12,WORLDCUP!$AH$4:$AH$147,0)))</f>
        <v>1</v>
      </c>
      <c r="Q12" s="538">
        <f>IF(ISBLANK(INDEX(WORLDCUP!$AD$4:$AD$147,MATCH(M12,WORLDCUP!$AH$4:$AH$147,0))),"",INDEX(WORLDCUP!$AD$4:$AD$147,MATCH(M12,WORLDCUP!$AH$4:$AH$147,0)))</f>
        <v>1</v>
      </c>
      <c r="R12" s="539" t="str">
        <f ca="1">+MID(INDEX(WORLDCUP!$AF$4:$AF$147,MATCH(M12,WORLDCUP!$AH$4:$AH$147,0)),1,3)</f>
        <v>Uru</v>
      </c>
      <c r="S12" s="540">
        <v>1</v>
      </c>
      <c r="T12" s="541" t="str">
        <f ca="1">+MID(INDEX(WORLDCUP!$AL$6:$AL$97,MATCH(X12,WORLDCUP!$AI$6:$AI$97,0)),1,3)</f>
        <v>Esp</v>
      </c>
      <c r="U12" s="542">
        <f ca="1">+INDEX(WORLDCUP!$AM$6:$AM$97,MATCH(X12,WORLDCUP!$AI$6:$AI$97,0))</f>
        <v>7</v>
      </c>
      <c r="V12" s="543">
        <f ca="1">+INDEX(WORLDCUP!$AT$6:$AT$97,MATCH(X12,WORLDCUP!$AI$6:$AI$97,0))</f>
        <v>5</v>
      </c>
      <c r="W12" s="544" t="str">
        <f ca="1">+INDEX(WORLDCUP!$AR$6:$AR$97,MATCH(X12,WORLDCUP!$AI$6:$AI$97,0))&amp;"-"&amp;INDEX(WORLDCUP!$AS$6:$AS$97,MATCH(X12,WORLDCUP!$AI$6:$AI$97,0))</f>
        <v>5-0</v>
      </c>
      <c r="X12" s="19" t="s">
        <v>670</v>
      </c>
      <c r="Y12" s="19">
        <v>75</v>
      </c>
      <c r="Z12" s="518" t="s">
        <v>664</v>
      </c>
      <c r="AA12" s="519" t="str">
        <f ca="1">+MID(INDEX(WORLDCUP!$AA$101:$AA$147,MATCH(Y12,WORLDCUP!$Z$101:$Z$147,0)),1,3)</f>
        <v>Paí</v>
      </c>
      <c r="AB12" s="565">
        <f>+IF(ISBLANK(INDEX(WORLDCUP!$AC$101:$AC$147,MATCH(Y12,WORLDCUP!$Z$101:$Z$147,0))),"",INDEX(WORLDCUP!$AC$101:$AC$147,MATCH(Y12,WORLDCUP!$Z$101:$Z$147,0)))</f>
        <v>1</v>
      </c>
      <c r="AC12" s="599" t="str">
        <f>+IF(ISBLANK(INDEX(WORLDCUP!$AB$101:$AB$147,MATCH(Y12,WORLDCUP!$Z$101:$Z$147,0))),"","( "&amp;INDEX(WORLDCUP!$AB$101:$AB$147,MATCH(Y12,WORLDCUP!$Z$101:$Z$147,0))&amp;" )")</f>
        <v>( 2 )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0</v>
      </c>
      <c r="BI12" s="556">
        <f ca="1">COUNTIF(ADMIN!$M$130:$M$161,Fixture!BG12)-BJ12-BK12-BL12-BM12-BN12-BO12</f>
        <v>0</v>
      </c>
      <c r="BJ12" s="557">
        <f ca="1">COUNTIF(ADMIN!$M$182:$M$197,Fixture!BG12)-BK12-BL12-BM12-BN12-BO12</f>
        <v>1</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f>IF(ISBLANK(INDEX(WORLDCUP!$AC$4:$AC$147,MATCH(A13,WORLDCUP!$AH$4:$AH$147,0))),"",INDEX(WORLDCUP!$AC$4:$AC$147,MATCH(A13,WORLDCUP!$AH$4:$AH$147,0)))</f>
        <v>4</v>
      </c>
      <c r="E13" s="538">
        <f>IF(ISBLANK(INDEX(WORLDCUP!$AD$4:$AD$147,MATCH(A13,WORLDCUP!$AH$4:$AH$147,0))),"",INDEX(WORLDCUP!$AD$4:$AD$147,MATCH(A13,WORLDCUP!$AH$4:$AH$147,0)))</f>
        <v>1</v>
      </c>
      <c r="F13" s="539" t="str">
        <f ca="1">+MID(INDEX(WORLDCUP!$AF$4:$AF$147,MATCH(A13,WORLDCUP!$AH$4:$AH$147,0)),1,3)</f>
        <v>Bos</v>
      </c>
      <c r="G13" s="560">
        <v>2</v>
      </c>
      <c r="H13" s="561" t="str">
        <f ca="1">+MID(INDEX(WORLDCUP!$AL$6:$AL$97,MATCH(L13,WORLDCUP!$AI$6:$AI$97,0)),1,3)</f>
        <v>Can</v>
      </c>
      <c r="I13" s="229">
        <f ca="1">+INDEX(WORLDCUP!$AM$6:$AM$97,MATCH(L13,WORLDCUP!$AI$6:$AI$97,0))</f>
        <v>4</v>
      </c>
      <c r="J13" s="230">
        <f ca="1">+INDEX(WORLDCUP!$AT$6:$AT$97,MATCH(L13,WORLDCUP!$AI$6:$AI$97,0))</f>
        <v>5</v>
      </c>
      <c r="K13" s="231" t="str">
        <f ca="1">+INDEX(WORLDCUP!$AR$6:$AR$97,MATCH(L13,WORLDCUP!$AI$6:$AI$97,0))&amp;"-"&amp;INDEX(WORLDCUP!$AS$6:$AS$97,MATCH(L13,WORLDCUP!$AI$6:$AI$97,0))</f>
        <v>8-3</v>
      </c>
      <c r="L13" s="19" t="s">
        <v>649</v>
      </c>
      <c r="M13" s="19">
        <v>38</v>
      </c>
      <c r="N13" s="598"/>
      <c r="O13" s="537" t="str">
        <f ca="1">+MID(INDEX(WORLDCUP!$AA$4:$AA$147,MATCH(M13,WORLDCUP!$AH$4:$AH$147,0)),1,3)</f>
        <v>Esp</v>
      </c>
      <c r="P13" s="538">
        <f>IF(ISBLANK(INDEX(WORLDCUP!$AC$4:$AC$147,MATCH(M13,WORLDCUP!$AH$4:$AH$147,0))),"",INDEX(WORLDCUP!$AC$4:$AC$147,MATCH(M13,WORLDCUP!$AH$4:$AH$147,0)))</f>
        <v>4</v>
      </c>
      <c r="Q13" s="538">
        <f>IF(ISBLANK(INDEX(WORLDCUP!$AD$4:$AD$147,MATCH(M13,WORLDCUP!$AH$4:$AH$147,0))),"",INDEX(WORLDCUP!$AD$4:$AD$147,MATCH(M13,WORLDCUP!$AH$4:$AH$147,0)))</f>
        <v>0</v>
      </c>
      <c r="R13" s="539" t="str">
        <f ca="1">+MID(INDEX(WORLDCUP!$AF$4:$AF$147,MATCH(M13,WORLDCUP!$AH$4:$AH$147,0)),1,3)</f>
        <v>Ara</v>
      </c>
      <c r="S13" s="560">
        <v>2</v>
      </c>
      <c r="T13" s="561" t="str">
        <f ca="1">+MID(INDEX(WORLDCUP!$AL$6:$AL$97,MATCH(X13,WORLDCUP!$AI$6:$AI$97,0)),1,3)</f>
        <v>Cab</v>
      </c>
      <c r="U13" s="229">
        <f ca="1">+INDEX(WORLDCUP!$AM$6:$AM$97,MATCH(X13,WORLDCUP!$AI$6:$AI$97,0))</f>
        <v>3</v>
      </c>
      <c r="V13" s="230">
        <f ca="1">+INDEX(WORLDCUP!$AT$6:$AT$97,MATCH(X13,WORLDCUP!$AI$6:$AI$97,0))</f>
        <v>0</v>
      </c>
      <c r="W13" s="231" t="str">
        <f ca="1">+INDEX(WORLDCUP!$AR$6:$AR$97,MATCH(X13,WORLDCUP!$AI$6:$AI$97,0))&amp;"-"&amp;INDEX(WORLDCUP!$AS$6:$AS$97,MATCH(X13,WORLDCUP!$AI$6:$AI$97,0))</f>
        <v>2-2</v>
      </c>
      <c r="X13" s="19" t="s">
        <v>671</v>
      </c>
      <c r="Y13" s="19">
        <v>75</v>
      </c>
      <c r="Z13" s="518" t="s">
        <v>656</v>
      </c>
      <c r="AA13" s="573" t="str">
        <f ca="1">+MID(INDEX(WORLDCUP!$AF$101:$AF$147,MATCH(Y13,WORLDCUP!$Z$101:$Z$147,0)),1,3)</f>
        <v>Mar</v>
      </c>
      <c r="AB13" s="574">
        <f>+IF(ISBLANK(INDEX(WORLDCUP!$AD$101:$AD$147,MATCH(Y13,WORLDCUP!$Z$101:$Z$147,0))),"",INDEX(WORLDCUP!$AD$101:$AD$147,MATCH(Y13,WORLDCUP!$Z$101:$Z$147,0)))</f>
        <v>1</v>
      </c>
      <c r="AC13" s="600" t="str">
        <f>+IF(ISBLANK(INDEX(WORLDCUP!$AE$101:$AE$147,MATCH(Y13,WORLDCUP!$Z$101:$Z$147,0))),"","( "&amp;INDEX(WORLDCUP!$AE$101:$AE$147,MATCH(Y13,WORLDCUP!$Z$101:$Z$147,0))&amp;" )")</f>
        <v>( 3 )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0</v>
      </c>
      <c r="BI13" s="556">
        <f ca="1">COUNTIF(ADMIN!$M$130:$M$161,Fixture!BG13)-BJ13-BK13-BL13-BM13-BN13-BO13</f>
        <v>1</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f>IF(ISBLANK(INDEX(WORLDCUP!$AC$4:$AC$147,MATCH(A14,WORLDCUP!$AH$4:$AH$147,0))),"",INDEX(WORLDCUP!$AC$4:$AC$147,MATCH(A14,WORLDCUP!$AH$4:$AH$147,0)))</f>
        <v>6</v>
      </c>
      <c r="E14" s="538">
        <f>IF(ISBLANK(INDEX(WORLDCUP!$AD$4:$AD$147,MATCH(A14,WORLDCUP!$AH$4:$AH$147,0))),"",INDEX(WORLDCUP!$AD$4:$AD$147,MATCH(A14,WORLDCUP!$AH$4:$AH$147,0)))</f>
        <v>0</v>
      </c>
      <c r="F14" s="539" t="str">
        <f ca="1">+MID(INDEX(WORLDCUP!$AF$4:$AF$147,MATCH(A14,WORLDCUP!$AH$4:$AH$147,0)),1,3)</f>
        <v>Cat</v>
      </c>
      <c r="G14" s="560">
        <v>3</v>
      </c>
      <c r="H14" s="561" t="str">
        <f ca="1">+MID(INDEX(WORLDCUP!$AL$6:$AL$97,MATCH(L14,WORLDCUP!$AI$6:$AI$97,0)),1,3)</f>
        <v>Bos</v>
      </c>
      <c r="I14" s="229">
        <f ca="1">+INDEX(WORLDCUP!$AM$6:$AM$97,MATCH(L14,WORLDCUP!$AI$6:$AI$97,0))</f>
        <v>4</v>
      </c>
      <c r="J14" s="230">
        <f ca="1">+INDEX(WORLDCUP!$AT$6:$AT$97,MATCH(L14,WORLDCUP!$AI$6:$AI$97,0))</f>
        <v>-1</v>
      </c>
      <c r="K14" s="231" t="str">
        <f ca="1">+INDEX(WORLDCUP!$AR$6:$AR$97,MATCH(L14,WORLDCUP!$AI$6:$AI$97,0))&amp;"-"&amp;INDEX(WORLDCUP!$AS$6:$AS$97,MATCH(L14,WORLDCUP!$AI$6:$AI$97,0))</f>
        <v>5-6</v>
      </c>
      <c r="L14" s="19" t="s">
        <v>90</v>
      </c>
      <c r="M14" s="19">
        <v>37</v>
      </c>
      <c r="N14" s="598"/>
      <c r="O14" s="537" t="str">
        <f ca="1">+MID(INDEX(WORLDCUP!$AA$4:$AA$147,MATCH(M14,WORLDCUP!$AH$4:$AH$147,0)),1,3)</f>
        <v>Uru</v>
      </c>
      <c r="P14" s="538">
        <f>IF(ISBLANK(INDEX(WORLDCUP!$AC$4:$AC$147,MATCH(M14,WORLDCUP!$AH$4:$AH$147,0))),"",INDEX(WORLDCUP!$AC$4:$AC$147,MATCH(M14,WORLDCUP!$AH$4:$AH$147,0)))</f>
        <v>2</v>
      </c>
      <c r="Q14" s="538">
        <f>IF(ISBLANK(INDEX(WORLDCUP!$AD$4:$AD$147,MATCH(M14,WORLDCUP!$AH$4:$AH$147,0))),"",INDEX(WORLDCUP!$AD$4:$AD$147,MATCH(M14,WORLDCUP!$AH$4:$AH$147,0)))</f>
        <v>2</v>
      </c>
      <c r="R14" s="539" t="str">
        <f ca="1">+MID(INDEX(WORLDCUP!$AF$4:$AF$147,MATCH(M14,WORLDCUP!$AH$4:$AH$147,0)),1,3)</f>
        <v>Cab</v>
      </c>
      <c r="S14" s="560">
        <v>3</v>
      </c>
      <c r="T14" s="561" t="str">
        <f ca="1">+MID(INDEX(WORLDCUP!$AL$6:$AL$97,MATCH(X14,WORLDCUP!$AI$6:$AI$97,0)),1,3)</f>
        <v>Uru</v>
      </c>
      <c r="U14" s="229">
        <f ca="1">+INDEX(WORLDCUP!$AM$6:$AM$97,MATCH(X14,WORLDCUP!$AI$6:$AI$97,0))</f>
        <v>2</v>
      </c>
      <c r="V14" s="230">
        <f ca="1">+INDEX(WORLDCUP!$AT$6:$AT$97,MATCH(X14,WORLDCUP!$AI$6:$AI$97,0))</f>
        <v>-1</v>
      </c>
      <c r="W14" s="231" t="str">
        <f ca="1">+INDEX(WORLDCUP!$AR$6:$AR$97,MATCH(X14,WORLDCUP!$AI$6:$AI$97,0))&amp;"-"&amp;INDEX(WORLDCUP!$AS$6:$AS$97,MATCH(X14,WORLDCUP!$AI$6:$AI$97,0))</f>
        <v>3-4</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0</v>
      </c>
      <c r="BI14" s="556">
        <f ca="1">COUNTIF(ADMIN!$M$130:$M$161,Fixture!BG14)-BJ14-BK14-BL14-BM14-BN14-BO14</f>
        <v>0</v>
      </c>
      <c r="BJ14" s="557">
        <f ca="1">COUNTIF(ADMIN!$M$182:$M$197,Fixture!BG14)-BK14-BL14-BM14-BN14-BO14</f>
        <v>1</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f>IF(ISBLANK(INDEX(WORLDCUP!$AC$4:$AC$147,MATCH(A15,WORLDCUP!$AH$4:$AH$147,0))),"",INDEX(WORLDCUP!$AC$4:$AC$147,MATCH(A15,WORLDCUP!$AH$4:$AH$147,0)))</f>
        <v>2</v>
      </c>
      <c r="E15" s="538">
        <f>IF(ISBLANK(INDEX(WORLDCUP!$AD$4:$AD$147,MATCH(A15,WORLDCUP!$AH$4:$AH$147,0))),"",INDEX(WORLDCUP!$AD$4:$AD$147,MATCH(A15,WORLDCUP!$AH$4:$AH$147,0)))</f>
        <v>1</v>
      </c>
      <c r="F15" s="539" t="str">
        <f ca="1">+MID(INDEX(WORLDCUP!$AF$4:$AF$147,MATCH(A15,WORLDCUP!$AH$4:$AH$147,0)),1,3)</f>
        <v>Can</v>
      </c>
      <c r="G15" s="560">
        <v>4</v>
      </c>
      <c r="H15" s="569" t="str">
        <f ca="1">+MID(INDEX(WORLDCUP!$AL$6:$AL$97,MATCH(L15,WORLDCUP!$AI$6:$AI$97,0)),1,3)</f>
        <v>Cat</v>
      </c>
      <c r="I15" s="570">
        <f ca="1">+INDEX(WORLDCUP!$AM$6:$AM$97,MATCH(L15,WORLDCUP!$AI$6:$AI$97,0))</f>
        <v>1</v>
      </c>
      <c r="J15" s="571">
        <f ca="1">+INDEX(WORLDCUP!$AT$6:$AT$97,MATCH(L15,WORLDCUP!$AI$6:$AI$97,0))</f>
        <v>-8</v>
      </c>
      <c r="K15" s="572" t="str">
        <f ca="1">+INDEX(WORLDCUP!$AR$6:$AR$97,MATCH(L15,WORLDCUP!$AI$6:$AI$97,0))&amp;"-"&amp;INDEX(WORLDCUP!$AS$6:$AS$97,MATCH(L15,WORLDCUP!$AI$6:$AI$97,0))</f>
        <v>2-10</v>
      </c>
      <c r="L15" s="19" t="s">
        <v>650</v>
      </c>
      <c r="M15" s="19">
        <v>65</v>
      </c>
      <c r="N15" s="598"/>
      <c r="O15" s="537" t="str">
        <f ca="1">+MID(INDEX(WORLDCUP!$AA$4:$AA$147,MATCH(M15,WORLDCUP!$AH$4:$AH$147,0)),1,3)</f>
        <v>Cab</v>
      </c>
      <c r="P15" s="538">
        <f>IF(ISBLANK(INDEX(WORLDCUP!$AC$4:$AC$147,MATCH(M15,WORLDCUP!$AH$4:$AH$147,0))),"",INDEX(WORLDCUP!$AC$4:$AC$147,MATCH(M15,WORLDCUP!$AH$4:$AH$147,0)))</f>
        <v>0</v>
      </c>
      <c r="Q15" s="538">
        <f>IF(ISBLANK(INDEX(WORLDCUP!$AD$4:$AD$147,MATCH(M15,WORLDCUP!$AH$4:$AH$147,0))),"",INDEX(WORLDCUP!$AD$4:$AD$147,MATCH(M15,WORLDCUP!$AH$4:$AH$147,0)))</f>
        <v>0</v>
      </c>
      <c r="R15" s="539" t="str">
        <f ca="1">+MID(INDEX(WORLDCUP!$AF$4:$AF$147,MATCH(M15,WORLDCUP!$AH$4:$AH$147,0)),1,3)</f>
        <v>Ara</v>
      </c>
      <c r="S15" s="560">
        <v>4</v>
      </c>
      <c r="T15" s="569" t="str">
        <f ca="1">+MID(INDEX(WORLDCUP!$AL$6:$AL$97,MATCH(X15,WORLDCUP!$AI$6:$AI$97,0)),1,3)</f>
        <v>Ara</v>
      </c>
      <c r="U15" s="570">
        <f ca="1">+INDEX(WORLDCUP!$AM$6:$AM$97,MATCH(X15,WORLDCUP!$AI$6:$AI$97,0))</f>
        <v>2</v>
      </c>
      <c r="V15" s="571">
        <f ca="1">+INDEX(WORLDCUP!$AT$6:$AT$97,MATCH(X15,WORLDCUP!$AI$6:$AI$97,0))</f>
        <v>-4</v>
      </c>
      <c r="W15" s="572" t="str">
        <f ca="1">+INDEX(WORLDCUP!$AR$6:$AR$97,MATCH(X15,WORLDCUP!$AI$6:$AI$97,0))&amp;"-"&amp;INDEX(WORLDCUP!$AS$6:$AS$97,MATCH(X15,WORLDCUP!$AI$6:$AI$97,0))</f>
        <v>1-5</v>
      </c>
      <c r="X15" s="19" t="s">
        <v>672</v>
      </c>
      <c r="Y15" s="19">
        <v>83</v>
      </c>
      <c r="Z15" s="518" t="s">
        <v>680</v>
      </c>
      <c r="AA15" s="519" t="str">
        <f ca="1">+MID(INDEX(WORLDCUP!$AA$101:$AA$147,MATCH(Y15,WORLDCUP!$Z$101:$Z$147,0)),1,3)</f>
        <v>Por</v>
      </c>
      <c r="AB15" s="520">
        <f>+IF(ISBLANK(INDEX(WORLDCUP!$AC$101:$AC$147,MATCH(Y15,WORLDCUP!$Z$101:$Z$147,0))),"",INDEX(WORLDCUP!$AC$101:$AC$147,MATCH(Y15,WORLDCUP!$Z$101:$Z$147,0)))</f>
        <v>2</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f>IF(ISBLANK(INDEX(WORLDCUP!$AC$4:$AC$147,MATCH(A16,WORLDCUP!$AH$4:$AH$147,0))),"",INDEX(WORLDCUP!$AC$4:$AC$147,MATCH(A16,WORLDCUP!$AH$4:$AH$147,0)))</f>
        <v>3</v>
      </c>
      <c r="E16" s="581">
        <f>IF(ISBLANK(INDEX(WORLDCUP!$AD$4:$AD$147,MATCH(A16,WORLDCUP!$AH$4:$AH$147,0))),"",INDEX(WORLDCUP!$AD$4:$AD$147,MATCH(A16,WORLDCUP!$AH$4:$AH$147,0)))</f>
        <v>1</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f>IF(ISBLANK(INDEX(WORLDCUP!$AC$4:$AC$147,MATCH(M16,WORLDCUP!$AH$4:$AH$147,0))),"",INDEX(WORLDCUP!$AC$4:$AC$147,MATCH(M16,WORLDCUP!$AH$4:$AH$147,0)))</f>
        <v>0</v>
      </c>
      <c r="Q16" s="581">
        <f>IF(ISBLANK(INDEX(WORLDCUP!$AD$4:$AD$147,MATCH(M16,WORLDCUP!$AH$4:$AH$147,0))),"",INDEX(WORLDCUP!$AD$4:$AD$147,MATCH(M16,WORLDCUP!$AH$4:$AH$147,0)))</f>
        <v>1</v>
      </c>
      <c r="R16" s="582" t="str">
        <f ca="1">+MID(INDEX(WORLDCUP!$AF$4:$AF$147,MATCH(M16,WORLDCUP!$AH$4:$AH$147,0)),1,3)</f>
        <v>Esp</v>
      </c>
      <c r="S16" s="583"/>
      <c r="T16" s="583"/>
      <c r="U16" s="584"/>
      <c r="V16" s="584"/>
      <c r="W16" s="585"/>
      <c r="X16" s="19"/>
      <c r="Y16" s="19">
        <v>83</v>
      </c>
      <c r="Z16" s="518" t="s">
        <v>683</v>
      </c>
      <c r="AA16" s="519" t="str">
        <f ca="1">+MID(INDEX(WORLDCUP!$AF$101:$AF$147,MATCH(Y16,WORLDCUP!$Z$101:$Z$147,0)),1,3)</f>
        <v>Cro</v>
      </c>
      <c r="AB16" s="546">
        <f>+IF(ISBLANK(INDEX(WORLDCUP!$AD$101:$AD$147,MATCH(Y16,WORLDCUP!$Z$101:$Z$147,0))),"",INDEX(WORLDCUP!$AD$101:$AD$147,MATCH(Y16,WORLDCUP!$Z$101:$Z$147,0)))</f>
        <v>1</v>
      </c>
      <c r="AC16" s="547" t="str">
        <f>+IF(ISBLANK(INDEX(WORLDCUP!$AE$101:$AE$147,MATCH(Y16,WORLDCUP!$Z$101:$Z$147,0))),"","( "&amp;INDEX(WORLDCUP!$AE$101:$AE$147,MATCH(Y16,WORLDCUP!$Z$101:$Z$147,0))&amp;" )")</f>
        <v/>
      </c>
      <c r="AD16" s="548">
        <v>93</v>
      </c>
      <c r="AE16" s="549" t="str">
        <f ca="1">+MID(INDEX(WORLDCUP!$AA$101:$AA$147,MATCH(AD16,WORLDCUP!$Z$101:$Z$147,0)),1,3)</f>
        <v>Por</v>
      </c>
      <c r="AF16" s="550">
        <f>+IF(ISBLANK(INDEX(WORLDCUP!$AC$101:$AC$147,MATCH(AD16,WORLDCUP!$Z$101:$Z$147,0))),"",INDEX(WORLDCUP!$AC$101:$AC$147,MATCH(AD16,WORLDCUP!$Z$101:$Z$147,0)))</f>
        <v>0</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0</v>
      </c>
      <c r="BI16" s="556">
        <f ca="1">COUNTIF(ADMIN!$M$130:$M$161,Fixture!BG16)-BJ16-BK16-BL16-BM16-BN16-BO16</f>
        <v>0</v>
      </c>
      <c r="BJ16" s="557">
        <f ca="1">COUNTIF(ADMIN!$M$182:$M$197,Fixture!BG16)-BK16-BL16-BM16-BN16-BO16</f>
        <v>1</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 ca="1">+MID(INDEX(WORLDCUP!$AF$101:$AF$147,MATCH(AD17,WORLDCUP!$Z$101:$Z$147,0)),1,3)</f>
        <v>Esp</v>
      </c>
      <c r="AF17" s="550">
        <f>+IF(ISBLANK(INDEX(WORLDCUP!$AD$101:$AD$147,MATCH(AD17,WORLDCUP!$Z$101:$Z$147,0))),"",INDEX(WORLDCUP!$AD$101:$AD$147,MATCH(AD17,WORLDCUP!$Z$101:$Z$147,0)))</f>
        <v>1</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Esp</v>
      </c>
      <c r="AB18" s="565">
        <f>+IF(ISBLANK(INDEX(WORLDCUP!$AC$101:$AC$147,MATCH(Y18,WORLDCUP!$Z$101:$Z$147,0))),"",INDEX(WORLDCUP!$AC$101:$AC$147,MATCH(Y18,WORLDCUP!$Z$101:$Z$147,0)))</f>
        <v>3</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0</v>
      </c>
      <c r="BI18" s="556">
        <f ca="1">COUNTIF(ADMIN!$M$130:$M$161,Fixture!BG18)-BJ18-BK18-BL18-BM18-BN18-BO18</f>
        <v>1</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f>IF(ISBLANK(INDEX(WORLDCUP!$AC$4:$AC$147,MATCH(A19,WORLDCUP!$AH$4:$AH$147,0))),"",INDEX(WORLDCUP!$AC$4:$AC$147,MATCH(A19,WORLDCUP!$AH$4:$AH$147,0)))</f>
        <v>1</v>
      </c>
      <c r="E19" s="511">
        <f>IF(ISBLANK(INDEX(WORLDCUP!$AD$4:$AD$147,MATCH(A19,WORLDCUP!$AH$4:$AH$147,0))),"",INDEX(WORLDCUP!$AD$4:$AD$147,MATCH(A19,WORLDCUP!$AH$4:$AH$147,0)))</f>
        <v>1</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f>IF(ISBLANK(INDEX(WORLDCUP!$AC$4:$AC$147,MATCH(M19,WORLDCUP!$AH$4:$AH$147,0))),"",INDEX(WORLDCUP!$AC$4:$AC$147,MATCH(M19,WORLDCUP!$AH$4:$AH$147,0)))</f>
        <v>3</v>
      </c>
      <c r="Q19" s="511">
        <f>IF(ISBLANK(INDEX(WORLDCUP!$AD$4:$AD$147,MATCH(M19,WORLDCUP!$AH$4:$AH$147,0))),"",INDEX(WORLDCUP!$AD$4:$AD$147,MATCH(M19,WORLDCUP!$AH$4:$AH$147,0)))</f>
        <v>1</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Aus</v>
      </c>
      <c r="AB19" s="574">
        <f>+IF(ISBLANK(INDEX(WORLDCUP!$AD$101:$AD$147,MATCH(Y19,WORLDCUP!$Z$101:$Z$147,0))),"",INDEX(WORLDCUP!$AD$101:$AD$147,MATCH(Y19,WORLDCUP!$Z$101:$Z$147,0)))</f>
        <v>0</v>
      </c>
      <c r="AC19" s="600" t="str">
        <f>+IF(ISBLANK(INDEX(WORLDCUP!$AE$101:$AE$147,MATCH(Y19,WORLDCUP!$Z$101:$Z$147,0))),"","( "&amp;INDEX(WORLDCUP!$AE$101:$AE$147,MATCH(Y19,WORLDCUP!$Z$101:$Z$147,0))&amp;" )")</f>
        <v/>
      </c>
      <c r="AD19" s="19"/>
      <c r="AE19" s="567"/>
      <c r="AF19" s="567"/>
      <c r="AG19" s="568"/>
      <c r="AH19" s="592">
        <v>98</v>
      </c>
      <c r="AI19" s="576" t="str">
        <f ca="1">+MID(INDEX(WORLDCUP!$AA$101:$AA$147,MATCH(AH19,WORLDCUP!$Z$101:$Z$147,0)),1,3)</f>
        <v>Esp</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0</v>
      </c>
      <c r="BI19" s="556">
        <f ca="1">COUNTIF(ADMIN!$M$130:$M$161,Fixture!BG19)-BJ19-BK19-BL19-BM19-BN19-BO19</f>
        <v>1</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f>IF(ISBLANK(INDEX(WORLDCUP!$AC$4:$AC$147,MATCH(A20,WORLDCUP!$AH$4:$AH$147,0))),"",INDEX(WORLDCUP!$AC$4:$AC$147,MATCH(A20,WORLDCUP!$AH$4:$AH$147,0)))</f>
        <v>0</v>
      </c>
      <c r="E20" s="538">
        <f>IF(ISBLANK(INDEX(WORLDCUP!$AD$4:$AD$147,MATCH(A20,WORLDCUP!$AH$4:$AH$147,0))),"",INDEX(WORLDCUP!$AD$4:$AD$147,MATCH(A20,WORLDCUP!$AH$4:$AH$147,0)))</f>
        <v>1</v>
      </c>
      <c r="F20" s="539" t="str">
        <f ca="1">+MID(INDEX(WORLDCUP!$AF$4:$AF$147,MATCH(A20,WORLDCUP!$AH$4:$AH$147,0)),1,3)</f>
        <v>Esc</v>
      </c>
      <c r="G20" s="540">
        <v>1</v>
      </c>
      <c r="H20" s="541" t="str">
        <f ca="1">+MID(INDEX(WORLDCUP!$AL$6:$AL$97,MATCH(L20,WORLDCUP!$AI$6:$AI$97,0)),1,3)</f>
        <v>Bra</v>
      </c>
      <c r="I20" s="542">
        <f ca="1">+INDEX(WORLDCUP!$AM$6:$AM$97,MATCH(L20,WORLDCUP!$AI$6:$AI$97,0))</f>
        <v>7</v>
      </c>
      <c r="J20" s="543">
        <f ca="1">+INDEX(WORLDCUP!$AT$6:$AT$97,MATCH(L20,WORLDCUP!$AI$6:$AI$97,0))</f>
        <v>6</v>
      </c>
      <c r="K20" s="544" t="str">
        <f ca="1">+INDEX(WORLDCUP!$AR$6:$AR$97,MATCH(L20,WORLDCUP!$AI$6:$AI$97,0))&amp;"-"&amp;INDEX(WORLDCUP!$AS$6:$AS$97,MATCH(L20,WORLDCUP!$AI$6:$AI$97,0))</f>
        <v>7-1</v>
      </c>
      <c r="L20" s="19" t="s">
        <v>651</v>
      </c>
      <c r="M20" s="19">
        <v>18</v>
      </c>
      <c r="N20" s="615"/>
      <c r="O20" s="537" t="str">
        <f ca="1">+MID(INDEX(WORLDCUP!$AA$4:$AA$147,MATCH(M20,WORLDCUP!$AH$4:$AH$147,0)),1,3)</f>
        <v>Ira</v>
      </c>
      <c r="P20" s="538">
        <f>IF(ISBLANK(INDEX(WORLDCUP!$AC$4:$AC$147,MATCH(M20,WORLDCUP!$AH$4:$AH$147,0))),"",INDEX(WORLDCUP!$AC$4:$AC$147,MATCH(M20,WORLDCUP!$AH$4:$AH$147,0)))</f>
        <v>1</v>
      </c>
      <c r="Q20" s="538">
        <f>IF(ISBLANK(INDEX(WORLDCUP!$AD$4:$AD$147,MATCH(M20,WORLDCUP!$AH$4:$AH$147,0))),"",INDEX(WORLDCUP!$AD$4:$AD$147,MATCH(M20,WORLDCUP!$AH$4:$AH$147,0)))</f>
        <v>4</v>
      </c>
      <c r="R20" s="539" t="str">
        <f ca="1">+MID(INDEX(WORLDCUP!$AF$4:$AF$147,MATCH(M20,WORLDCUP!$AH$4:$AH$147,0)),1,3)</f>
        <v>Nor</v>
      </c>
      <c r="S20" s="540">
        <v>1</v>
      </c>
      <c r="T20" s="541" t="str">
        <f ca="1">+MID(INDEX(WORLDCUP!$AL$6:$AL$97,MATCH(X20,WORLDCUP!$AI$6:$AI$97,0)),1,3)</f>
        <v>Fra</v>
      </c>
      <c r="U20" s="542">
        <f ca="1">+INDEX(WORLDCUP!$AM$6:$AM$97,MATCH(X20,WORLDCUP!$AI$6:$AI$97,0))</f>
        <v>9</v>
      </c>
      <c r="V20" s="543">
        <f ca="1">+INDEX(WORLDCUP!$AT$6:$AT$97,MATCH(X20,WORLDCUP!$AI$6:$AI$97,0))</f>
        <v>8</v>
      </c>
      <c r="W20" s="544" t="str">
        <f ca="1">+INDEX(WORLDCUP!$AR$6:$AR$97,MATCH(X20,WORLDCUP!$AI$6:$AI$97,0))&amp;"-"&amp;INDEX(WORLDCUP!$AS$6:$AS$97,MATCH(X20,WORLDCUP!$AI$6:$AI$97,0))</f>
        <v>10-2</v>
      </c>
      <c r="X20" s="19" t="s">
        <v>673</v>
      </c>
      <c r="Y20" s="19"/>
      <c r="Z20" s="518"/>
      <c r="AA20" s="587"/>
      <c r="AB20" s="587"/>
      <c r="AC20" s="587"/>
      <c r="AD20" s="19"/>
      <c r="AE20" s="522"/>
      <c r="AF20" s="522"/>
      <c r="AG20" s="568"/>
      <c r="AH20" s="19">
        <v>98</v>
      </c>
      <c r="AI20" s="576" t="str">
        <f ca="1">+MID(INDEX(WORLDCUP!$AF$101:$AF$147,MATCH(AH20,WORLDCUP!$Z$101:$Z$147,0)),1,3)</f>
        <v>Bél</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f>IF(ISBLANK(INDEX(WORLDCUP!$AC$4:$AC$147,MATCH(A21,WORLDCUP!$AH$4:$AH$147,0))),"",INDEX(WORLDCUP!$AC$4:$AC$147,MATCH(A21,WORLDCUP!$AH$4:$AH$147,0)))</f>
        <v>0</v>
      </c>
      <c r="E21" s="538">
        <f>IF(ISBLANK(INDEX(WORLDCUP!$AD$4:$AD$147,MATCH(A21,WORLDCUP!$AH$4:$AH$147,0))),"",INDEX(WORLDCUP!$AD$4:$AD$147,MATCH(A21,WORLDCUP!$AH$4:$AH$147,0)))</f>
        <v>1</v>
      </c>
      <c r="F21" s="539" t="str">
        <f ca="1">+MID(INDEX(WORLDCUP!$AF$4:$AF$147,MATCH(A21,WORLDCUP!$AH$4:$AH$147,0)),1,3)</f>
        <v>Mar</v>
      </c>
      <c r="G21" s="560">
        <v>2</v>
      </c>
      <c r="H21" s="561" t="str">
        <f ca="1">+MID(INDEX(WORLDCUP!$AL$6:$AL$97,MATCH(L21,WORLDCUP!$AI$6:$AI$97,0)),1,3)</f>
        <v>Mar</v>
      </c>
      <c r="I21" s="229">
        <f ca="1">+INDEX(WORLDCUP!$AM$6:$AM$97,MATCH(L21,WORLDCUP!$AI$6:$AI$97,0))</f>
        <v>7</v>
      </c>
      <c r="J21" s="230">
        <f ca="1">+INDEX(WORLDCUP!$AT$6:$AT$97,MATCH(L21,WORLDCUP!$AI$6:$AI$97,0))</f>
        <v>3</v>
      </c>
      <c r="K21" s="231" t="str">
        <f ca="1">+INDEX(WORLDCUP!$AR$6:$AR$97,MATCH(L21,WORLDCUP!$AI$6:$AI$97,0))&amp;"-"&amp;INDEX(WORLDCUP!$AS$6:$AS$97,MATCH(L21,WORLDCUP!$AI$6:$AI$97,0))</f>
        <v>6-3</v>
      </c>
      <c r="L21" s="19" t="s">
        <v>656</v>
      </c>
      <c r="M21" s="19">
        <v>42</v>
      </c>
      <c r="N21" s="615"/>
      <c r="O21" s="537" t="str">
        <f ca="1">+MID(INDEX(WORLDCUP!$AA$4:$AA$147,MATCH(M21,WORLDCUP!$AH$4:$AH$147,0)),1,3)</f>
        <v>Fra</v>
      </c>
      <c r="P21" s="538">
        <f>IF(ISBLANK(INDEX(WORLDCUP!$AC$4:$AC$147,MATCH(M21,WORLDCUP!$AH$4:$AH$147,0))),"",INDEX(WORLDCUP!$AC$4:$AC$147,MATCH(M21,WORLDCUP!$AH$4:$AH$147,0)))</f>
        <v>3</v>
      </c>
      <c r="Q21" s="538">
        <f>IF(ISBLANK(INDEX(WORLDCUP!$AD$4:$AD$147,MATCH(M21,WORLDCUP!$AH$4:$AH$147,0))),"",INDEX(WORLDCUP!$AD$4:$AD$147,MATCH(M21,WORLDCUP!$AH$4:$AH$147,0)))</f>
        <v>0</v>
      </c>
      <c r="R21" s="539" t="str">
        <f ca="1">+MID(INDEX(WORLDCUP!$AF$4:$AF$147,MATCH(M21,WORLDCUP!$AH$4:$AH$147,0)),1,3)</f>
        <v>Ira</v>
      </c>
      <c r="S21" s="560">
        <v>2</v>
      </c>
      <c r="T21" s="561" t="str">
        <f ca="1">+MID(INDEX(WORLDCUP!$AL$6:$AL$97,MATCH(X21,WORLDCUP!$AI$6:$AI$97,0)),1,3)</f>
        <v>Nor</v>
      </c>
      <c r="U21" s="229">
        <f ca="1">+INDEX(WORLDCUP!$AM$6:$AM$97,MATCH(X21,WORLDCUP!$AI$6:$AI$97,0))</f>
        <v>6</v>
      </c>
      <c r="V21" s="230">
        <f ca="1">+INDEX(WORLDCUP!$AT$6:$AT$97,MATCH(X21,WORLDCUP!$AI$6:$AI$97,0))</f>
        <v>1</v>
      </c>
      <c r="W21" s="231" t="str">
        <f ca="1">+INDEX(WORLDCUP!$AR$6:$AR$97,MATCH(X21,WORLDCUP!$AI$6:$AI$97,0))&amp;"-"&amp;INDEX(WORLDCUP!$AS$6:$AS$97,MATCH(X21,WORLDCUP!$AI$6:$AI$97,0))</f>
        <v>8-7</v>
      </c>
      <c r="X21" s="19" t="s">
        <v>674</v>
      </c>
      <c r="Y21" s="19">
        <v>81</v>
      </c>
      <c r="Z21" s="518" t="s">
        <v>658</v>
      </c>
      <c r="AA21" s="519" t="str">
        <f ca="1">+MID(INDEX(WORLDCUP!$AA$101:$AA$147,MATCH(Y21,WORLDCUP!$Z$101:$Z$147,0)),1,3)</f>
        <v>Est</v>
      </c>
      <c r="AB21" s="520">
        <f>+IF(ISBLANK(INDEX(WORLDCUP!$AC$101:$AC$147,MATCH(Y21,WORLDCUP!$Z$101:$Z$147,0))),"",INDEX(WORLDCUP!$AC$101:$AC$147,MATCH(Y21,WORLDCUP!$Z$101:$Z$147,0)))</f>
        <v>2</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0</v>
      </c>
      <c r="BI21" s="556">
        <f ca="1">COUNTIF(ADMIN!$M$130:$M$161,Fixture!BG21)-BJ21-BK21-BL21-BM21-BN21-BO21</f>
        <v>1</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f>IF(ISBLANK(INDEX(WORLDCUP!$AC$4:$AC$147,MATCH(A22,WORLDCUP!$AH$4:$AH$147,0))),"",INDEX(WORLDCUP!$AC$4:$AC$147,MATCH(A22,WORLDCUP!$AH$4:$AH$147,0)))</f>
        <v>3</v>
      </c>
      <c r="E22" s="538">
        <f>IF(ISBLANK(INDEX(WORLDCUP!$AD$4:$AD$147,MATCH(A22,WORLDCUP!$AH$4:$AH$147,0))),"",INDEX(WORLDCUP!$AD$4:$AD$147,MATCH(A22,WORLDCUP!$AH$4:$AH$147,0)))</f>
        <v>0</v>
      </c>
      <c r="F22" s="539" t="str">
        <f ca="1">+MID(INDEX(WORLDCUP!$AF$4:$AF$147,MATCH(A22,WORLDCUP!$AH$4:$AH$147,0)),1,3)</f>
        <v>Hai</v>
      </c>
      <c r="G22" s="560">
        <v>3</v>
      </c>
      <c r="H22" s="561" t="str">
        <f ca="1">+MID(INDEX(WORLDCUP!$AL$6:$AL$97,MATCH(L22,WORLDCUP!$AI$6:$AI$97,0)),1,3)</f>
        <v>Esc</v>
      </c>
      <c r="I22" s="229">
        <f ca="1">+INDEX(WORLDCUP!$AM$6:$AM$97,MATCH(L22,WORLDCUP!$AI$6:$AI$97,0))</f>
        <v>3</v>
      </c>
      <c r="J22" s="230">
        <f ca="1">+INDEX(WORLDCUP!$AT$6:$AT$97,MATCH(L22,WORLDCUP!$AI$6:$AI$97,0))</f>
        <v>-3</v>
      </c>
      <c r="K22" s="231" t="str">
        <f ca="1">+INDEX(WORLDCUP!$AR$6:$AR$97,MATCH(L22,WORLDCUP!$AI$6:$AI$97,0))&amp;"-"&amp;INDEX(WORLDCUP!$AS$6:$AS$97,MATCH(L22,WORLDCUP!$AI$6:$AI$97,0))</f>
        <v>1-4</v>
      </c>
      <c r="L22" s="19" t="s">
        <v>91</v>
      </c>
      <c r="M22" s="19">
        <v>41</v>
      </c>
      <c r="N22" s="615"/>
      <c r="O22" s="537" t="str">
        <f ca="1">+MID(INDEX(WORLDCUP!$AA$4:$AA$147,MATCH(M22,WORLDCUP!$AH$4:$AH$147,0)),1,3)</f>
        <v>Nor</v>
      </c>
      <c r="P22" s="538">
        <f>IF(ISBLANK(INDEX(WORLDCUP!$AC$4:$AC$147,MATCH(M22,WORLDCUP!$AH$4:$AH$147,0))),"",INDEX(WORLDCUP!$AC$4:$AC$147,MATCH(M22,WORLDCUP!$AH$4:$AH$147,0)))</f>
        <v>3</v>
      </c>
      <c r="Q22" s="538">
        <f>IF(ISBLANK(INDEX(WORLDCUP!$AD$4:$AD$147,MATCH(M22,WORLDCUP!$AH$4:$AH$147,0))),"",INDEX(WORLDCUP!$AD$4:$AD$147,MATCH(M22,WORLDCUP!$AH$4:$AH$147,0)))</f>
        <v>2</v>
      </c>
      <c r="R22" s="539" t="str">
        <f ca="1">+MID(INDEX(WORLDCUP!$AF$4:$AF$147,MATCH(M22,WORLDCUP!$AH$4:$AH$147,0)),1,3)</f>
        <v>Sen</v>
      </c>
      <c r="S22" s="560">
        <v>3</v>
      </c>
      <c r="T22" s="561" t="str">
        <f ca="1">+MID(INDEX(WORLDCUP!$AL$6:$AL$97,MATCH(X22,WORLDCUP!$AI$6:$AI$97,0)),1,3)</f>
        <v>Sen</v>
      </c>
      <c r="U22" s="229">
        <f ca="1">+INDEX(WORLDCUP!$AM$6:$AM$97,MATCH(X22,WORLDCUP!$AI$6:$AI$97,0))</f>
        <v>3</v>
      </c>
      <c r="V22" s="230">
        <f ca="1">+INDEX(WORLDCUP!$AT$6:$AT$97,MATCH(X22,WORLDCUP!$AI$6:$AI$97,0))</f>
        <v>2</v>
      </c>
      <c r="W22" s="231" t="str">
        <f ca="1">+INDEX(WORLDCUP!$AR$6:$AR$97,MATCH(X22,WORLDCUP!$AI$6:$AI$97,0))&amp;"-"&amp;INDEX(WORLDCUP!$AS$6:$AS$97,MATCH(X22,WORLDCUP!$AI$6:$AI$97,0))</f>
        <v>8-6</v>
      </c>
      <c r="X22" s="19" t="s">
        <v>440</v>
      </c>
      <c r="Y22" s="19">
        <v>81</v>
      </c>
      <c r="Z22" s="518" t="s">
        <v>726</v>
      </c>
      <c r="AA22" s="519" t="str">
        <f ca="1">+MID(INDEX(WORLDCUP!$AF$101:$AF$147,MATCH(Y22,WORLDCUP!$Z$101:$Z$147,0)),1,IF(WORLDCUP!$H$113&lt;144,6,3))</f>
        <v>Bos</v>
      </c>
      <c r="AB22" s="546">
        <f>+IF(ISBLANK(INDEX(WORLDCUP!$AD$101:$AD$147,MATCH(Y22,WORLDCUP!$Z$101:$Z$147,0))),"",INDEX(WORLDCUP!$AD$101:$AD$147,MATCH(Y22,WORLDCUP!$Z$101:$Z$147,0)))</f>
        <v>0</v>
      </c>
      <c r="AC22" s="547" t="str">
        <f>+IF(ISBLANK(INDEX(WORLDCUP!$AE$101:$AE$147,MATCH(Y22,WORLDCUP!$Z$101:$Z$147,0))),"","( "&amp;INDEX(WORLDCUP!$AE$101:$AE$147,MATCH(Y22,WORLDCUP!$Z$101:$Z$147,0))&amp;" )")</f>
        <v/>
      </c>
      <c r="AD22" s="548">
        <v>94</v>
      </c>
      <c r="AE22" s="549" t="str">
        <f ca="1">+MID(INDEX(WORLDCUP!$AA$101:$AA$147,MATCH(AD22,WORLDCUP!$Z$101:$Z$147,0)),1,3)</f>
        <v>Est</v>
      </c>
      <c r="AF22" s="550">
        <f>+IF(ISBLANK(INDEX(WORLDCUP!$AC$101:$AC$147,MATCH(AD22,WORLDCUP!$Z$101:$Z$147,0))),"",INDEX(WORLDCUP!$AC$101:$AC$147,MATCH(AD22,WORLDCUP!$Z$101:$Z$147,0)))</f>
        <v>1</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0</v>
      </c>
      <c r="BI22" s="556">
        <f ca="1">COUNTIF(ADMIN!$M$130:$M$161,Fixture!BG22)-BJ22-BK22-BL22-BM22-BN22-BO22</f>
        <v>0</v>
      </c>
      <c r="BJ22" s="557">
        <f ca="1">COUNTIF(ADMIN!$M$182:$M$197,Fixture!BG22)-BK22-BL22-BM22-BN22-BO22</f>
        <v>0</v>
      </c>
      <c r="BK22" s="558">
        <f ca="1">COUNTIF(ADMIN!$M$210:$M$217,Fixture!BG22)-BL22-BM22-BN22-BO22</f>
        <v>1</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f>IF(ISBLANK(INDEX(WORLDCUP!$AC$4:$AC$147,MATCH(A23,WORLDCUP!$AH$4:$AH$147,0))),"",INDEX(WORLDCUP!$AC$4:$AC$147,MATCH(A23,WORLDCUP!$AH$4:$AH$147,0)))</f>
        <v>0</v>
      </c>
      <c r="E23" s="538">
        <f>IF(ISBLANK(INDEX(WORLDCUP!$AD$4:$AD$147,MATCH(A23,WORLDCUP!$AH$4:$AH$147,0))),"",INDEX(WORLDCUP!$AD$4:$AD$147,MATCH(A23,WORLDCUP!$AH$4:$AH$147,0)))</f>
        <v>3</v>
      </c>
      <c r="F23" s="539" t="str">
        <f ca="1">+MID(INDEX(WORLDCUP!$AF$4:$AF$147,MATCH(A23,WORLDCUP!$AH$4:$AH$147,0)),1,3)</f>
        <v>Bra</v>
      </c>
      <c r="G23" s="560">
        <v>4</v>
      </c>
      <c r="H23" s="569" t="str">
        <f ca="1">+MID(INDEX(WORLDCUP!$AL$6:$AL$97,MATCH(L23,WORLDCUP!$AI$6:$AI$97,0)),1,3)</f>
        <v>Hai</v>
      </c>
      <c r="I23" s="570">
        <f ca="1">+INDEX(WORLDCUP!$AM$6:$AM$97,MATCH(L23,WORLDCUP!$AI$6:$AI$97,0))</f>
        <v>0</v>
      </c>
      <c r="J23" s="571">
        <f ca="1">+INDEX(WORLDCUP!$AT$6:$AT$97,MATCH(L23,WORLDCUP!$AI$6:$AI$97,0))</f>
        <v>-6</v>
      </c>
      <c r="K23" s="572" t="str">
        <f ca="1">+INDEX(WORLDCUP!$AR$6:$AR$97,MATCH(L23,WORLDCUP!$AI$6:$AI$97,0))&amp;"-"&amp;INDEX(WORLDCUP!$AS$6:$AS$97,MATCH(L23,WORLDCUP!$AI$6:$AI$97,0))</f>
        <v>2-8</v>
      </c>
      <c r="L23" s="19" t="s">
        <v>657</v>
      </c>
      <c r="M23" s="19">
        <v>61</v>
      </c>
      <c r="N23" s="615"/>
      <c r="O23" s="537" t="str">
        <f ca="1">+MID(INDEX(WORLDCUP!$AA$4:$AA$147,MATCH(M23,WORLDCUP!$AH$4:$AH$147,0)),1,3)</f>
        <v>Nor</v>
      </c>
      <c r="P23" s="538">
        <f>IF(ISBLANK(INDEX(WORLDCUP!$AC$4:$AC$147,MATCH(M23,WORLDCUP!$AH$4:$AH$147,0))),"",INDEX(WORLDCUP!$AC$4:$AC$147,MATCH(M23,WORLDCUP!$AH$4:$AH$147,0)))</f>
        <v>1</v>
      </c>
      <c r="Q23" s="538">
        <f>IF(ISBLANK(INDEX(WORLDCUP!$AD$4:$AD$147,MATCH(M23,WORLDCUP!$AH$4:$AH$147,0))),"",INDEX(WORLDCUP!$AD$4:$AD$147,MATCH(M23,WORLDCUP!$AH$4:$AH$147,0)))</f>
        <v>4</v>
      </c>
      <c r="R23" s="539" t="str">
        <f ca="1">+MID(INDEX(WORLDCUP!$AF$4:$AF$147,MATCH(M23,WORLDCUP!$AH$4:$AH$147,0)),1,3)</f>
        <v>Fra</v>
      </c>
      <c r="S23" s="560">
        <v>4</v>
      </c>
      <c r="T23" s="569" t="str">
        <f ca="1">+MID(INDEX(WORLDCUP!$AL$6:$AL$97,MATCH(X23,WORLDCUP!$AI$6:$AI$97,0)),1,3)</f>
        <v>Ira</v>
      </c>
      <c r="U23" s="570">
        <f ca="1">+INDEX(WORLDCUP!$AM$6:$AM$97,MATCH(X23,WORLDCUP!$AI$6:$AI$97,0))</f>
        <v>0</v>
      </c>
      <c r="V23" s="571">
        <f ca="1">+INDEX(WORLDCUP!$AT$6:$AT$97,MATCH(X23,WORLDCUP!$AI$6:$AI$97,0))</f>
        <v>-11</v>
      </c>
      <c r="W23" s="572" t="str">
        <f ca="1">+INDEX(WORLDCUP!$AR$6:$AR$97,MATCH(X23,WORLDCUP!$AI$6:$AI$97,0))&amp;"-"&amp;INDEX(WORLDCUP!$AS$6:$AS$97,MATCH(X23,WORLDCUP!$AI$6:$AI$97,0))</f>
        <v>1-12</v>
      </c>
      <c r="X23" s="19" t="s">
        <v>675</v>
      </c>
      <c r="Y23" s="19"/>
      <c r="Z23" s="518"/>
      <c r="AA23" s="562"/>
      <c r="AB23" s="562"/>
      <c r="AC23" s="563"/>
      <c r="AD23" s="19">
        <v>94</v>
      </c>
      <c r="AE23" s="549" t="str">
        <f ca="1">+MID(INDEX(WORLDCUP!$AF$101:$AF$147,MATCH(AD23,WORLDCUP!$Z$101:$Z$147,0)),1,3)</f>
        <v>Bél</v>
      </c>
      <c r="AF23" s="550">
        <f>+IF(ISBLANK(INDEX(WORLDCUP!$AD$101:$AD$147,MATCH(AD23,WORLDCUP!$Z$101:$Z$147,0))),"",INDEX(WORLDCUP!$AD$101:$AD$147,MATCH(AD23,WORLDCUP!$Z$101:$Z$147,0)))</f>
        <v>4</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f>IF(ISBLANK(INDEX(WORLDCUP!$AC$4:$AC$147,MATCH(A24,WORLDCUP!$AH$4:$AH$147,0))),"",INDEX(WORLDCUP!$AC$4:$AC$147,MATCH(A24,WORLDCUP!$AH$4:$AH$147,0)))</f>
        <v>4</v>
      </c>
      <c r="E24" s="581">
        <f>IF(ISBLANK(INDEX(WORLDCUP!$AD$4:$AD$147,MATCH(A24,WORLDCUP!$AH$4:$AH$147,0))),"",INDEX(WORLDCUP!$AD$4:$AD$147,MATCH(A24,WORLDCUP!$AH$4:$AH$147,0)))</f>
        <v>2</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f>IF(ISBLANK(INDEX(WORLDCUP!$AC$4:$AC$147,MATCH(M24,WORLDCUP!$AH$4:$AH$147,0))),"",INDEX(WORLDCUP!$AC$4:$AC$147,MATCH(M24,WORLDCUP!$AH$4:$AH$147,0)))</f>
        <v>5</v>
      </c>
      <c r="Q24" s="581">
        <f>IF(ISBLANK(INDEX(WORLDCUP!$AD$4:$AD$147,MATCH(M24,WORLDCUP!$AH$4:$AH$147,0))),"",INDEX(WORLDCUP!$AD$4:$AD$147,MATCH(M24,WORLDCUP!$AH$4:$AH$147,0)))</f>
        <v>0</v>
      </c>
      <c r="R24" s="582" t="str">
        <f ca="1">+MID(INDEX(WORLDCUP!$AF$4:$AF$147,MATCH(M24,WORLDCUP!$AH$4:$AH$147,0)),1,3)</f>
        <v>Ira</v>
      </c>
      <c r="S24" s="583"/>
      <c r="T24" s="583"/>
      <c r="U24" s="584"/>
      <c r="V24" s="584"/>
      <c r="W24" s="585"/>
      <c r="X24" s="19"/>
      <c r="Y24" s="19">
        <v>82</v>
      </c>
      <c r="Z24" s="518" t="s">
        <v>667</v>
      </c>
      <c r="AA24" s="519" t="str">
        <f ca="1">+MID(INDEX(WORLDCUP!$AA$101:$AA$147,MATCH(Y24,WORLDCUP!$Z$101:$Z$147,0)),1,3)</f>
        <v>Bél</v>
      </c>
      <c r="AB24" s="565">
        <f>+IF(ISBLANK(INDEX(WORLDCUP!$AC$101:$AC$147,MATCH(Y24,WORLDCUP!$Z$101:$Z$147,0))),"",INDEX(WORLDCUP!$AC$101:$AC$147,MATCH(Y24,WORLDCUP!$Z$101:$Z$147,0)))</f>
        <v>3</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0</v>
      </c>
      <c r="BI24" s="556">
        <f ca="1">COUNTIF(ADMIN!$M$130:$M$161,Fixture!BG24)-BJ24-BK24-BL24-BM24-BN24-BO24</f>
        <v>0</v>
      </c>
      <c r="BJ24" s="557">
        <f ca="1">COUNTIF(ADMIN!$M$182:$M$197,Fixture!BG24)-BK24-BL24-BM24-BN24-BO24</f>
        <v>0</v>
      </c>
      <c r="BK24" s="558">
        <f ca="1">COUNTIF(ADMIN!$M$210:$M$217,Fixture!BG24)-BL24-BM24-BN24-BO24</f>
        <v>1</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Sen</v>
      </c>
      <c r="AB25" s="574">
        <f>+IF(ISBLANK(INDEX(WORLDCUP!$AD$101:$AD$147,MATCH(Y25,WORLDCUP!$Z$101:$Z$147,0))),"",INDEX(WORLDCUP!$AD$101:$AD$147,MATCH(Y25,WORLDCUP!$Z$101:$Z$147,0)))</f>
        <v>2</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0</v>
      </c>
      <c r="BI25" s="556">
        <f ca="1">COUNTIF(ADMIN!$M$130:$M$161,Fixture!BG25)-BJ25-BK25-BL25-BM25-BN25-BO25</f>
        <v>0</v>
      </c>
      <c r="BJ25" s="557">
        <f ca="1">COUNTIF(ADMIN!$M$182:$M$197,Fixture!BG25)-BK25-BL25-BM25-BN25-BO25</f>
        <v>1</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0</v>
      </c>
      <c r="BI26" s="556">
        <f ca="1">COUNTIF(ADMIN!$M$130:$M$161,Fixture!BG26)-BJ26-BK26-BL26-BM26-BN26-BO26</f>
        <v>0</v>
      </c>
      <c r="BJ26" s="557">
        <f ca="1">COUNTIF(ADMIN!$M$182:$M$197,Fixture!BG26)-BK26-BL26-BM26-BN26-BO26</f>
        <v>0</v>
      </c>
      <c r="BK26" s="558">
        <f ca="1">COUNTIF(ADMIN!$M$210:$M$217,Fixture!BG26)-BL26-BM26-BN26-BO26</f>
        <v>1</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f>IF(ISBLANK(INDEX(WORLDCUP!$AC$4:$AC$147,MATCH(A27,WORLDCUP!$AH$4:$AH$147,0))),"",INDEX(WORLDCUP!$AC$4:$AC$147,MATCH(A27,WORLDCUP!$AH$4:$AH$147,0)))</f>
        <v>4</v>
      </c>
      <c r="E27" s="511">
        <f>IF(ISBLANK(INDEX(WORLDCUP!$AD$4:$AD$147,MATCH(A27,WORLDCUP!$AH$4:$AH$147,0))),"",INDEX(WORLDCUP!$AD$4:$AD$147,MATCH(A27,WORLDCUP!$AH$4:$AH$147,0)))</f>
        <v>1</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f>IF(ISBLANK(INDEX(WORLDCUP!$AC$4:$AC$147,MATCH(M27,WORLDCUP!$AH$4:$AH$147,0))),"",INDEX(WORLDCUP!$AC$4:$AC$147,MATCH(M27,WORLDCUP!$AH$4:$AH$147,0)))</f>
        <v>3</v>
      </c>
      <c r="Q27" s="511">
        <f>IF(ISBLANK(INDEX(WORLDCUP!$AD$4:$AD$147,MATCH(M27,WORLDCUP!$AH$4:$AH$147,0))),"",INDEX(WORLDCUP!$AD$4:$AD$147,MATCH(M27,WORLDCUP!$AH$4:$AH$147,0)))</f>
        <v>0</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Bra</v>
      </c>
      <c r="AB27" s="520">
        <f>+IF(ISBLANK(INDEX(WORLDCUP!$AC$101:$AC$147,MATCH(Y27,WORLDCUP!$Z$101:$Z$147,0))),"",INDEX(WORLDCUP!$AC$101:$AC$147,MATCH(Y27,WORLDCUP!$Z$101:$Z$147,0)))</f>
        <v>2</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0</v>
      </c>
      <c r="BI27" s="556">
        <f ca="1">COUNTIF(ADMIN!$M$130:$M$161,Fixture!BG27)-BJ27-BK27-BL27-BM27-BN27-BO27</f>
        <v>1</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f>IF(ISBLANK(INDEX(WORLDCUP!$AC$4:$AC$147,MATCH(A28,WORLDCUP!$AH$4:$AH$147,0))),"",INDEX(WORLDCUP!$AC$4:$AC$147,MATCH(A28,WORLDCUP!$AH$4:$AH$147,0)))</f>
        <v>2</v>
      </c>
      <c r="E28" s="538">
        <f>IF(ISBLANK(INDEX(WORLDCUP!$AD$4:$AD$147,MATCH(A28,WORLDCUP!$AH$4:$AH$147,0))),"",INDEX(WORLDCUP!$AD$4:$AD$147,MATCH(A28,WORLDCUP!$AH$4:$AH$147,0)))</f>
        <v>0</v>
      </c>
      <c r="F28" s="539" t="str">
        <f ca="1">+MID(INDEX(WORLDCUP!$AF$4:$AF$147,MATCH(A28,WORLDCUP!$AH$4:$AH$147,0)),1,3)</f>
        <v>Tur</v>
      </c>
      <c r="G28" s="540">
        <v>1</v>
      </c>
      <c r="H28" s="541" t="str">
        <f ca="1">+MID(INDEX(WORLDCUP!$AL$6:$AL$97,MATCH(L28,WORLDCUP!$AI$6:$AI$97,0)),1,3)</f>
        <v>Est</v>
      </c>
      <c r="I28" s="542">
        <f ca="1">+INDEX(WORLDCUP!$AM$6:$AM$97,MATCH(L28,WORLDCUP!$AI$6:$AI$97,0))</f>
        <v>6</v>
      </c>
      <c r="J28" s="543">
        <f ca="1">+INDEX(WORLDCUP!$AT$6:$AT$97,MATCH(L28,WORLDCUP!$AI$6:$AI$97,0))</f>
        <v>4</v>
      </c>
      <c r="K28" s="544" t="str">
        <f ca="1">+INDEX(WORLDCUP!$AR$6:$AR$97,MATCH(L28,WORLDCUP!$AI$6:$AI$97,0))&amp;"-"&amp;INDEX(WORLDCUP!$AS$6:$AS$97,MATCH(L28,WORLDCUP!$AI$6:$AI$97,0))</f>
        <v>8-4</v>
      </c>
      <c r="L28" s="19" t="s">
        <v>658</v>
      </c>
      <c r="M28" s="19">
        <v>20</v>
      </c>
      <c r="N28" s="639"/>
      <c r="O28" s="537" t="str">
        <f ca="1">+MID(INDEX(WORLDCUP!$AA$4:$AA$147,MATCH(M28,WORLDCUP!$AH$4:$AH$147,0)),1,3)</f>
        <v>Aus</v>
      </c>
      <c r="P28" s="538">
        <f>IF(ISBLANK(INDEX(WORLDCUP!$AC$4:$AC$147,MATCH(M28,WORLDCUP!$AH$4:$AH$147,0))),"",INDEX(WORLDCUP!$AC$4:$AC$147,MATCH(M28,WORLDCUP!$AH$4:$AH$147,0)))</f>
        <v>3</v>
      </c>
      <c r="Q28" s="538">
        <f>IF(ISBLANK(INDEX(WORLDCUP!$AD$4:$AD$147,MATCH(M28,WORLDCUP!$AH$4:$AH$147,0))),"",INDEX(WORLDCUP!$AD$4:$AD$147,MATCH(M28,WORLDCUP!$AH$4:$AH$147,0)))</f>
        <v>1</v>
      </c>
      <c r="R28" s="539" t="str">
        <f ca="1">+MID(INDEX(WORLDCUP!$AF$4:$AF$147,MATCH(M28,WORLDCUP!$AH$4:$AH$147,0)),1,3)</f>
        <v>Jor</v>
      </c>
      <c r="S28" s="540">
        <v>1</v>
      </c>
      <c r="T28" s="541" t="str">
        <f ca="1">+MID(INDEX(WORLDCUP!$AL$6:$AL$97,MATCH(X28,WORLDCUP!$AI$6:$AI$97,0)),1,3)</f>
        <v>Arg</v>
      </c>
      <c r="U28" s="542">
        <f ca="1">+INDEX(WORLDCUP!$AM$6:$AM$97,MATCH(X28,WORLDCUP!$AI$6:$AI$97,0))</f>
        <v>9</v>
      </c>
      <c r="V28" s="543">
        <f ca="1">+INDEX(WORLDCUP!$AT$6:$AT$97,MATCH(X28,WORLDCUP!$AI$6:$AI$97,0))</f>
        <v>7</v>
      </c>
      <c r="W28" s="544" t="str">
        <f ca="1">+INDEX(WORLDCUP!$AR$6:$AR$97,MATCH(X28,WORLDCUP!$AI$6:$AI$97,0))&amp;"-"&amp;INDEX(WORLDCUP!$AS$6:$AS$97,MATCH(X28,WORLDCUP!$AI$6:$AI$97,0))</f>
        <v>8-1</v>
      </c>
      <c r="X28" s="19" t="s">
        <v>676</v>
      </c>
      <c r="Y28" s="19">
        <v>76</v>
      </c>
      <c r="Z28" s="518" t="s">
        <v>665</v>
      </c>
      <c r="AA28" s="519" t="str">
        <f ca="1">+MID(INDEX(WORLDCUP!$AF$101:$AF$147,MATCH(Y28,WORLDCUP!$Z$101:$Z$147,0)),1,3)</f>
        <v>Jap</v>
      </c>
      <c r="AB28" s="546">
        <f>+IF(ISBLANK(INDEX(WORLDCUP!$AD$101:$AD$147,MATCH(Y28,WORLDCUP!$Z$101:$Z$147,0))),"",INDEX(WORLDCUP!$AD$101:$AD$147,MATCH(Y28,WORLDCUP!$Z$101:$Z$147,0)))</f>
        <v>1</v>
      </c>
      <c r="AC28" s="547" t="str">
        <f>+IF(ISBLANK(INDEX(WORLDCUP!$AE$101:$AE$147,MATCH(Y28,WORLDCUP!$Z$101:$Z$147,0))),"","( "&amp;INDEX(WORLDCUP!$AE$101:$AE$147,MATCH(Y28,WORLDCUP!$Z$101:$Z$147,0))&amp;" )")</f>
        <v/>
      </c>
      <c r="AD28" s="548">
        <v>91</v>
      </c>
      <c r="AE28" s="549" t="str">
        <f ca="1">+MID(INDEX(WORLDCUP!$AA$101:$AA$147,MATCH(AD28,WORLDCUP!$Z$101:$Z$147,0)),1,3)</f>
        <v>Bra</v>
      </c>
      <c r="AF28" s="550">
        <f>+IF(ISBLANK(INDEX(WORLDCUP!$AC$101:$AC$147,MATCH(AD28,WORLDCUP!$Z$101:$Z$147,0))),"",INDEX(WORLDCUP!$AC$101:$AC$147,MATCH(AD28,WORLDCUP!$Z$101:$Z$147,0)))</f>
        <v>1</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f>IF(ISBLANK(INDEX(WORLDCUP!$AC$4:$AC$147,MATCH(A29,WORLDCUP!$AH$4:$AH$147,0))),"",INDEX(WORLDCUP!$AC$4:$AC$147,MATCH(A29,WORLDCUP!$AH$4:$AH$147,0)))</f>
        <v>2</v>
      </c>
      <c r="E29" s="538">
        <f>IF(ISBLANK(INDEX(WORLDCUP!$AD$4:$AD$147,MATCH(A29,WORLDCUP!$AH$4:$AH$147,0))),"",INDEX(WORLDCUP!$AD$4:$AD$147,MATCH(A29,WORLDCUP!$AH$4:$AH$147,0)))</f>
        <v>0</v>
      </c>
      <c r="F29" s="539" t="str">
        <f ca="1">+MID(INDEX(WORLDCUP!$AF$4:$AF$147,MATCH(A29,WORLDCUP!$AH$4:$AH$147,0)),1,3)</f>
        <v>Aus</v>
      </c>
      <c r="G29" s="560">
        <v>2</v>
      </c>
      <c r="H29" s="561" t="str">
        <f ca="1">+MID(INDEX(WORLDCUP!$AL$6:$AL$97,MATCH(L29,WORLDCUP!$AI$6:$AI$97,0)),1,3)</f>
        <v>Aus</v>
      </c>
      <c r="I29" s="229">
        <f ca="1">+INDEX(WORLDCUP!$AM$6:$AM$97,MATCH(L29,WORLDCUP!$AI$6:$AI$97,0))</f>
        <v>4</v>
      </c>
      <c r="J29" s="230">
        <f ca="1">+INDEX(WORLDCUP!$AT$6:$AT$97,MATCH(L29,WORLDCUP!$AI$6:$AI$97,0))</f>
        <v>0</v>
      </c>
      <c r="K29" s="231" t="str">
        <f ca="1">+INDEX(WORLDCUP!$AR$6:$AR$97,MATCH(L29,WORLDCUP!$AI$6:$AI$97,0))&amp;"-"&amp;INDEX(WORLDCUP!$AS$6:$AS$97,MATCH(L29,WORLDCUP!$AI$6:$AI$97,0))</f>
        <v>2-2</v>
      </c>
      <c r="L29" s="19" t="s">
        <v>659</v>
      </c>
      <c r="M29" s="19">
        <v>43</v>
      </c>
      <c r="N29" s="639"/>
      <c r="O29" s="537" t="str">
        <f ca="1">+MID(INDEX(WORLDCUP!$AA$4:$AA$147,MATCH(M29,WORLDCUP!$AH$4:$AH$147,0)),1,3)</f>
        <v>Arg</v>
      </c>
      <c r="P29" s="538">
        <f>IF(ISBLANK(INDEX(WORLDCUP!$AC$4:$AC$147,MATCH(M29,WORLDCUP!$AH$4:$AH$147,0))),"",INDEX(WORLDCUP!$AC$4:$AC$147,MATCH(M29,WORLDCUP!$AH$4:$AH$147,0)))</f>
        <v>2</v>
      </c>
      <c r="Q29" s="538">
        <f>IF(ISBLANK(INDEX(WORLDCUP!$AD$4:$AD$147,MATCH(M29,WORLDCUP!$AH$4:$AH$147,0))),"",INDEX(WORLDCUP!$AD$4:$AD$147,MATCH(M29,WORLDCUP!$AH$4:$AH$147,0)))</f>
        <v>0</v>
      </c>
      <c r="R29" s="539" t="str">
        <f ca="1">+MID(INDEX(WORLDCUP!$AF$4:$AF$147,MATCH(M29,WORLDCUP!$AH$4:$AH$147,0)),1,3)</f>
        <v>Aus</v>
      </c>
      <c r="S29" s="560">
        <v>2</v>
      </c>
      <c r="T29" s="561" t="str">
        <f ca="1">+MID(INDEX(WORLDCUP!$AL$6:$AL$97,MATCH(X29,WORLDCUP!$AI$6:$AI$97,0)),1,3)</f>
        <v>Aus</v>
      </c>
      <c r="U29" s="229">
        <f ca="1">+INDEX(WORLDCUP!$AM$6:$AM$97,MATCH(X29,WORLDCUP!$AI$6:$AI$97,0))</f>
        <v>4</v>
      </c>
      <c r="V29" s="230">
        <f ca="1">+INDEX(WORLDCUP!$AT$6:$AT$97,MATCH(X29,WORLDCUP!$AI$6:$AI$97,0))</f>
        <v>0</v>
      </c>
      <c r="W29" s="231" t="str">
        <f ca="1">+INDEX(WORLDCUP!$AR$6:$AR$97,MATCH(X29,WORLDCUP!$AI$6:$AI$97,0))&amp;"-"&amp;INDEX(WORLDCUP!$AS$6:$AS$97,MATCH(X29,WORLDCUP!$AI$6:$AI$97,0))</f>
        <v>6-6</v>
      </c>
      <c r="X29" s="19" t="s">
        <v>677</v>
      </c>
      <c r="Y29" s="19"/>
      <c r="Z29" s="518"/>
      <c r="AA29" s="562"/>
      <c r="AB29" s="562"/>
      <c r="AC29" s="563"/>
      <c r="AD29" s="19">
        <v>91</v>
      </c>
      <c r="AE29" s="549" t="str">
        <f ca="1">+MID(INDEX(WORLDCUP!$AF$101:$AF$147,MATCH(AD29,WORLDCUP!$Z$101:$Z$147,0)),1,3)</f>
        <v>Nor</v>
      </c>
      <c r="AF29" s="550">
        <f>+IF(ISBLANK(INDEX(WORLDCUP!$AD$101:$AD$147,MATCH(AD29,WORLDCUP!$Z$101:$Z$147,0))),"",INDEX(WORLDCUP!$AD$101:$AD$147,MATCH(AD29,WORLDCUP!$Z$101:$Z$147,0)))</f>
        <v>2</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0</v>
      </c>
      <c r="BI29" s="556">
        <f ca="1">COUNTIF(ADMIN!$M$130:$M$161,Fixture!BG29)-BJ29-BK29-BL29-BM29-BN29-BO29</f>
        <v>0</v>
      </c>
      <c r="BJ29" s="557">
        <f ca="1">COUNTIF(ADMIN!$M$182:$M$197,Fixture!BG29)-BK29-BL29-BM29-BN29-BO29</f>
        <v>0</v>
      </c>
      <c r="BK29" s="558">
        <f ca="1">COUNTIF(ADMIN!$M$210:$M$217,Fixture!BG29)-BL29-BM29-BN29-BO29</f>
        <v>1</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f>IF(ISBLANK(INDEX(WORLDCUP!$AC$4:$AC$147,MATCH(A30,WORLDCUP!$AH$4:$AH$147,0))),"",INDEX(WORLDCUP!$AC$4:$AC$147,MATCH(A30,WORLDCUP!$AH$4:$AH$147,0)))</f>
        <v>0</v>
      </c>
      <c r="E30" s="538">
        <f>IF(ISBLANK(INDEX(WORLDCUP!$AD$4:$AD$147,MATCH(A30,WORLDCUP!$AH$4:$AH$147,0))),"",INDEX(WORLDCUP!$AD$4:$AD$147,MATCH(A30,WORLDCUP!$AH$4:$AH$147,0)))</f>
        <v>1</v>
      </c>
      <c r="F30" s="539" t="str">
        <f ca="1">+MID(INDEX(WORLDCUP!$AF$4:$AF$147,MATCH(A30,WORLDCUP!$AH$4:$AH$147,0)),1,3)</f>
        <v>Par</v>
      </c>
      <c r="G30" s="560">
        <v>3</v>
      </c>
      <c r="H30" s="561" t="str">
        <f ca="1">+MID(INDEX(WORLDCUP!$AL$6:$AL$97,MATCH(L30,WORLDCUP!$AI$6:$AI$97,0)),1,3)</f>
        <v>Par</v>
      </c>
      <c r="I30" s="229">
        <f ca="1">+INDEX(WORLDCUP!$AM$6:$AM$97,MATCH(L30,WORLDCUP!$AI$6:$AI$97,0))</f>
        <v>4</v>
      </c>
      <c r="J30" s="230">
        <f ca="1">+INDEX(WORLDCUP!$AT$6:$AT$97,MATCH(L30,WORLDCUP!$AI$6:$AI$97,0))</f>
        <v>-2</v>
      </c>
      <c r="K30" s="231" t="str">
        <f ca="1">+INDEX(WORLDCUP!$AR$6:$AR$97,MATCH(L30,WORLDCUP!$AI$6:$AI$97,0))&amp;"-"&amp;INDEX(WORLDCUP!$AS$6:$AS$97,MATCH(L30,WORLDCUP!$AI$6:$AI$97,0))</f>
        <v>2-4</v>
      </c>
      <c r="L30" s="19" t="s">
        <v>92</v>
      </c>
      <c r="M30" s="19">
        <v>44</v>
      </c>
      <c r="N30" s="639"/>
      <c r="O30" s="537" t="str">
        <f ca="1">+MID(INDEX(WORLDCUP!$AA$4:$AA$147,MATCH(M30,WORLDCUP!$AH$4:$AH$147,0)),1,3)</f>
        <v>Jor</v>
      </c>
      <c r="P30" s="538">
        <f>IF(ISBLANK(INDEX(WORLDCUP!$AC$4:$AC$147,MATCH(M30,WORLDCUP!$AH$4:$AH$147,0))),"",INDEX(WORLDCUP!$AC$4:$AC$147,MATCH(M30,WORLDCUP!$AH$4:$AH$147,0)))</f>
        <v>1</v>
      </c>
      <c r="Q30" s="538">
        <f>IF(ISBLANK(INDEX(WORLDCUP!$AD$4:$AD$147,MATCH(M30,WORLDCUP!$AH$4:$AH$147,0))),"",INDEX(WORLDCUP!$AD$4:$AD$147,MATCH(M30,WORLDCUP!$AH$4:$AH$147,0)))</f>
        <v>2</v>
      </c>
      <c r="R30" s="539" t="str">
        <f ca="1">+MID(INDEX(WORLDCUP!$AF$4:$AF$147,MATCH(M30,WORLDCUP!$AH$4:$AH$147,0)),1,3)</f>
        <v>Arg</v>
      </c>
      <c r="S30" s="560">
        <v>3</v>
      </c>
      <c r="T30" s="561" t="str">
        <f ca="1">+MID(INDEX(WORLDCUP!$AL$6:$AL$97,MATCH(X30,WORLDCUP!$AI$6:$AI$97,0)),1,3)</f>
        <v>Arg</v>
      </c>
      <c r="U30" s="229">
        <f ca="1">+INDEX(WORLDCUP!$AM$6:$AM$97,MATCH(X30,WORLDCUP!$AI$6:$AI$97,0))</f>
        <v>4</v>
      </c>
      <c r="V30" s="230">
        <f ca="1">+INDEX(WORLDCUP!$AT$6:$AT$97,MATCH(X30,WORLDCUP!$AI$6:$AI$97,0))</f>
        <v>-2</v>
      </c>
      <c r="W30" s="231" t="str">
        <f ca="1">+INDEX(WORLDCUP!$AR$6:$AR$97,MATCH(X30,WORLDCUP!$AI$6:$AI$97,0))&amp;"-"&amp;INDEX(WORLDCUP!$AS$6:$AS$97,MATCH(X30,WORLDCUP!$AI$6:$AI$97,0))</f>
        <v>5-7</v>
      </c>
      <c r="X30" s="19" t="s">
        <v>441</v>
      </c>
      <c r="Y30" s="19">
        <v>78</v>
      </c>
      <c r="Z30" s="518" t="s">
        <v>662</v>
      </c>
      <c r="AA30" s="519" t="str">
        <f ca="1">+MID(INDEX(WORLDCUP!$AA$101:$AA$147,MATCH(Y30,WORLDCUP!$Z$101:$Z$147,0)),1,3)</f>
        <v>Cos</v>
      </c>
      <c r="AB30" s="565">
        <f>+IF(ISBLANK(INDEX(WORLDCUP!$AC$101:$AC$147,MATCH(Y30,WORLDCUP!$Z$101:$Z$147,0))),"",INDEX(WORLDCUP!$AC$101:$AC$147,MATCH(Y30,WORLDCUP!$Z$101:$Z$147,0)))</f>
        <v>1</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f>IF(ISBLANK(INDEX(WORLDCUP!$AC$4:$AC$147,MATCH(A31,WORLDCUP!$AH$4:$AH$147,0))),"",INDEX(WORLDCUP!$AC$4:$AC$147,MATCH(A31,WORLDCUP!$AH$4:$AH$147,0)))</f>
        <v>3</v>
      </c>
      <c r="E31" s="538">
        <f>IF(ISBLANK(INDEX(WORLDCUP!$AD$4:$AD$147,MATCH(A31,WORLDCUP!$AH$4:$AH$147,0))),"",INDEX(WORLDCUP!$AD$4:$AD$147,MATCH(A31,WORLDCUP!$AH$4:$AH$147,0)))</f>
        <v>2</v>
      </c>
      <c r="F31" s="539" t="str">
        <f ca="1">+MID(INDEX(WORLDCUP!$AF$4:$AF$147,MATCH(A31,WORLDCUP!$AH$4:$AH$147,0)),1,3)</f>
        <v>Est</v>
      </c>
      <c r="G31" s="560">
        <v>4</v>
      </c>
      <c r="H31" s="569" t="str">
        <f ca="1">+MID(INDEX(WORLDCUP!$AL$6:$AL$97,MATCH(L31,WORLDCUP!$AI$6:$AI$97,0)),1,3)</f>
        <v>Tur</v>
      </c>
      <c r="I31" s="570">
        <f ca="1">+INDEX(WORLDCUP!$AM$6:$AM$97,MATCH(L31,WORLDCUP!$AI$6:$AI$97,0))</f>
        <v>3</v>
      </c>
      <c r="J31" s="571">
        <f ca="1">+INDEX(WORLDCUP!$AT$6:$AT$97,MATCH(L31,WORLDCUP!$AI$6:$AI$97,0))</f>
        <v>-2</v>
      </c>
      <c r="K31" s="572" t="str">
        <f ca="1">+INDEX(WORLDCUP!$AR$6:$AR$97,MATCH(L31,WORLDCUP!$AI$6:$AI$97,0))&amp;"-"&amp;INDEX(WORLDCUP!$AS$6:$AS$97,MATCH(L31,WORLDCUP!$AI$6:$AI$97,0))</f>
        <v>3-5</v>
      </c>
      <c r="L31" s="19" t="s">
        <v>660</v>
      </c>
      <c r="M31" s="19">
        <v>69</v>
      </c>
      <c r="N31" s="639"/>
      <c r="O31" s="537" t="str">
        <f ca="1">+MID(INDEX(WORLDCUP!$AA$4:$AA$147,MATCH(M31,WORLDCUP!$AH$4:$AH$147,0)),1,3)</f>
        <v>Arg</v>
      </c>
      <c r="P31" s="538">
        <f>IF(ISBLANK(INDEX(WORLDCUP!$AC$4:$AC$147,MATCH(M31,WORLDCUP!$AH$4:$AH$147,0))),"",INDEX(WORLDCUP!$AC$4:$AC$147,MATCH(M31,WORLDCUP!$AH$4:$AH$147,0)))</f>
        <v>3</v>
      </c>
      <c r="Q31" s="538">
        <f>IF(ISBLANK(INDEX(WORLDCUP!$AD$4:$AD$147,MATCH(M31,WORLDCUP!$AH$4:$AH$147,0))),"",INDEX(WORLDCUP!$AD$4:$AD$147,MATCH(M31,WORLDCUP!$AH$4:$AH$147,0)))</f>
        <v>3</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-5</v>
      </c>
      <c r="W31" s="572" t="str">
        <f ca="1">+INDEX(WORLDCUP!$AR$6:$AR$97,MATCH(X31,WORLDCUP!$AI$6:$AI$97,0))&amp;"-"&amp;INDEX(WORLDCUP!$AS$6:$AS$97,MATCH(X31,WORLDCUP!$AI$6:$AI$97,0))</f>
        <v>3-8</v>
      </c>
      <c r="X31" s="19" t="s">
        <v>678</v>
      </c>
      <c r="Y31" s="19">
        <v>78</v>
      </c>
      <c r="Z31" s="518" t="s">
        <v>674</v>
      </c>
      <c r="AA31" s="573" t="str">
        <f ca="1">+MID(INDEX(WORLDCUP!$AF$101:$AF$147,MATCH(Y31,WORLDCUP!$Z$101:$Z$147,0)),1,3)</f>
        <v>Nor</v>
      </c>
      <c r="AB31" s="574">
        <f>+IF(ISBLANK(INDEX(WORLDCUP!$AD$101:$AD$147,MATCH(Y31,WORLDCUP!$Z$101:$Z$147,0))),"",INDEX(WORLDCUP!$AD$101:$AD$147,MATCH(Y31,WORLDCUP!$Z$101:$Z$147,0)))</f>
        <v>2</v>
      </c>
      <c r="AC31" s="600" t="str">
        <f>+IF(ISBLANK(INDEX(WORLDCUP!$AE$101:$AE$147,MATCH(Y31,WORLDCUP!$Z$101:$Z$147,0))),"","( "&amp;INDEX(WORLDCUP!$AE$101:$AE$147,MATCH(Y31,WORLDCUP!$Z$101:$Z$147,0))&amp;" )")</f>
        <v/>
      </c>
      <c r="AD31" s="19"/>
      <c r="AE31" s="567"/>
      <c r="AF31" s="567"/>
      <c r="AG31" s="568"/>
      <c r="AH31" s="592">
        <v>99</v>
      </c>
      <c r="AI31" s="576" t="str">
        <f ca="1">+MID(INDEX(WORLDCUP!$AA$101:$AA$147,MATCH(AH31,WORLDCUP!$Z$101:$Z$147,0)),1,3)</f>
        <v>Nor</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f>IF(ISBLANK(INDEX(WORLDCUP!$AC$4:$AC$147,MATCH(A32,WORLDCUP!$AH$4:$AH$147,0))),"",INDEX(WORLDCUP!$AC$4:$AC$147,MATCH(A32,WORLDCUP!$AH$4:$AH$147,0)))</f>
        <v>0</v>
      </c>
      <c r="E32" s="581">
        <f>IF(ISBLANK(INDEX(WORLDCUP!$AD$4:$AD$147,MATCH(A32,WORLDCUP!$AH$4:$AH$147,0))),"",INDEX(WORLDCUP!$AD$4:$AD$147,MATCH(A32,WORLDCUP!$AH$4:$AH$147,0)))</f>
        <v>0</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f>IF(ISBLANK(INDEX(WORLDCUP!$AC$4:$AC$147,MATCH(M32,WORLDCUP!$AH$4:$AH$147,0))),"",INDEX(WORLDCUP!$AC$4:$AC$147,MATCH(M32,WORLDCUP!$AH$4:$AH$147,0)))</f>
        <v>1</v>
      </c>
      <c r="Q32" s="581">
        <f>IF(ISBLANK(INDEX(WORLDCUP!$AD$4:$AD$147,MATCH(M32,WORLDCUP!$AH$4:$AH$147,0))),"",INDEX(WORLDCUP!$AD$4:$AD$147,MATCH(M32,WORLDCUP!$AH$4:$AH$147,0)))</f>
        <v>3</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 ca="1">+MID(INDEX(WORLDCUP!$AF$101:$AF$147,MATCH(AH32,WORLDCUP!$Z$101:$Z$147,0)),1,3)</f>
        <v>Ing</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0</v>
      </c>
      <c r="BI32" s="556">
        <f ca="1">COUNTIF(ADMIN!$M$130:$M$161,Fixture!BG32)-BJ32-BK32-BL32-BM32-BN32-BO32</f>
        <v>1</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Méx</v>
      </c>
      <c r="AB33" s="520">
        <f>+IF(ISBLANK(INDEX(WORLDCUP!$AC$101:$AC$147,MATCH(Y33,WORLDCUP!$Z$101:$Z$147,0))),"",INDEX(WORLDCUP!$AC$101:$AC$147,MATCH(Y33,WORLDCUP!$Z$101:$Z$147,0)))</f>
        <v>2</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Ecu</v>
      </c>
      <c r="AB34" s="546">
        <f>+IF(ISBLANK(INDEX(WORLDCUP!$AD$101:$AD$147,MATCH(Y34,WORLDCUP!$Z$101:$Z$147,0))),"",INDEX(WORLDCUP!$AD$101:$AD$147,MATCH(Y34,WORLDCUP!$Z$101:$Z$147,0)))</f>
        <v>0</v>
      </c>
      <c r="AC34" s="547" t="str">
        <f>+IF(ISBLANK(INDEX(WORLDCUP!$AE$101:$AE$147,MATCH(Y34,WORLDCUP!$Z$101:$Z$147,0))),"","( "&amp;INDEX(WORLDCUP!$AE$101:$AE$147,MATCH(Y34,WORLDCUP!$Z$101:$Z$147,0))&amp;" )")</f>
        <v/>
      </c>
      <c r="AD34" s="548">
        <v>92</v>
      </c>
      <c r="AE34" s="549" t="str">
        <f ca="1">+MID(INDEX(WORLDCUP!$AA$101:$AA$147,MATCH(AD34,WORLDCUP!$Z$101:$Z$147,0)),1,3)</f>
        <v>Méx</v>
      </c>
      <c r="AF34" s="550">
        <f>+IF(ISBLANK(INDEX(WORLDCUP!$AC$101:$AC$147,MATCH(AD34,WORLDCUP!$Z$101:$Z$147,0))),"",INDEX(WORLDCUP!$AC$101:$AC$147,MATCH(AD34,WORLDCUP!$Z$101:$Z$147,0)))</f>
        <v>2</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0</v>
      </c>
      <c r="BI34" s="556">
        <f ca="1">COUNTIF(ADMIN!$M$130:$M$161,Fixture!BG34)-BJ34-BK34-BL34-BM34-BN34-BO34</f>
        <v>0</v>
      </c>
      <c r="BJ34" s="557">
        <f ca="1">COUNTIF(ADMIN!$M$182:$M$197,Fixture!BG34)-BK34-BL34-BM34-BN34-BO34</f>
        <v>0</v>
      </c>
      <c r="BK34" s="558">
        <f ca="1">COUNTIF(ADMIN!$M$210:$M$217,Fixture!BG34)-BL34-BM34-BN34-BO34</f>
        <v>1</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f>IF(ISBLANK(INDEX(WORLDCUP!$AC$4:$AC$147,MATCH(A35,WORLDCUP!$AH$4:$AH$147,0))),"",INDEX(WORLDCUP!$AC$4:$AC$147,MATCH(A35,WORLDCUP!$AH$4:$AH$147,0)))</f>
        <v>7</v>
      </c>
      <c r="E35" s="511">
        <f>IF(ISBLANK(INDEX(WORLDCUP!$AD$4:$AD$147,MATCH(A35,WORLDCUP!$AH$4:$AH$147,0))),"",INDEX(WORLDCUP!$AD$4:$AD$147,MATCH(A35,WORLDCUP!$AH$4:$AH$147,0)))</f>
        <v>1</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f>IF(ISBLANK(INDEX(WORLDCUP!$AC$4:$AC$147,MATCH(M35,WORLDCUP!$AH$4:$AH$147,0))),"",INDEX(WORLDCUP!$AC$4:$AC$147,MATCH(M35,WORLDCUP!$AH$4:$AH$147,0)))</f>
        <v>1</v>
      </c>
      <c r="Q35" s="511">
        <f>IF(ISBLANK(INDEX(WORLDCUP!$AD$4:$AD$147,MATCH(M35,WORLDCUP!$AH$4:$AH$147,0))),"",INDEX(WORLDCUP!$AD$4:$AD$147,MATCH(M35,WORLDCUP!$AH$4:$AH$147,0)))</f>
        <v>1</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 ca="1">+MID(INDEX(WORLDCUP!$AF$101:$AF$147,MATCH(AD35,WORLDCUP!$Z$101:$Z$147,0)),1,3)</f>
        <v>Ing</v>
      </c>
      <c r="AF35" s="550">
        <f>+IF(ISBLANK(INDEX(WORLDCUP!$AD$101:$AD$147,MATCH(AD35,WORLDCUP!$Z$101:$Z$147,0))),"",INDEX(WORLDCUP!$AD$101:$AD$147,MATCH(AD35,WORLDCUP!$Z$101:$Z$147,0)))</f>
        <v>3</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0</v>
      </c>
      <c r="BI35" s="556">
        <f ca="1">COUNTIF(ADMIN!$M$130:$M$161,Fixture!BG35)-BJ35-BK35-BL35-BM35-BN35-BO35</f>
        <v>0</v>
      </c>
      <c r="BJ35" s="557">
        <f ca="1">COUNTIF(ADMIN!$M$182:$M$197,Fixture!BG35)-BK35-BL35-BM35-BN35-BO35</f>
        <v>1</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f>IF(ISBLANK(INDEX(WORLDCUP!$AC$4:$AC$147,MATCH(A36,WORLDCUP!$AH$4:$AH$147,0))),"",INDEX(WORLDCUP!$AC$4:$AC$147,MATCH(A36,WORLDCUP!$AH$4:$AH$147,0)))</f>
        <v>1</v>
      </c>
      <c r="E36" s="538">
        <f>IF(ISBLANK(INDEX(WORLDCUP!$AD$4:$AD$147,MATCH(A36,WORLDCUP!$AH$4:$AH$147,0))),"",INDEX(WORLDCUP!$AD$4:$AD$147,MATCH(A36,WORLDCUP!$AH$4:$AH$147,0)))</f>
        <v>0</v>
      </c>
      <c r="F36" s="539" t="str">
        <f ca="1">+MID(INDEX(WORLDCUP!$AF$4:$AF$147,MATCH(A36,WORLDCUP!$AH$4:$AH$147,0)),1,3)</f>
        <v>Ecu</v>
      </c>
      <c r="G36" s="540">
        <v>1</v>
      </c>
      <c r="H36" s="541" t="str">
        <f ca="1">+MID(INDEX(WORLDCUP!$AL$6:$AL$97,MATCH(L36,WORLDCUP!$AI$6:$AI$97,0)),1,3)</f>
        <v>Ale</v>
      </c>
      <c r="I36" s="542">
        <f ca="1">+INDEX(WORLDCUP!$AM$6:$AM$97,MATCH(L36,WORLDCUP!$AI$6:$AI$97,0))</f>
        <v>6</v>
      </c>
      <c r="J36" s="543">
        <f ca="1">+INDEX(WORLDCUP!$AT$6:$AT$97,MATCH(L36,WORLDCUP!$AI$6:$AI$97,0))</f>
        <v>6</v>
      </c>
      <c r="K36" s="544" t="str">
        <f ca="1">+INDEX(WORLDCUP!$AR$6:$AR$97,MATCH(L36,WORLDCUP!$AI$6:$AI$97,0))&amp;"-"&amp;INDEX(WORLDCUP!$AS$6:$AS$97,MATCH(L36,WORLDCUP!$AI$6:$AI$97,0))</f>
        <v>10-4</v>
      </c>
      <c r="L36" s="19" t="s">
        <v>661</v>
      </c>
      <c r="M36" s="19">
        <v>24</v>
      </c>
      <c r="N36" s="655"/>
      <c r="O36" s="537" t="str">
        <f ca="1">+MID(INDEX(WORLDCUP!$AA$4:$AA$147,MATCH(M36,WORLDCUP!$AH$4:$AH$147,0)),1,3)</f>
        <v>Uzb</v>
      </c>
      <c r="P36" s="538">
        <f>IF(ISBLANK(INDEX(WORLDCUP!$AC$4:$AC$147,MATCH(M36,WORLDCUP!$AH$4:$AH$147,0))),"",INDEX(WORLDCUP!$AC$4:$AC$147,MATCH(M36,WORLDCUP!$AH$4:$AH$147,0)))</f>
        <v>1</v>
      </c>
      <c r="Q36" s="538">
        <f>IF(ISBLANK(INDEX(WORLDCUP!$AD$4:$AD$147,MATCH(M36,WORLDCUP!$AH$4:$AH$147,0))),"",INDEX(WORLDCUP!$AD$4:$AD$147,MATCH(M36,WORLDCUP!$AH$4:$AH$147,0)))</f>
        <v>3</v>
      </c>
      <c r="R36" s="539" t="str">
        <f ca="1">+MID(INDEX(WORLDCUP!$AF$4:$AF$147,MATCH(M36,WORLDCUP!$AH$4:$AH$147,0)),1,3)</f>
        <v>Col</v>
      </c>
      <c r="S36" s="540">
        <v>1</v>
      </c>
      <c r="T36" s="541" t="str">
        <f ca="1">+MID(INDEX(WORLDCUP!$AL$6:$AL$97,MATCH(X36,WORLDCUP!$AI$6:$AI$97,0)),1,3)</f>
        <v>Col</v>
      </c>
      <c r="U36" s="542">
        <f ca="1">+INDEX(WORLDCUP!$AM$6:$AM$97,MATCH(X36,WORLDCUP!$AI$6:$AI$97,0))</f>
        <v>7</v>
      </c>
      <c r="V36" s="543">
        <f ca="1">+INDEX(WORLDCUP!$AT$6:$AT$97,MATCH(X36,WORLDCUP!$AI$6:$AI$97,0))</f>
        <v>3</v>
      </c>
      <c r="W36" s="544" t="str">
        <f ca="1">+INDEX(WORLDCUP!$AR$6:$AR$97,MATCH(X36,WORLDCUP!$AI$6:$AI$97,0))&amp;"-"&amp;INDEX(WORLDCUP!$AS$6:$AS$97,MATCH(X36,WORLDCUP!$AI$6:$AI$97,0))</f>
        <v>4-1</v>
      </c>
      <c r="X36" s="19" t="s">
        <v>679</v>
      </c>
      <c r="Y36" s="19">
        <v>80</v>
      </c>
      <c r="Z36" s="518" t="s">
        <v>682</v>
      </c>
      <c r="AA36" s="519" t="str">
        <f ca="1">+MID(INDEX(WORLDCUP!$AA$101:$AA$147,MATCH(Y36,WORLDCUP!$Z$101:$Z$147,0)),1,3)</f>
        <v>Ing</v>
      </c>
      <c r="AB36" s="565">
        <f>+IF(ISBLANK(INDEX(WORLDCUP!$AC$101:$AC$147,MATCH(Y36,WORLDCUP!$Z$101:$Z$147,0))),"",INDEX(WORLDCUP!$AC$101:$AC$147,MATCH(Y36,WORLDCUP!$Z$101:$Z$147,0)))</f>
        <v>2</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0</v>
      </c>
      <c r="BI36" s="556">
        <f ca="1">COUNTIF(ADMIN!$M$130:$M$161,Fixture!BG36)-BJ36-BK36-BL36-BM36-BN36-BO36</f>
        <v>0</v>
      </c>
      <c r="BJ36" s="557">
        <f ca="1">COUNTIF(ADMIN!$M$182:$M$197,Fixture!BG36)-BK36-BL36-BM36-BN36-BO36</f>
        <v>0</v>
      </c>
      <c r="BK36" s="558">
        <f ca="1">COUNTIF(ADMIN!$M$210:$M$217,Fixture!BG36)-BL36-BM36-BN36-BO36</f>
        <v>1</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f>IF(ISBLANK(INDEX(WORLDCUP!$AC$4:$AC$147,MATCH(A37,WORLDCUP!$AH$4:$AH$147,0))),"",INDEX(WORLDCUP!$AC$4:$AC$147,MATCH(A37,WORLDCUP!$AH$4:$AH$147,0)))</f>
        <v>2</v>
      </c>
      <c r="E37" s="538">
        <f>IF(ISBLANK(INDEX(WORLDCUP!$AD$4:$AD$147,MATCH(A37,WORLDCUP!$AH$4:$AH$147,0))),"",INDEX(WORLDCUP!$AD$4:$AD$147,MATCH(A37,WORLDCUP!$AH$4:$AH$147,0)))</f>
        <v>1</v>
      </c>
      <c r="F37" s="539" t="str">
        <f ca="1">+MID(INDEX(WORLDCUP!$AF$4:$AF$147,MATCH(A37,WORLDCUP!$AH$4:$AH$147,0)),1,3)</f>
        <v>Cos</v>
      </c>
      <c r="G37" s="560">
        <v>2</v>
      </c>
      <c r="H37" s="561" t="str">
        <f ca="1">+MID(INDEX(WORLDCUP!$AL$6:$AL$97,MATCH(L37,WORLDCUP!$AI$6:$AI$97,0)),1,3)</f>
        <v>Cos</v>
      </c>
      <c r="I37" s="229">
        <f ca="1">+INDEX(WORLDCUP!$AM$6:$AM$97,MATCH(L37,WORLDCUP!$AI$6:$AI$97,0))</f>
        <v>6</v>
      </c>
      <c r="J37" s="230">
        <f ca="1">+INDEX(WORLDCUP!$AT$6:$AT$97,MATCH(L37,WORLDCUP!$AI$6:$AI$97,0))</f>
        <v>2</v>
      </c>
      <c r="K37" s="231" t="str">
        <f ca="1">+INDEX(WORLDCUP!$AR$6:$AR$97,MATCH(L37,WORLDCUP!$AI$6:$AI$97,0))&amp;"-"&amp;INDEX(WORLDCUP!$AS$6:$AS$97,MATCH(L37,WORLDCUP!$AI$6:$AI$97,0))</f>
        <v>4-2</v>
      </c>
      <c r="L37" s="19" t="s">
        <v>662</v>
      </c>
      <c r="M37" s="19">
        <v>47</v>
      </c>
      <c r="N37" s="655"/>
      <c r="O37" s="537" t="str">
        <f ca="1">+MID(INDEX(WORLDCUP!$AA$4:$AA$147,MATCH(M37,WORLDCUP!$AH$4:$AH$147,0)),1,3)</f>
        <v>Por</v>
      </c>
      <c r="P37" s="538">
        <f>IF(ISBLANK(INDEX(WORLDCUP!$AC$4:$AC$147,MATCH(M37,WORLDCUP!$AH$4:$AH$147,0))),"",INDEX(WORLDCUP!$AC$4:$AC$147,MATCH(M37,WORLDCUP!$AH$4:$AH$147,0)))</f>
        <v>5</v>
      </c>
      <c r="Q37" s="538">
        <f>IF(ISBLANK(INDEX(WORLDCUP!$AD$4:$AD$147,MATCH(M37,WORLDCUP!$AH$4:$AH$147,0))),"",INDEX(WORLDCUP!$AD$4:$AD$147,MATCH(M37,WORLDCUP!$AH$4:$AH$147,0)))</f>
        <v>0</v>
      </c>
      <c r="R37" s="539" t="str">
        <f ca="1">+MID(INDEX(WORLDCUP!$AF$4:$AF$147,MATCH(M37,WORLDCUP!$AH$4:$AH$147,0)),1,3)</f>
        <v>Uzb</v>
      </c>
      <c r="S37" s="560">
        <v>2</v>
      </c>
      <c r="T37" s="561" t="str">
        <f ca="1">+MID(INDEX(WORLDCUP!$AL$6:$AL$97,MATCH(X37,WORLDCUP!$AI$6:$AI$97,0)),1,3)</f>
        <v>Por</v>
      </c>
      <c r="U37" s="229">
        <f ca="1">+INDEX(WORLDCUP!$AM$6:$AM$97,MATCH(X37,WORLDCUP!$AI$6:$AI$97,0))</f>
        <v>5</v>
      </c>
      <c r="V37" s="230">
        <f ca="1">+INDEX(WORLDCUP!$AT$6:$AT$97,MATCH(X37,WORLDCUP!$AI$6:$AI$97,0))</f>
        <v>5</v>
      </c>
      <c r="W37" s="231" t="str">
        <f ca="1">+INDEX(WORLDCUP!$AR$6:$AR$97,MATCH(X37,WORLDCUP!$AI$6:$AI$97,0))&amp;"-"&amp;INDEX(WORLDCUP!$AS$6:$AS$97,MATCH(X37,WORLDCUP!$AI$6:$AI$97,0))</f>
        <v>6-1</v>
      </c>
      <c r="X37" s="19" t="s">
        <v>680</v>
      </c>
      <c r="Y37" s="19">
        <v>80</v>
      </c>
      <c r="Z37" s="518" t="s">
        <v>725</v>
      </c>
      <c r="AA37" s="573" t="str">
        <f ca="1">+MID(INDEX(WORLDCUP!$AF$101:$AF$147,MATCH(Y37,WORLDCUP!$Z$101:$Z$147,0)),1,IF(WORLDCUP!$H$113&lt;144,6,3))</f>
        <v xml:space="preserve">RD </v>
      </c>
      <c r="AB37" s="574">
        <f>+IF(ISBLANK(INDEX(WORLDCUP!$AD$101:$AD$147,MATCH(Y37,WORLDCUP!$Z$101:$Z$147,0))),"",INDEX(WORLDCUP!$AD$101:$AD$147,MATCH(Y37,WORLDCUP!$Z$101:$Z$147,0)))</f>
        <v>1</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f>IF(ISBLANK(INDEX(WORLDCUP!$AC$4:$AC$147,MATCH(A38,WORLDCUP!$AH$4:$AH$147,0))),"",INDEX(WORLDCUP!$AC$4:$AC$147,MATCH(A38,WORLDCUP!$AH$4:$AH$147,0)))</f>
        <v>0</v>
      </c>
      <c r="E38" s="538">
        <f>IF(ISBLANK(INDEX(WORLDCUP!$AD$4:$AD$147,MATCH(A38,WORLDCUP!$AH$4:$AH$147,0))),"",INDEX(WORLDCUP!$AD$4:$AD$147,MATCH(A38,WORLDCUP!$AH$4:$AH$147,0)))</f>
        <v>0</v>
      </c>
      <c r="F38" s="539" t="str">
        <f ca="1">+MID(INDEX(WORLDCUP!$AF$4:$AF$147,MATCH(A38,WORLDCUP!$AH$4:$AH$147,0)),1,3)</f>
        <v>Cur</v>
      </c>
      <c r="G38" s="560">
        <v>3</v>
      </c>
      <c r="H38" s="561" t="str">
        <f ca="1">+MID(INDEX(WORLDCUP!$AL$6:$AL$97,MATCH(L38,WORLDCUP!$AI$6:$AI$97,0)),1,3)</f>
        <v>Ecu</v>
      </c>
      <c r="I38" s="229">
        <f ca="1">+INDEX(WORLDCUP!$AM$6:$AM$97,MATCH(L38,WORLDCUP!$AI$6:$AI$97,0))</f>
        <v>4</v>
      </c>
      <c r="J38" s="230">
        <f ca="1">+INDEX(WORLDCUP!$AT$6:$AT$97,MATCH(L38,WORLDCUP!$AI$6:$AI$97,0))</f>
        <v>0</v>
      </c>
      <c r="K38" s="231" t="str">
        <f ca="1">+INDEX(WORLDCUP!$AR$6:$AR$97,MATCH(L38,WORLDCUP!$AI$6:$AI$97,0))&amp;"-"&amp;INDEX(WORLDCUP!$AS$6:$AS$97,MATCH(L38,WORLDCUP!$AI$6:$AI$97,0))</f>
        <v>2-2</v>
      </c>
      <c r="L38" s="19" t="s">
        <v>93</v>
      </c>
      <c r="M38" s="19">
        <v>48</v>
      </c>
      <c r="N38" s="655"/>
      <c r="O38" s="537" t="str">
        <f ca="1">+MID(INDEX(WORLDCUP!$AA$4:$AA$147,MATCH(M38,WORLDCUP!$AH$4:$AH$147,0)),1,3)</f>
        <v>Col</v>
      </c>
      <c r="P38" s="538">
        <f>IF(ISBLANK(INDEX(WORLDCUP!$AC$4:$AC$147,MATCH(M38,WORLDCUP!$AH$4:$AH$147,0))),"",INDEX(WORLDCUP!$AC$4:$AC$147,MATCH(M38,WORLDCUP!$AH$4:$AH$147,0)))</f>
        <v>1</v>
      </c>
      <c r="Q38" s="538">
        <f>IF(ISBLANK(INDEX(WORLDCUP!$AD$4:$AD$147,MATCH(M38,WORLDCUP!$AH$4:$AH$147,0))),"",INDEX(WORLDCUP!$AD$4:$AD$147,MATCH(M38,WORLDCUP!$AH$4:$AH$147,0)))</f>
        <v>0</v>
      </c>
      <c r="R38" s="539" t="str">
        <f ca="1">+MID(INDEX(WORLDCUP!$AF$4:$AF$147,MATCH(M38,WORLDCUP!$AH$4:$AH$147,0)),1,3)</f>
        <v xml:space="preserve">RD </v>
      </c>
      <c r="S38" s="560">
        <v>3</v>
      </c>
      <c r="T38" s="561" t="str">
        <f ca="1">+MID(INDEX(WORLDCUP!$AL$6:$AL$97,MATCH(X38,WORLDCUP!$AI$6:$AI$97,0)),1,3)</f>
        <v xml:space="preserve">RD </v>
      </c>
      <c r="U38" s="229">
        <f ca="1">+INDEX(WORLDCUP!$AM$6:$AM$97,MATCH(X38,WORLDCUP!$AI$6:$AI$97,0))</f>
        <v>4</v>
      </c>
      <c r="V38" s="230">
        <f ca="1">+INDEX(WORLDCUP!$AT$6:$AT$97,MATCH(X38,WORLDCUP!$AI$6:$AI$97,0))</f>
        <v>1</v>
      </c>
      <c r="W38" s="231" t="str">
        <f ca="1">+INDEX(WORLDCUP!$AR$6:$AR$97,MATCH(X38,WORLDCUP!$AI$6:$AI$97,0))&amp;"-"&amp;INDEX(WORLDCUP!$AS$6:$AS$97,MATCH(X38,WORLDCUP!$AI$6:$AI$97,0))</f>
        <v>4-3</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0</v>
      </c>
      <c r="BI38" s="556">
        <f ca="1">COUNTIF(ADMIN!$M$130:$M$161,Fixture!BG38)-BJ38-BK38-BL38-BM38-BN38-BO38</f>
        <v>1</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f>IF(ISBLANK(INDEX(WORLDCUP!$AC$4:$AC$147,MATCH(A39,WORLDCUP!$AH$4:$AH$147,0))),"",INDEX(WORLDCUP!$AC$4:$AC$147,MATCH(A39,WORLDCUP!$AH$4:$AH$147,0)))</f>
        <v>0</v>
      </c>
      <c r="E39" s="538">
        <f>IF(ISBLANK(INDEX(WORLDCUP!$AD$4:$AD$147,MATCH(A39,WORLDCUP!$AH$4:$AH$147,0))),"",INDEX(WORLDCUP!$AD$4:$AD$147,MATCH(A39,WORLDCUP!$AH$4:$AH$147,0)))</f>
        <v>2</v>
      </c>
      <c r="F39" s="539" t="str">
        <f ca="1">+MID(INDEX(WORLDCUP!$AF$4:$AF$147,MATCH(A39,WORLDCUP!$AH$4:$AH$147,0)),1,3)</f>
        <v>Cos</v>
      </c>
      <c r="G39" s="560">
        <v>4</v>
      </c>
      <c r="H39" s="569" t="str">
        <f ca="1">+MID(INDEX(WORLDCUP!$AL$6:$AL$97,MATCH(L39,WORLDCUP!$AI$6:$AI$97,0)),1,3)</f>
        <v>Cur</v>
      </c>
      <c r="I39" s="570">
        <f ca="1">+INDEX(WORLDCUP!$AM$6:$AM$97,MATCH(L39,WORLDCUP!$AI$6:$AI$97,0))</f>
        <v>1</v>
      </c>
      <c r="J39" s="571">
        <f ca="1">+INDEX(WORLDCUP!$AT$6:$AT$97,MATCH(L39,WORLDCUP!$AI$6:$AI$97,0))</f>
        <v>-8</v>
      </c>
      <c r="K39" s="572" t="str">
        <f ca="1">+INDEX(WORLDCUP!$AR$6:$AR$97,MATCH(L39,WORLDCUP!$AI$6:$AI$97,0))&amp;"-"&amp;INDEX(WORLDCUP!$AS$6:$AS$97,MATCH(L39,WORLDCUP!$AI$6:$AI$97,0))</f>
        <v>1-9</v>
      </c>
      <c r="L39" s="19" t="s">
        <v>663</v>
      </c>
      <c r="M39" s="19">
        <v>71</v>
      </c>
      <c r="N39" s="655"/>
      <c r="O39" s="537" t="str">
        <f ca="1">+MID(INDEX(WORLDCUP!$AA$4:$AA$147,MATCH(M39,WORLDCUP!$AH$4:$AH$147,0)),1,3)</f>
        <v>Col</v>
      </c>
      <c r="P39" s="538">
        <f>IF(ISBLANK(INDEX(WORLDCUP!$AC$4:$AC$147,MATCH(M39,WORLDCUP!$AH$4:$AH$147,0))),"",INDEX(WORLDCUP!$AC$4:$AC$147,MATCH(M39,WORLDCUP!$AH$4:$AH$147,0)))</f>
        <v>0</v>
      </c>
      <c r="Q39" s="538">
        <f>IF(ISBLANK(INDEX(WORLDCUP!$AD$4:$AD$147,MATCH(M39,WORLDCUP!$AH$4:$AH$147,0))),"",INDEX(WORLDCUP!$AD$4:$AD$147,MATCH(M39,WORLDCUP!$AH$4:$AH$147,0)))</f>
        <v>0</v>
      </c>
      <c r="R39" s="539" t="str">
        <f ca="1">+MID(INDEX(WORLDCUP!$AF$4:$AF$147,MATCH(M39,WORLDCUP!$AH$4:$AH$147,0)),1,3)</f>
        <v>Por</v>
      </c>
      <c r="S39" s="560">
        <v>4</v>
      </c>
      <c r="T39" s="569" t="str">
        <f ca="1">+MID(INDEX(WORLDCUP!$AL$6:$AL$97,MATCH(X39,WORLDCUP!$AI$6:$AI$97,0)),1,3)</f>
        <v>Uzb</v>
      </c>
      <c r="U39" s="570">
        <f ca="1">+INDEX(WORLDCUP!$AM$6:$AM$97,MATCH(X39,WORLDCUP!$AI$6:$AI$97,0))</f>
        <v>0</v>
      </c>
      <c r="V39" s="571">
        <f ca="1">+INDEX(WORLDCUP!$AT$6:$AT$97,MATCH(X39,WORLDCUP!$AI$6:$AI$97,0))</f>
        <v>-9</v>
      </c>
      <c r="W39" s="572" t="str">
        <f ca="1">+INDEX(WORLDCUP!$AR$6:$AR$97,MATCH(X39,WORLDCUP!$AI$6:$AI$97,0))&amp;"-"&amp;INDEX(WORLDCUP!$AS$6:$AS$97,MATCH(X39,WORLDCUP!$AI$6:$AI$97,0))</f>
        <v>2-11</v>
      </c>
      <c r="X39" s="19" t="s">
        <v>681</v>
      </c>
      <c r="Y39" s="19">
        <v>86</v>
      </c>
      <c r="Z39" s="518" t="s">
        <v>676</v>
      </c>
      <c r="AA39" s="519" t="str">
        <f ca="1">+MID(INDEX(WORLDCUP!$AA$101:$AA$147,MATCH(Y39,WORLDCUP!$Z$101:$Z$147,0)),1,3)</f>
        <v>Arg</v>
      </c>
      <c r="AB39" s="520">
        <f>+IF(ISBLANK(INDEX(WORLDCUP!$AC$101:$AC$147,MATCH(Y39,WORLDCUP!$Z$101:$Z$147,0))),"",INDEX(WORLDCUP!$AC$101:$AC$147,MATCH(Y39,WORLDCUP!$Z$101:$Z$147,0)))</f>
        <v>3</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f>IF(ISBLANK(INDEX(WORLDCUP!$AC$4:$AC$147,MATCH(A40,WORLDCUP!$AH$4:$AH$147,0))),"",INDEX(WORLDCUP!$AC$4:$AC$147,MATCH(A40,WORLDCUP!$AH$4:$AH$147,0)))</f>
        <v>2</v>
      </c>
      <c r="E40" s="581">
        <f>IF(ISBLANK(INDEX(WORLDCUP!$AD$4:$AD$147,MATCH(A40,WORLDCUP!$AH$4:$AH$147,0))),"",INDEX(WORLDCUP!$AD$4:$AD$147,MATCH(A40,WORLDCUP!$AH$4:$AH$147,0)))</f>
        <v>1</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f>IF(ISBLANK(INDEX(WORLDCUP!$AC$4:$AC$147,MATCH(M40,WORLDCUP!$AH$4:$AH$147,0))),"",INDEX(WORLDCUP!$AC$4:$AC$147,MATCH(M40,WORLDCUP!$AH$4:$AH$147,0)))</f>
        <v>3</v>
      </c>
      <c r="Q40" s="581">
        <f>IF(ISBLANK(INDEX(WORLDCUP!$AD$4:$AD$147,MATCH(M40,WORLDCUP!$AH$4:$AH$147,0))),"",INDEX(WORLDCUP!$AD$4:$AD$147,MATCH(M40,WORLDCUP!$AH$4:$AH$147,0)))</f>
        <v>1</v>
      </c>
      <c r="R40" s="582" t="str">
        <f ca="1">+MID(INDEX(WORLDCUP!$AF$4:$AF$147,MATCH(M40,WORLDCUP!$AH$4:$AH$147,0)),1,3)</f>
        <v>Uzb</v>
      </c>
      <c r="S40" s="583"/>
      <c r="T40" s="583"/>
      <c r="U40" s="584"/>
      <c r="V40" s="584"/>
      <c r="W40" s="585"/>
      <c r="X40" s="19"/>
      <c r="Y40" s="19">
        <v>86</v>
      </c>
      <c r="Z40" s="518" t="s">
        <v>671</v>
      </c>
      <c r="AA40" s="519" t="str">
        <f ca="1">+MID(INDEX(WORLDCUP!$AF$101:$AF$147,MATCH(Y40,WORLDCUP!$Z$101:$Z$147,0)),1,3)</f>
        <v>Cab</v>
      </c>
      <c r="AB40" s="546">
        <f>+IF(ISBLANK(INDEX(WORLDCUP!$AD$101:$AD$147,MATCH(Y40,WORLDCUP!$Z$101:$Z$147,0))),"",INDEX(WORLDCUP!$AD$101:$AD$147,MATCH(Y40,WORLDCUP!$Z$101:$Z$147,0)))</f>
        <v>2</v>
      </c>
      <c r="AC40" s="547" t="str">
        <f>+IF(ISBLANK(INDEX(WORLDCUP!$AE$101:$AE$147,MATCH(Y40,WORLDCUP!$Z$101:$Z$147,0))),"","( "&amp;INDEX(WORLDCUP!$AE$101:$AE$147,MATCH(Y40,WORLDCUP!$Z$101:$Z$147,0))&amp;" )")</f>
        <v/>
      </c>
      <c r="AD40" s="548">
        <v>95</v>
      </c>
      <c r="AE40" s="549" t="str">
        <f ca="1">+MID(INDEX(WORLDCUP!$AA$101:$AA$147,MATCH(AD40,WORLDCUP!$Z$101:$Z$147,0)),1,3)</f>
        <v>Arg</v>
      </c>
      <c r="AF40" s="550">
        <f>+IF(ISBLANK(INDEX(WORLDCUP!$AC$101:$AC$147,MATCH(AD40,WORLDCUP!$Z$101:$Z$147,0))),"",INDEX(WORLDCUP!$AC$101:$AC$147,MATCH(AD40,WORLDCUP!$Z$101:$Z$147,0)))</f>
        <v>0</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0</v>
      </c>
      <c r="BI40" s="556">
        <f ca="1">COUNTIF(ADMIN!$M$130:$M$161,Fixture!BG40)-BJ40-BK40-BL40-BM40-BN40-BO40</f>
        <v>0</v>
      </c>
      <c r="BJ40" s="557">
        <f ca="1">COUNTIF(ADMIN!$M$182:$M$197,Fixture!BG40)-BK40-BL40-BM40-BN40-BO40</f>
        <v>1</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 ca="1">+MID(INDEX(WORLDCUP!$AF$101:$AF$147,MATCH(AD41,WORLDCUP!$Z$101:$Z$147,0)),1,3)</f>
        <v>Egi</v>
      </c>
      <c r="AF41" s="550">
        <f>+IF(ISBLANK(INDEX(WORLDCUP!$AD$101:$AD$147,MATCH(AD41,WORLDCUP!$Z$101:$Z$147,0))),"",INDEX(WORLDCUP!$AD$101:$AD$147,MATCH(AD41,WORLDCUP!$Z$101:$Z$147,0)))</f>
        <v>2</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0</v>
      </c>
      <c r="BI41" s="556">
        <f ca="1">COUNTIF(ADMIN!$M$130:$M$161,Fixture!BG41)-BJ41-BK41-BL41-BM41-BN41-BO41</f>
        <v>0</v>
      </c>
      <c r="BJ41" s="557">
        <f ca="1">COUNTIF(ADMIN!$M$182:$M$197,Fixture!BG41)-BK41-BL41-BM41-BN41-BO41</f>
        <v>1</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Aus</v>
      </c>
      <c r="AB42" s="565">
        <f>+IF(ISBLANK(INDEX(WORLDCUP!$AC$101:$AC$147,MATCH(Y42,WORLDCUP!$Z$101:$Z$147,0))),"",INDEX(WORLDCUP!$AC$101:$AC$147,MATCH(Y42,WORLDCUP!$Z$101:$Z$147,0)))</f>
        <v>1</v>
      </c>
      <c r="AC42" s="599" t="str">
        <f>+IF(ISBLANK(INDEX(WORLDCUP!$AB$101:$AB$147,MATCH(Y42,WORLDCUP!$Z$101:$Z$147,0))),"","( "&amp;INDEX(WORLDCUP!$AB$101:$AB$147,MATCH(Y42,WORLDCUP!$Z$101:$Z$147,0))&amp;" )")</f>
        <v>( 2 )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0</v>
      </c>
      <c r="BI42" s="556">
        <f ca="1">COUNTIF(ADMIN!$M$130:$M$161,Fixture!BG42)-BJ42-BK42-BL42-BM42-BN42-BO42</f>
        <v>1</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f>IF(ISBLANK(INDEX(WORLDCUP!$AC$4:$AC$147,MATCH(A43,WORLDCUP!$AH$4:$AH$147,0))),"",INDEX(WORLDCUP!$AC$4:$AC$147,MATCH(A43,WORLDCUP!$AH$4:$AH$147,0)))</f>
        <v>2</v>
      </c>
      <c r="E43" s="511">
        <f>IF(ISBLANK(INDEX(WORLDCUP!$AD$4:$AD$147,MATCH(A43,WORLDCUP!$AH$4:$AH$147,0))),"",INDEX(WORLDCUP!$AD$4:$AD$147,MATCH(A43,WORLDCUP!$AH$4:$AH$147,0)))</f>
        <v>2</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f>IF(ISBLANK(INDEX(WORLDCUP!$AC$4:$AC$147,MATCH(M43,WORLDCUP!$AH$4:$AH$147,0))),"",INDEX(WORLDCUP!$AC$4:$AC$147,MATCH(M43,WORLDCUP!$AH$4:$AH$147,0)))</f>
        <v>4</v>
      </c>
      <c r="Q43" s="511">
        <f>IF(ISBLANK(INDEX(WORLDCUP!$AD$4:$AD$147,MATCH(M43,WORLDCUP!$AH$4:$AH$147,0))),"",INDEX(WORLDCUP!$AD$4:$AD$147,MATCH(M43,WORLDCUP!$AH$4:$AH$147,0)))</f>
        <v>2</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Egi</v>
      </c>
      <c r="AB43" s="574">
        <f>+IF(ISBLANK(INDEX(WORLDCUP!$AD$101:$AD$147,MATCH(Y43,WORLDCUP!$Z$101:$Z$147,0))),"",INDEX(WORLDCUP!$AD$101:$AD$147,MATCH(Y43,WORLDCUP!$Z$101:$Z$147,0)))</f>
        <v>1</v>
      </c>
      <c r="AC43" s="600" t="str">
        <f>+IF(ISBLANK(INDEX(WORLDCUP!$AE$101:$AE$147,MATCH(Y43,WORLDCUP!$Z$101:$Z$147,0))),"","( "&amp;INDEX(WORLDCUP!$AE$101:$AE$147,MATCH(Y43,WORLDCUP!$Z$101:$Z$147,0))&amp;" )")</f>
        <v>( 4 )</v>
      </c>
      <c r="AD43" s="19"/>
      <c r="AE43" s="567"/>
      <c r="AF43" s="567"/>
      <c r="AG43" s="568"/>
      <c r="AH43" s="592">
        <v>100</v>
      </c>
      <c r="AI43" s="576" t="str">
        <f ca="1">+MID(INDEX(WORLDCUP!$AA$101:$AA$147,MATCH(AH43,WORLDCUP!$Z$101:$Z$147,0)),1,3)</f>
        <v>Egi</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f>IF(ISBLANK(INDEX(WORLDCUP!$AC$4:$AC$147,MATCH(A44,WORLDCUP!$AH$4:$AH$147,0))),"",INDEX(WORLDCUP!$AC$4:$AC$147,MATCH(A44,WORLDCUP!$AH$4:$AH$147,0)))</f>
        <v>5</v>
      </c>
      <c r="E44" s="538">
        <f>IF(ISBLANK(INDEX(WORLDCUP!$AD$4:$AD$147,MATCH(A44,WORLDCUP!$AH$4:$AH$147,0))),"",INDEX(WORLDCUP!$AD$4:$AD$147,MATCH(A44,WORLDCUP!$AH$4:$AH$147,0)))</f>
        <v>1</v>
      </c>
      <c r="F44" s="539" t="str">
        <f ca="1">+MID(INDEX(WORLDCUP!$AF$4:$AF$147,MATCH(A44,WORLDCUP!$AH$4:$AH$147,0)),1,3)</f>
        <v>Tún</v>
      </c>
      <c r="G44" s="540">
        <v>1</v>
      </c>
      <c r="H44" s="541" t="str">
        <f ca="1">+MID(INDEX(WORLDCUP!$AL$6:$AL$97,MATCH(L44,WORLDCUP!$AI$6:$AI$97,0)),1,3)</f>
        <v>Paí</v>
      </c>
      <c r="I44" s="542">
        <f ca="1">+INDEX(WORLDCUP!$AM$6:$AM$97,MATCH(L44,WORLDCUP!$AI$6:$AI$97,0))</f>
        <v>7</v>
      </c>
      <c r="J44" s="543">
        <f ca="1">+INDEX(WORLDCUP!$AT$6:$AT$97,MATCH(L44,WORLDCUP!$AI$6:$AI$97,0))</f>
        <v>6</v>
      </c>
      <c r="K44" s="544" t="str">
        <f ca="1">+INDEX(WORLDCUP!$AR$6:$AR$97,MATCH(L44,WORLDCUP!$AI$6:$AI$97,0))&amp;"-"&amp;INDEX(WORLDCUP!$AS$6:$AS$97,MATCH(L44,WORLDCUP!$AI$6:$AI$97,0))</f>
        <v>10-4</v>
      </c>
      <c r="L44" s="19" t="s">
        <v>664</v>
      </c>
      <c r="M44" s="19">
        <v>21</v>
      </c>
      <c r="N44" s="662"/>
      <c r="O44" s="537" t="str">
        <f ca="1">+MID(INDEX(WORLDCUP!$AA$4:$AA$147,MATCH(M44,WORLDCUP!$AH$4:$AH$147,0)),1,3)</f>
        <v>Gha</v>
      </c>
      <c r="P44" s="538">
        <f>IF(ISBLANK(INDEX(WORLDCUP!$AC$4:$AC$147,MATCH(M44,WORLDCUP!$AH$4:$AH$147,0))),"",INDEX(WORLDCUP!$AC$4:$AC$147,MATCH(M44,WORLDCUP!$AH$4:$AH$147,0)))</f>
        <v>1</v>
      </c>
      <c r="Q44" s="538">
        <f>IF(ISBLANK(INDEX(WORLDCUP!$AD$4:$AD$147,MATCH(M44,WORLDCUP!$AH$4:$AH$147,0))),"",INDEX(WORLDCUP!$AD$4:$AD$147,MATCH(M44,WORLDCUP!$AH$4:$AH$147,0)))</f>
        <v>0</v>
      </c>
      <c r="R44" s="539" t="str">
        <f ca="1">+MID(INDEX(WORLDCUP!$AF$4:$AF$147,MATCH(M44,WORLDCUP!$AH$4:$AH$147,0)),1,3)</f>
        <v>Pan</v>
      </c>
      <c r="S44" s="540">
        <v>1</v>
      </c>
      <c r="T44" s="541" t="str">
        <f ca="1">+MID(INDEX(WORLDCUP!$AL$6:$AL$97,MATCH(X44,WORLDCUP!$AI$6:$AI$97,0)),1,3)</f>
        <v>Ing</v>
      </c>
      <c r="U44" s="542">
        <f ca="1">+INDEX(WORLDCUP!$AM$6:$AM$97,MATCH(X44,WORLDCUP!$AI$6:$AI$97,0))</f>
        <v>7</v>
      </c>
      <c r="V44" s="543">
        <f ca="1">+INDEX(WORLDCUP!$AT$6:$AT$97,MATCH(X44,WORLDCUP!$AI$6:$AI$97,0))</f>
        <v>4</v>
      </c>
      <c r="W44" s="544" t="str">
        <f ca="1">+INDEX(WORLDCUP!$AR$6:$AR$97,MATCH(X44,WORLDCUP!$AI$6:$AI$97,0))&amp;"-"&amp;INDEX(WORLDCUP!$AS$6:$AS$97,MATCH(X44,WORLDCUP!$AI$6:$AI$97,0))</f>
        <v>6-2</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0</v>
      </c>
      <c r="BI44" s="556">
        <f ca="1">COUNTIF(ADMIN!$M$130:$M$161,Fixture!BG44)-BJ44-BK44-BL44-BM44-BN44-BO44</f>
        <v>1</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f>IF(ISBLANK(INDEX(WORLDCUP!$AC$4:$AC$147,MATCH(A45,WORLDCUP!$AH$4:$AH$147,0))),"",INDEX(WORLDCUP!$AC$4:$AC$147,MATCH(A45,WORLDCUP!$AH$4:$AH$147,0)))</f>
        <v>5</v>
      </c>
      <c r="E45" s="538">
        <f>IF(ISBLANK(INDEX(WORLDCUP!$AD$4:$AD$147,MATCH(A45,WORLDCUP!$AH$4:$AH$147,0))),"",INDEX(WORLDCUP!$AD$4:$AD$147,MATCH(A45,WORLDCUP!$AH$4:$AH$147,0)))</f>
        <v>1</v>
      </c>
      <c r="F45" s="539" t="str">
        <f ca="1">+MID(INDEX(WORLDCUP!$AF$4:$AF$147,MATCH(A45,WORLDCUP!$AH$4:$AH$147,0)),1,3)</f>
        <v>Sue</v>
      </c>
      <c r="G45" s="560">
        <v>2</v>
      </c>
      <c r="H45" s="561" t="str">
        <f ca="1">+MID(INDEX(WORLDCUP!$AL$6:$AL$97,MATCH(L45,WORLDCUP!$AI$6:$AI$97,0)),1,3)</f>
        <v>Jap</v>
      </c>
      <c r="I45" s="229">
        <f ca="1">+INDEX(WORLDCUP!$AM$6:$AM$97,MATCH(L45,WORLDCUP!$AI$6:$AI$97,0))</f>
        <v>5</v>
      </c>
      <c r="J45" s="230">
        <f ca="1">+INDEX(WORLDCUP!$AT$6:$AT$97,MATCH(L45,WORLDCUP!$AI$6:$AI$97,0))</f>
        <v>4</v>
      </c>
      <c r="K45" s="231" t="str">
        <f ca="1">+INDEX(WORLDCUP!$AR$6:$AR$97,MATCH(L45,WORLDCUP!$AI$6:$AI$97,0))&amp;"-"&amp;INDEX(WORLDCUP!$AS$6:$AS$97,MATCH(L45,WORLDCUP!$AI$6:$AI$97,0))</f>
        <v>7-3</v>
      </c>
      <c r="L45" s="19" t="s">
        <v>665</v>
      </c>
      <c r="M45" s="19">
        <v>45</v>
      </c>
      <c r="N45" s="662"/>
      <c r="O45" s="537" t="str">
        <f ca="1">+MID(INDEX(WORLDCUP!$AA$4:$AA$147,MATCH(M45,WORLDCUP!$AH$4:$AH$147,0)),1,3)</f>
        <v>Ing</v>
      </c>
      <c r="P45" s="538">
        <f>IF(ISBLANK(INDEX(WORLDCUP!$AC$4:$AC$147,MATCH(M45,WORLDCUP!$AH$4:$AH$147,0))),"",INDEX(WORLDCUP!$AC$4:$AC$147,MATCH(M45,WORLDCUP!$AH$4:$AH$147,0)))</f>
        <v>0</v>
      </c>
      <c r="Q45" s="538">
        <f>IF(ISBLANK(INDEX(WORLDCUP!$AD$4:$AD$147,MATCH(M45,WORLDCUP!$AH$4:$AH$147,0))),"",INDEX(WORLDCUP!$AD$4:$AD$147,MATCH(M45,WORLDCUP!$AH$4:$AH$147,0)))</f>
        <v>0</v>
      </c>
      <c r="R45" s="539" t="str">
        <f ca="1">+MID(INDEX(WORLDCUP!$AF$4:$AF$147,MATCH(M45,WORLDCUP!$AH$4:$AH$147,0)),1,3)</f>
        <v>Gha</v>
      </c>
      <c r="S45" s="560">
        <v>2</v>
      </c>
      <c r="T45" s="561" t="str">
        <f ca="1">+MID(INDEX(WORLDCUP!$AL$6:$AL$97,MATCH(X45,WORLDCUP!$AI$6:$AI$97,0)),1,3)</f>
        <v>Cro</v>
      </c>
      <c r="U45" s="229">
        <f ca="1">+INDEX(WORLDCUP!$AM$6:$AM$97,MATCH(X45,WORLDCUP!$AI$6:$AI$97,0))</f>
        <v>6</v>
      </c>
      <c r="V45" s="230">
        <f ca="1">+INDEX(WORLDCUP!$AT$6:$AT$97,MATCH(X45,WORLDCUP!$AI$6:$AI$97,0))</f>
        <v>0</v>
      </c>
      <c r="W45" s="231" t="str">
        <f ca="1">+INDEX(WORLDCUP!$AR$6:$AR$97,MATCH(X45,WORLDCUP!$AI$6:$AI$97,0))&amp;"-"&amp;INDEX(WORLDCUP!$AS$6:$AS$97,MATCH(X45,WORLDCUP!$AI$6:$AI$97,0))</f>
        <v>6-6</v>
      </c>
      <c r="X45" s="19" t="s">
        <v>683</v>
      </c>
      <c r="Y45" s="19">
        <v>85</v>
      </c>
      <c r="Z45" s="518" t="s">
        <v>648</v>
      </c>
      <c r="AA45" s="519" t="str">
        <f ca="1">+MID(INDEX(WORLDCUP!$AA$101:$AA$147,MATCH(Y45,WORLDCUP!$Z$101:$Z$147,0)),1,3)</f>
        <v>Sui</v>
      </c>
      <c r="AB45" s="520">
        <f>+IF(ISBLANK(INDEX(WORLDCUP!$AC$101:$AC$147,MATCH(Y45,WORLDCUP!$Z$101:$Z$147,0))),"",INDEX(WORLDCUP!$AC$101:$AC$147,MATCH(Y45,WORLDCUP!$Z$101:$Z$147,0)))</f>
        <v>2</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0</v>
      </c>
      <c r="BI45" s="556">
        <f ca="1">COUNTIF(ADMIN!$M$130:$M$161,Fixture!BG45)-BJ45-BK45-BL45-BM45-BN45-BO45</f>
        <v>1</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f>IF(ISBLANK(INDEX(WORLDCUP!$AC$4:$AC$147,MATCH(A46,WORLDCUP!$AH$4:$AH$147,0))),"",INDEX(WORLDCUP!$AC$4:$AC$147,MATCH(A46,WORLDCUP!$AH$4:$AH$147,0)))</f>
        <v>0</v>
      </c>
      <c r="E46" s="538">
        <f>IF(ISBLANK(INDEX(WORLDCUP!$AD$4:$AD$147,MATCH(A46,WORLDCUP!$AH$4:$AH$147,0))),"",INDEX(WORLDCUP!$AD$4:$AD$147,MATCH(A46,WORLDCUP!$AH$4:$AH$147,0)))</f>
        <v>4</v>
      </c>
      <c r="F46" s="539" t="str">
        <f ca="1">+MID(INDEX(WORLDCUP!$AF$4:$AF$147,MATCH(A46,WORLDCUP!$AH$4:$AH$147,0)),1,3)</f>
        <v>Jap</v>
      </c>
      <c r="G46" s="560">
        <v>3</v>
      </c>
      <c r="H46" s="561" t="str">
        <f ca="1">+MID(INDEX(WORLDCUP!$AL$6:$AL$97,MATCH(L46,WORLDCUP!$AI$6:$AI$97,0)),1,3)</f>
        <v>Sue</v>
      </c>
      <c r="I46" s="229">
        <f ca="1">+INDEX(WORLDCUP!$AM$6:$AM$97,MATCH(L46,WORLDCUP!$AI$6:$AI$97,0))</f>
        <v>4</v>
      </c>
      <c r="J46" s="230">
        <f ca="1">+INDEX(WORLDCUP!$AT$6:$AT$97,MATCH(L46,WORLDCUP!$AI$6:$AI$97,0))</f>
        <v>0</v>
      </c>
      <c r="K46" s="231" t="str">
        <f ca="1">+INDEX(WORLDCUP!$AR$6:$AR$97,MATCH(L46,WORLDCUP!$AI$6:$AI$97,0))&amp;"-"&amp;INDEX(WORLDCUP!$AS$6:$AS$97,MATCH(L46,WORLDCUP!$AI$6:$AI$97,0))</f>
        <v>7-7</v>
      </c>
      <c r="L46" s="19" t="s">
        <v>94</v>
      </c>
      <c r="M46" s="19">
        <v>46</v>
      </c>
      <c r="N46" s="662"/>
      <c r="O46" s="537" t="str">
        <f ca="1">+MID(INDEX(WORLDCUP!$AA$4:$AA$147,MATCH(M46,WORLDCUP!$AH$4:$AH$147,0)),1,3)</f>
        <v>Pan</v>
      </c>
      <c r="P46" s="538">
        <f>IF(ISBLANK(INDEX(WORLDCUP!$AC$4:$AC$147,MATCH(M46,WORLDCUP!$AH$4:$AH$147,0))),"",INDEX(WORLDCUP!$AC$4:$AC$147,MATCH(M46,WORLDCUP!$AH$4:$AH$147,0)))</f>
        <v>1</v>
      </c>
      <c r="Q46" s="538">
        <f>IF(ISBLANK(INDEX(WORLDCUP!$AD$4:$AD$147,MATCH(M46,WORLDCUP!$AH$4:$AH$147,0))),"",INDEX(WORLDCUP!$AD$4:$AD$147,MATCH(M46,WORLDCUP!$AH$4:$AH$147,0)))</f>
        <v>2</v>
      </c>
      <c r="R46" s="539" t="str">
        <f ca="1">+MID(INDEX(WORLDCUP!$AF$4:$AF$147,MATCH(M46,WORLDCUP!$AH$4:$AH$147,0)),1,3)</f>
        <v>Cro</v>
      </c>
      <c r="S46" s="560">
        <v>3</v>
      </c>
      <c r="T46" s="561" t="str">
        <f ca="1">+MID(INDEX(WORLDCUP!$AL$6:$AL$97,MATCH(X46,WORLDCUP!$AI$6:$AI$97,0)),1,3)</f>
        <v>Gha</v>
      </c>
      <c r="U46" s="229">
        <f ca="1">+INDEX(WORLDCUP!$AM$6:$AM$97,MATCH(X46,WORLDCUP!$AI$6:$AI$97,0))</f>
        <v>4</v>
      </c>
      <c r="V46" s="230">
        <f ca="1">+INDEX(WORLDCUP!$AT$6:$AT$97,MATCH(X46,WORLDCUP!$AI$6:$AI$97,0))</f>
        <v>0</v>
      </c>
      <c r="W46" s="231" t="str">
        <f ca="1">+INDEX(WORLDCUP!$AR$6:$AR$97,MATCH(X46,WORLDCUP!$AI$6:$AI$97,0))&amp;"-"&amp;INDEX(WORLDCUP!$AS$6:$AS$97,MATCH(X46,WORLDCUP!$AI$6:$AI$97,0))</f>
        <v>2-2</v>
      </c>
      <c r="X46" s="19" t="s">
        <v>443</v>
      </c>
      <c r="Y46" s="19">
        <v>85</v>
      </c>
      <c r="Z46" s="518" t="s">
        <v>728</v>
      </c>
      <c r="AA46" s="519" t="str">
        <f ca="1">+MID(INDEX(WORLDCUP!$AF$101:$AF$147,MATCH(Y46,WORLDCUP!$Z$101:$Z$147,0)),1,IF(WORLDCUP!$H$113&lt;144,6,3))</f>
        <v>Arg</v>
      </c>
      <c r="AB46" s="546">
        <f>+IF(ISBLANK(INDEX(WORLDCUP!$AD$101:$AD$147,MATCH(Y46,WORLDCUP!$Z$101:$Z$147,0))),"",INDEX(WORLDCUP!$AD$101:$AD$147,MATCH(Y46,WORLDCUP!$Z$101:$Z$147,0)))</f>
        <v>0</v>
      </c>
      <c r="AC46" s="547" t="str">
        <f>+IF(ISBLANK(INDEX(WORLDCUP!$AE$101:$AE$147,MATCH(Y46,WORLDCUP!$Z$101:$Z$147,0))),"","( "&amp;INDEX(WORLDCUP!$AE$101:$AE$147,MATCH(Y46,WORLDCUP!$Z$101:$Z$147,0))&amp;" )")</f>
        <v/>
      </c>
      <c r="AD46" s="548">
        <v>96</v>
      </c>
      <c r="AE46" s="549" t="str">
        <f ca="1">+MID(INDEX(WORLDCUP!$AA$101:$AA$147,MATCH(AD46,WORLDCUP!$Z$101:$Z$147,0)),1,3)</f>
        <v>Sui</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0</v>
      </c>
      <c r="BI46" s="556">
        <f ca="1">COUNTIF(ADMIN!$M$130:$M$161,Fixture!BG46)-BJ46-BK46-BL46-BM46-BN46-BO46</f>
        <v>1</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f>IF(ISBLANK(INDEX(WORLDCUP!$AC$4:$AC$147,MATCH(A47,WORLDCUP!$AH$4:$AH$147,0))),"",INDEX(WORLDCUP!$AC$4:$AC$147,MATCH(A47,WORLDCUP!$AH$4:$AH$147,0)))</f>
        <v>1</v>
      </c>
      <c r="E47" s="538">
        <f>IF(ISBLANK(INDEX(WORLDCUP!$AD$4:$AD$147,MATCH(A47,WORLDCUP!$AH$4:$AH$147,0))),"",INDEX(WORLDCUP!$AD$4:$AD$147,MATCH(A47,WORLDCUP!$AH$4:$AH$147,0)))</f>
        <v>1</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-10</v>
      </c>
      <c r="K47" s="572" t="str">
        <f ca="1">+INDEX(WORLDCUP!$AR$6:$AR$97,MATCH(L47,WORLDCUP!$AI$6:$AI$97,0))&amp;"-"&amp;INDEX(WORLDCUP!$AS$6:$AS$97,MATCH(L47,WORLDCUP!$AI$6:$AI$97,0))</f>
        <v>2-12</v>
      </c>
      <c r="L47" s="19" t="s">
        <v>666</v>
      </c>
      <c r="M47" s="19">
        <v>67</v>
      </c>
      <c r="N47" s="662"/>
      <c r="O47" s="537" t="str">
        <f ca="1">+MID(INDEX(WORLDCUP!$AA$4:$AA$147,MATCH(M47,WORLDCUP!$AH$4:$AH$147,0)),1,3)</f>
        <v>Pan</v>
      </c>
      <c r="P47" s="538">
        <f>IF(ISBLANK(INDEX(WORLDCUP!$AC$4:$AC$147,MATCH(M47,WORLDCUP!$AH$4:$AH$147,0))),"",INDEX(WORLDCUP!$AC$4:$AC$147,MATCH(M47,WORLDCUP!$AH$4:$AH$147,0)))</f>
        <v>0</v>
      </c>
      <c r="Q47" s="538">
        <f>IF(ISBLANK(INDEX(WORLDCUP!$AD$4:$AD$147,MATCH(M47,WORLDCUP!$AH$4:$AH$147,0))),"",INDEX(WORLDCUP!$AD$4:$AD$147,MATCH(M47,WORLDCUP!$AH$4:$AH$147,0)))</f>
        <v>2</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-4</v>
      </c>
      <c r="W47" s="572" t="str">
        <f ca="1">+INDEX(WORLDCUP!$AR$6:$AR$97,MATCH(X47,WORLDCUP!$AI$6:$AI$97,0))&amp;"-"&amp;INDEX(WORLDCUP!$AS$6:$AS$97,MATCH(X47,WORLDCUP!$AI$6:$AI$97,0))</f>
        <v>1-5</v>
      </c>
      <c r="X47" s="19" t="s">
        <v>684</v>
      </c>
      <c r="Y47" s="19"/>
      <c r="Z47" s="518"/>
      <c r="AA47" s="562"/>
      <c r="AB47" s="562"/>
      <c r="AC47" s="563"/>
      <c r="AD47" s="19">
        <v>96</v>
      </c>
      <c r="AE47" s="549" t="str">
        <f ca="1">+MID(INDEX(WORLDCUP!$AF$101:$AF$147,MATCH(AD47,WORLDCUP!$Z$101:$Z$147,0)),1,3)</f>
        <v>Col</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0</v>
      </c>
      <c r="BI47" s="556">
        <f ca="1">COUNTIF(ADMIN!$M$130:$M$161,Fixture!BG47)-BJ47-BK47-BL47-BM47-BN47-BO47</f>
        <v>0</v>
      </c>
      <c r="BJ47" s="557">
        <f ca="1">COUNTIF(ADMIN!$M$182:$M$197,Fixture!BG47)-BK47-BL47-BM47-BN47-BO47</f>
        <v>1</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f>IF(ISBLANK(INDEX(WORLDCUP!$AC$4:$AC$147,MATCH(A48,WORLDCUP!$AH$4:$AH$147,0))),"",INDEX(WORLDCUP!$AC$4:$AC$147,MATCH(A48,WORLDCUP!$AH$4:$AH$147,0)))</f>
        <v>1</v>
      </c>
      <c r="E48" s="581">
        <f>IF(ISBLANK(INDEX(WORLDCUP!$AD$4:$AD$147,MATCH(A48,WORLDCUP!$AH$4:$AH$147,0))),"",INDEX(WORLDCUP!$AD$4:$AD$147,MATCH(A48,WORLDCUP!$AH$4:$AH$147,0)))</f>
        <v>3</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f>IF(ISBLANK(INDEX(WORLDCUP!$AC$4:$AC$147,MATCH(M48,WORLDCUP!$AH$4:$AH$147,0))),"",INDEX(WORLDCUP!$AC$4:$AC$147,MATCH(M48,WORLDCUP!$AH$4:$AH$147,0)))</f>
        <v>2</v>
      </c>
      <c r="Q48" s="581">
        <f>IF(ISBLANK(INDEX(WORLDCUP!$AD$4:$AD$147,MATCH(M48,WORLDCUP!$AH$4:$AH$147,0))),"",INDEX(WORLDCUP!$AD$4:$AD$147,MATCH(M48,WORLDCUP!$AH$4:$AH$147,0)))</f>
        <v>1</v>
      </c>
      <c r="R48" s="582" t="str">
        <f ca="1">+MID(INDEX(WORLDCUP!$AF$4:$AF$147,MATCH(M48,WORLDCUP!$AH$4:$AH$147,0)),1,3)</f>
        <v>Gha</v>
      </c>
      <c r="S48" s="583"/>
      <c r="T48" s="583"/>
      <c r="U48" s="584"/>
      <c r="V48" s="584"/>
      <c r="W48" s="585"/>
      <c r="X48" s="19"/>
      <c r="Y48" s="19">
        <v>87</v>
      </c>
      <c r="Z48" s="518" t="s">
        <v>679</v>
      </c>
      <c r="AA48" s="519" t="str">
        <f ca="1">+MID(INDEX(WORLDCUP!$AA$101:$AA$147,MATCH(Y48,WORLDCUP!$Z$101:$Z$147,0)),1,3)</f>
        <v>Col</v>
      </c>
      <c r="AB48" s="565">
        <f>+IF(ISBLANK(INDEX(WORLDCUP!$AC$101:$AC$147,MATCH(Y48,WORLDCUP!$Z$101:$Z$147,0))),"",INDEX(WORLDCUP!$AC$101:$AC$147,MATCH(Y48,WORLDCUP!$Z$101:$Z$147,0)))</f>
        <v>1</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Gha</v>
      </c>
      <c r="AB49" s="574">
        <f>+IF(ISBLANK(INDEX(WORLDCUP!$AD$101:$AD$147,MATCH(Y49,WORLDCUP!$Z$101:$Z$147,0))),"",INDEX(WORLDCUP!$AD$101:$AD$147,MATCH(Y49,WORLDCUP!$Z$101:$Z$147,0)))</f>
        <v>0</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3">
        <v>#VALUE!</v>
      </c>
      <c r="Y87" s="8">
        <v>3.5</v>
      </c>
    </row>
    <row r="88" spans="13:25" x14ac:dyDescent="0.2">
      <c r="T88" s="708" t="s">
        <v>1796</v>
      </c>
      <c r="U88" s="8" t="s">
        <v>1755</v>
      </c>
      <c r="V88" s="8" t="s">
        <v>1756</v>
      </c>
      <c r="W88" s="8" t="s">
        <v>1760</v>
      </c>
      <c r="X88" s="708" t="e" vm="4">
        <v>#VALUE!</v>
      </c>
      <c r="Y88" s="8">
        <v>4</v>
      </c>
    </row>
    <row r="89" spans="13:25" ht="16" x14ac:dyDescent="0.2">
      <c r="T89" s="708" t="s">
        <v>1797</v>
      </c>
      <c r="U89" s="8" t="s">
        <v>1786</v>
      </c>
      <c r="V89" s="8" t="s">
        <v>1786</v>
      </c>
      <c r="W89" s="709" t="s">
        <v>1787</v>
      </c>
      <c r="X89" s="708" t="e" vm="5">
        <v>#VALUE!</v>
      </c>
      <c r="Y89" s="8">
        <v>-4</v>
      </c>
    </row>
    <row r="90" spans="13:25" ht="16" x14ac:dyDescent="0.2">
      <c r="T90" s="708" t="s">
        <v>1798</v>
      </c>
      <c r="U90" s="8" t="s">
        <v>1788</v>
      </c>
      <c r="V90" s="8" t="s">
        <v>1789</v>
      </c>
      <c r="W90" s="710" t="s">
        <v>1790</v>
      </c>
      <c r="X90" s="708" t="e" vm="6">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7">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8">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9">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10">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1">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2">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3">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4">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5">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6">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7">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8">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9">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20">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1">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2">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3">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4">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5">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6">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7">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8">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9">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30">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1">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2">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3">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4">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5">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6">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7">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8">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9">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40">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1">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2">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3">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4">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5">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6">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7">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8">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9">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50">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1">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2">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3">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4">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OK</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2026-07-07T17:40:17Z</dcterms:modified>
  <cp:category/>
</cp:coreProperties>
</file>