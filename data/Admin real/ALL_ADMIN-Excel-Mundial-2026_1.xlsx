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autoCompressPictures="0" defaultThemeVersion="124226"/>
  <mc:AlternateContent xmlns:mc="http://schemas.openxmlformats.org/markup-compatibility/2006">
    <mc:Choice Requires="x15">
      <x15ac:absPath xmlns:x15ac="http://schemas.microsoft.com/office/spreadsheetml/2010/11/ac" url="/Users/pcrespo/Documents/MEGA/Mundial 2026 - backup/Admin real_7JULIO2026/"/>
    </mc:Choice>
  </mc:AlternateContent>
  <xr:revisionPtr revIDLastSave="0" documentId="13_ncr:1_{0BB15703-CCC0-4C4F-B0AA-A1F0754A3EEF}"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0" yWindow="780" windowWidth="18000" windowHeight="21060" tabRatio="749" activeTab="3"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L205" i="46"/>
  <c r="L206" i="46"/>
  <c r="L207" i="46"/>
  <c r="M207" i="46" s="1"/>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M247" i="46" s="1"/>
  <c r="L244" i="46"/>
  <c r="L233" i="46"/>
  <c r="L232" i="46"/>
  <c r="L223" i="46"/>
  <c r="L222" i="46"/>
  <c r="L221" i="46"/>
  <c r="L220" i="46"/>
  <c r="L201" i="46"/>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A223" i="46"/>
  <c r="B222" i="46"/>
  <c r="A222" i="46"/>
  <c r="E222" i="46" s="1"/>
  <c r="B221" i="46"/>
  <c r="A221" i="46"/>
  <c r="O223" i="46"/>
  <c r="N223" i="46"/>
  <c r="O222" i="46"/>
  <c r="N222" i="46"/>
  <c r="P222" i="46" s="1"/>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P202" i="46" s="1"/>
  <c r="O201" i="46"/>
  <c r="N201" i="46"/>
  <c r="O200" i="46"/>
  <c r="N200" i="46"/>
  <c r="N29" i="46"/>
  <c r="P29" i="46"/>
  <c r="O9" i="46"/>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M14" i="46" s="1"/>
  <c r="N15" i="46"/>
  <c r="N16" i="46"/>
  <c r="M16" i="46" s="1"/>
  <c r="N17" i="46"/>
  <c r="M17" i="46" s="1"/>
  <c r="N18" i="46"/>
  <c r="N19" i="46"/>
  <c r="N20" i="46"/>
  <c r="N21" i="46"/>
  <c r="M21" i="46" s="1"/>
  <c r="N22" i="46"/>
  <c r="N23" i="46"/>
  <c r="N24" i="46"/>
  <c r="N25" i="46"/>
  <c r="N26" i="46"/>
  <c r="N27" i="46"/>
  <c r="N30" i="46"/>
  <c r="N52" i="46"/>
  <c r="P52" i="46"/>
  <c r="N77" i="46"/>
  <c r="N76" i="46"/>
  <c r="P76" i="46"/>
  <c r="N75" i="46"/>
  <c r="N74" i="46"/>
  <c r="N73" i="46"/>
  <c r="N72" i="46"/>
  <c r="N71" i="46"/>
  <c r="N70" i="46"/>
  <c r="N69" i="46"/>
  <c r="N68" i="46"/>
  <c r="N67" i="46"/>
  <c r="N66" i="46"/>
  <c r="N65" i="46"/>
  <c r="N64" i="46"/>
  <c r="N63" i="46"/>
  <c r="N62" i="46"/>
  <c r="N61" i="46"/>
  <c r="N60" i="46"/>
  <c r="N59" i="46"/>
  <c r="N58" i="46"/>
  <c r="N57" i="46"/>
  <c r="N56" i="46"/>
  <c r="N55" i="46"/>
  <c r="N54" i="46"/>
  <c r="O54" i="46"/>
  <c r="P54" i="46"/>
  <c r="N53" i="46"/>
  <c r="N51" i="46"/>
  <c r="N50" i="46"/>
  <c r="N49" i="46"/>
  <c r="N48" i="46"/>
  <c r="N47" i="46"/>
  <c r="N46" i="46"/>
  <c r="N45" i="46"/>
  <c r="N44" i="46"/>
  <c r="N43" i="46"/>
  <c r="N42" i="46"/>
  <c r="N41" i="46"/>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Q76" i="46" s="1"/>
  <c r="P75" i="46"/>
  <c r="O75" i="46"/>
  <c r="Q75" i="46" s="1"/>
  <c r="P74" i="46"/>
  <c r="O74" i="46"/>
  <c r="Q74" i="46" s="1"/>
  <c r="P73" i="46"/>
  <c r="O73" i="46"/>
  <c r="P72" i="46"/>
  <c r="O72" i="46"/>
  <c r="P71" i="46"/>
  <c r="O71" i="46"/>
  <c r="P70" i="46"/>
  <c r="O70" i="46"/>
  <c r="P69" i="46"/>
  <c r="O69" i="46"/>
  <c r="P68" i="46"/>
  <c r="O68" i="46"/>
  <c r="P67" i="46"/>
  <c r="O67" i="46"/>
  <c r="P66" i="46"/>
  <c r="O66" i="46"/>
  <c r="Q66" i="46" s="1"/>
  <c r="P65" i="46"/>
  <c r="O65" i="46"/>
  <c r="P64" i="46"/>
  <c r="O64" i="46"/>
  <c r="P63" i="46"/>
  <c r="O63" i="46"/>
  <c r="Q63" i="46" s="1"/>
  <c r="P62" i="46"/>
  <c r="O62" i="46"/>
  <c r="Q62" i="46" s="1"/>
  <c r="P61" i="46"/>
  <c r="O61" i="46"/>
  <c r="P60" i="46"/>
  <c r="O60" i="46"/>
  <c r="Q60" i="46" s="1"/>
  <c r="P59" i="46"/>
  <c r="O59" i="46"/>
  <c r="Q59" i="46" s="1"/>
  <c r="P58" i="46"/>
  <c r="O58" i="46"/>
  <c r="Q58" i="46" s="1"/>
  <c r="P57" i="46"/>
  <c r="O57" i="46"/>
  <c r="P56" i="46"/>
  <c r="O56" i="46"/>
  <c r="M56" i="46" s="1"/>
  <c r="P55" i="46"/>
  <c r="O55" i="46"/>
  <c r="P53" i="46"/>
  <c r="O53" i="46"/>
  <c r="Q53" i="46" s="1"/>
  <c r="O52" i="46"/>
  <c r="Q52" i="46" s="1"/>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F4" i="48" a="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D109" i="36"/>
  <c r="L42" i="34" s="1"/>
  <c r="D108" i="36"/>
  <c r="L41" i="34" s="1"/>
  <c r="D106" i="36"/>
  <c r="L38" i="34" s="1"/>
  <c r="D99" i="36"/>
  <c r="L23" i="34" s="1"/>
  <c r="D88" i="36"/>
  <c r="D90" i="36"/>
  <c r="M66" i="46"/>
  <c r="E207" i="46"/>
  <c r="C39" i="46"/>
  <c r="M37" i="46"/>
  <c r="E179" i="46"/>
  <c r="E247" i="46"/>
  <c r="E206" i="46"/>
  <c r="P206" i="46"/>
  <c r="D266" i="36"/>
  <c r="L2" i="32" s="1"/>
  <c r="D365" i="36"/>
  <c r="D364" i="36"/>
  <c r="D263" i="36"/>
  <c r="C60" i="46" s="1"/>
  <c r="D46" i="36"/>
  <c r="D369" i="36"/>
  <c r="D137" i="36"/>
  <c r="H152" i="46" s="1"/>
  <c r="M74" i="46"/>
  <c r="M72" i="46"/>
  <c r="M43" i="46"/>
  <c r="Q244" i="46"/>
  <c r="Q179" i="46"/>
  <c r="Q27" i="46"/>
  <c r="E221" i="46"/>
  <c r="Q45" i="46"/>
  <c r="Q21" i="46"/>
  <c r="Q13" i="46"/>
  <c r="Q9" i="46"/>
  <c r="Q7" i="46"/>
  <c r="E233" i="46"/>
  <c r="M61" i="46"/>
  <c r="M45" i="46"/>
  <c r="M69" i="46"/>
  <c r="Q201" i="46"/>
  <c r="M221" i="46"/>
  <c r="M49" i="46"/>
  <c r="M13" i="46"/>
  <c r="Q26" i="46"/>
  <c r="M57" i="46"/>
  <c r="E223" i="46"/>
  <c r="Q223" i="46"/>
  <c r="M26" i="46"/>
  <c r="M36" i="46"/>
  <c r="M50" i="46"/>
  <c r="Q47" i="46"/>
  <c r="M47" i="46"/>
  <c r="M11" i="46"/>
  <c r="M44" i="46"/>
  <c r="S267" i="46"/>
  <c r="M232" i="46" l="1"/>
  <c r="Q232" i="46"/>
  <c r="M220" i="46"/>
  <c r="M204" i="46"/>
  <c r="M62" i="46"/>
  <c r="M29" i="46"/>
  <c r="M77" i="46"/>
  <c r="M65" i="46"/>
  <c r="P247" i="46"/>
  <c r="M75" i="46"/>
  <c r="M63" i="46"/>
  <c r="M53" i="46"/>
  <c r="M41" i="46"/>
  <c r="Q202" i="46"/>
  <c r="M201" i="46"/>
  <c r="M52" i="46"/>
  <c r="M48" i="46"/>
  <c r="M20" i="46"/>
  <c r="Q65" i="46"/>
  <c r="M58" i="46"/>
  <c r="M7" i="46"/>
  <c r="W7" i="46" s="1"/>
  <c r="Q30"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M256" i="46"/>
  <c r="AX18" i="45"/>
  <c r="G4" i="47"/>
  <c r="K198" i="46"/>
  <c r="I4" i="47"/>
  <c r="K208" i="46"/>
  <c r="J4" i="47"/>
  <c r="L23" i="30"/>
  <c r="AZ1" i="3"/>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D56" i="36"/>
  <c r="AN5" i="3" s="1"/>
  <c r="AN45" i="3" s="1"/>
  <c r="D443" i="36"/>
  <c r="D445" i="36"/>
  <c r="D86" i="36"/>
  <c r="L4" i="34" s="1"/>
  <c r="D139" i="36"/>
  <c r="K181" i="46" s="1"/>
  <c r="D158" i="36"/>
  <c r="K88" i="46" s="1"/>
  <c r="D324" i="36"/>
  <c r="C28" i="46" s="1"/>
  <c r="H236" i="46"/>
  <c r="D20" i="36"/>
  <c r="AD3" i="3" s="1"/>
  <c r="H233" i="46"/>
  <c r="D42" i="36"/>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97" i="46"/>
  <c r="H174" i="46"/>
  <c r="K182" i="46"/>
  <c r="AF75" i="3"/>
  <c r="AF67" i="3"/>
  <c r="H250" i="46"/>
  <c r="AF51" i="3"/>
  <c r="D13" i="36"/>
  <c r="K14" i="30" s="1"/>
  <c r="D432" i="36"/>
  <c r="H226" i="46"/>
  <c r="K213" i="46"/>
  <c r="AM53" i="3"/>
  <c r="H196" i="46"/>
  <c r="AF130" i="3"/>
  <c r="H222" i="46"/>
  <c r="AF142" i="3"/>
  <c r="H252" i="46"/>
  <c r="Q25" i="6"/>
  <c r="AF137" i="3"/>
  <c r="T1" i="6"/>
  <c r="C61" i="46"/>
  <c r="H177" i="46"/>
  <c r="H227" i="46"/>
  <c r="H207" i="46"/>
  <c r="H212" i="46"/>
  <c r="H156" i="46"/>
  <c r="H134" i="46"/>
  <c r="H254" i="46"/>
  <c r="H256" i="46"/>
  <c r="H141" i="46"/>
  <c r="H133" i="46"/>
  <c r="K186" i="46"/>
  <c r="K151" i="46"/>
  <c r="H220" i="46"/>
  <c r="H185" i="46"/>
  <c r="H170" i="46"/>
  <c r="H4" i="47"/>
  <c r="K190" i="46"/>
  <c r="K185" i="46"/>
  <c r="C50" i="46"/>
  <c r="K12" i="30"/>
  <c r="C14" i="47"/>
  <c r="B34" i="34"/>
  <c r="E17" i="30"/>
  <c r="Q36" i="46"/>
  <c r="W36" i="46" s="1"/>
  <c r="Q40" i="46"/>
  <c r="Q44" i="46"/>
  <c r="T44" i="46" s="1"/>
  <c r="P203" i="46"/>
  <c r="Q203" i="46"/>
  <c r="Q207" i="46"/>
  <c r="Q33" i="46"/>
  <c r="Z33" i="46" s="1"/>
  <c r="Q37" i="46"/>
  <c r="Q41" i="46"/>
  <c r="Q49" i="46"/>
  <c r="P204" i="46"/>
  <c r="W256" i="46"/>
  <c r="AC256" i="46"/>
  <c r="Z256" i="46"/>
  <c r="AF256" i="46"/>
  <c r="M177" i="46"/>
  <c r="M169" i="46"/>
  <c r="AC258" i="46"/>
  <c r="Q55" i="46"/>
  <c r="Q247" i="46"/>
  <c r="P232" i="46"/>
  <c r="M203" i="46"/>
  <c r="E203" i="46"/>
  <c r="M202" i="46"/>
  <c r="W45" i="46"/>
  <c r="W26" i="46"/>
  <c r="W17" i="46"/>
  <c r="W74" i="46"/>
  <c r="W66" i="46"/>
  <c r="W49" i="46"/>
  <c r="W56" i="46"/>
  <c r="W48" i="46"/>
  <c r="W47" i="46"/>
  <c r="W21" i="46"/>
  <c r="W13" i="46"/>
  <c r="W37" i="46"/>
  <c r="W20" i="46"/>
  <c r="E165" i="46"/>
  <c r="AC7" i="46"/>
  <c r="AF7" i="46"/>
  <c r="Z13" i="46"/>
  <c r="AC13" i="46"/>
  <c r="AF13" i="46"/>
  <c r="AC21" i="46"/>
  <c r="Z17" i="46"/>
  <c r="AF21" i="46"/>
  <c r="AC17" i="46"/>
  <c r="AF17" i="46"/>
  <c r="Z26" i="46"/>
  <c r="AC26" i="46"/>
  <c r="Z21" i="46"/>
  <c r="AF26" i="46"/>
  <c r="AC37" i="46"/>
  <c r="AF37" i="46"/>
  <c r="Z44" i="46"/>
  <c r="AC44" i="46"/>
  <c r="AF44" i="46"/>
  <c r="Z49" i="46"/>
  <c r="Z36" i="46"/>
  <c r="Z45" i="46"/>
  <c r="AC49" i="46"/>
  <c r="AF45" i="46"/>
  <c r="AC56" i="46"/>
  <c r="AC36" i="46"/>
  <c r="AF56" i="46"/>
  <c r="AF36" i="46"/>
  <c r="AF49" i="46"/>
  <c r="Z37" i="46"/>
  <c r="Z47" i="46"/>
  <c r="AC47" i="46"/>
  <c r="Z52" i="46"/>
  <c r="Z56" i="46"/>
  <c r="AC52" i="46"/>
  <c r="Z66" i="46"/>
  <c r="AC45" i="46"/>
  <c r="AF66" i="46"/>
  <c r="AC74" i="46"/>
  <c r="AF52" i="46"/>
  <c r="AF74" i="46"/>
  <c r="AF47" i="46"/>
  <c r="Z74" i="46"/>
  <c r="AC66" i="46"/>
  <c r="Z7" i="46"/>
  <c r="Q46" i="46"/>
  <c r="P221" i="46"/>
  <c r="Q222" i="46"/>
  <c r="Q68" i="46"/>
  <c r="T256" i="46"/>
  <c r="Q16" i="46"/>
  <c r="AF16" i="46" s="1"/>
  <c r="Q29" i="46"/>
  <c r="Q220" i="46"/>
  <c r="Q14" i="46"/>
  <c r="Z14" i="46" s="1"/>
  <c r="Q233" i="46"/>
  <c r="Q8" i="46"/>
  <c r="Z8" i="46" s="1"/>
  <c r="P178" i="46"/>
  <c r="P174" i="46"/>
  <c r="Q173" i="46"/>
  <c r="Q169" i="46"/>
  <c r="T47" i="46"/>
  <c r="Q50" i="46"/>
  <c r="Q70" i="46"/>
  <c r="Q71" i="46"/>
  <c r="Q23" i="46"/>
  <c r="M46" i="46"/>
  <c r="M71" i="46"/>
  <c r="M70" i="46"/>
  <c r="W70" i="46" s="1"/>
  <c r="M23" i="46"/>
  <c r="W23" i="46" s="1"/>
  <c r="Q22" i="46"/>
  <c r="M22" i="46"/>
  <c r="AF22" i="46" s="1"/>
  <c r="Q200" i="46"/>
  <c r="T50" i="46"/>
  <c r="T26" i="46"/>
  <c r="Q72" i="46"/>
  <c r="Q43" i="46"/>
  <c r="T17" i="46"/>
  <c r="Q64" i="46"/>
  <c r="T36" i="46"/>
  <c r="T13" i="46"/>
  <c r="Q34" i="46"/>
  <c r="T7" i="46"/>
  <c r="F5" i="48" a="1"/>
  <c r="V267" i="46"/>
  <c r="T258" i="46"/>
  <c r="M39" i="46"/>
  <c r="M28" i="46"/>
  <c r="Z28" i="46" s="1"/>
  <c r="Q28" i="46"/>
  <c r="Q12" i="46"/>
  <c r="E205" i="46"/>
  <c r="Q205" i="46"/>
  <c r="M233" i="46"/>
  <c r="P233" i="46"/>
  <c r="M244" i="46"/>
  <c r="P244" i="46"/>
  <c r="E164" i="46"/>
  <c r="Q164" i="46"/>
  <c r="E176" i="46"/>
  <c r="Q172" i="46"/>
  <c r="E168" i="46"/>
  <c r="M35" i="46"/>
  <c r="Q35" i="46"/>
  <c r="M51" i="46"/>
  <c r="Q51" i="46"/>
  <c r="Q11" i="46"/>
  <c r="W11" i="46" s="1"/>
  <c r="M64" i="46"/>
  <c r="Z64" i="46" s="1"/>
  <c r="M25" i="46"/>
  <c r="M10" i="46"/>
  <c r="Q18" i="46"/>
  <c r="Q57" i="46"/>
  <c r="Q61" i="46"/>
  <c r="AC61" i="46" s="1"/>
  <c r="Q69" i="46"/>
  <c r="Q73" i="46"/>
  <c r="M73" i="46"/>
  <c r="Z73" i="46" s="1"/>
  <c r="M12" i="46"/>
  <c r="W12" i="46" s="1"/>
  <c r="M24" i="46"/>
  <c r="Q171" i="46"/>
  <c r="M32" i="46"/>
  <c r="M40" i="46"/>
  <c r="Q48" i="46"/>
  <c r="AF48" i="46" s="1"/>
  <c r="M27" i="46"/>
  <c r="M19" i="46"/>
  <c r="D65" i="46"/>
  <c r="M59" i="46"/>
  <c r="T59" i="46" s="1"/>
  <c r="M15" i="46"/>
  <c r="P170" i="46"/>
  <c r="M60" i="46"/>
  <c r="M68" i="46"/>
  <c r="M200" i="46"/>
  <c r="M76" i="46"/>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74" i="46"/>
  <c r="M18" i="46"/>
  <c r="Z18" i="46" s="1"/>
  <c r="T61" i="46"/>
  <c r="T57" i="46"/>
  <c r="T49" i="46"/>
  <c r="M42" i="46"/>
  <c r="Q38" i="46"/>
  <c r="M34" i="46"/>
  <c r="Q32" i="46"/>
  <c r="Q31" i="46"/>
  <c r="Q25" i="46"/>
  <c r="Q24" i="46"/>
  <c r="T21" i="46"/>
  <c r="Q20" i="46"/>
  <c r="Q19" i="46"/>
  <c r="T18" i="46"/>
  <c r="Q15" i="46"/>
  <c r="Q10" i="46"/>
  <c r="M9" i="46"/>
  <c r="Z9" i="46" s="1"/>
  <c r="Q67" i="46"/>
  <c r="T56" i="46"/>
  <c r="E167" i="46"/>
  <c r="T48"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Z67" i="46" s="1"/>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W258" i="46" l="1"/>
  <c r="AF258" i="46"/>
  <c r="Z258" i="46"/>
  <c r="AC24" i="46"/>
  <c r="T77" i="46"/>
  <c r="AC25" i="46"/>
  <c r="AC29" i="46"/>
  <c r="AF62" i="46"/>
  <c r="AC62" i="46"/>
  <c r="W62" i="46"/>
  <c r="Z62" i="46"/>
  <c r="T62" i="46"/>
  <c r="T29" i="46"/>
  <c r="W29" i="46"/>
  <c r="W77" i="46"/>
  <c r="Z77" i="46"/>
  <c r="AC77" i="46"/>
  <c r="AF77" i="46"/>
  <c r="T65" i="46"/>
  <c r="AF65" i="46"/>
  <c r="W65" i="46"/>
  <c r="Z65" i="46"/>
  <c r="AC65" i="46"/>
  <c r="AC75" i="46"/>
  <c r="Z75" i="46"/>
  <c r="AF75" i="46"/>
  <c r="W75" i="46"/>
  <c r="T75" i="46"/>
  <c r="T63" i="46"/>
  <c r="AF63" i="46"/>
  <c r="W63" i="46"/>
  <c r="Z63" i="46"/>
  <c r="AC63" i="46"/>
  <c r="T53" i="46"/>
  <c r="Z53" i="46"/>
  <c r="AF53" i="46"/>
  <c r="AC53" i="46"/>
  <c r="W53" i="46"/>
  <c r="AC41" i="46"/>
  <c r="W41" i="46"/>
  <c r="AF41" i="46"/>
  <c r="T41" i="46"/>
  <c r="Z41" i="46"/>
  <c r="W50" i="46"/>
  <c r="Z50" i="46"/>
  <c r="AF72" i="46"/>
  <c r="AC72" i="46"/>
  <c r="W43" i="46"/>
  <c r="AC43" i="46"/>
  <c r="AC57" i="46"/>
  <c r="W57" i="46"/>
  <c r="Z69" i="46"/>
  <c r="AC69" i="46"/>
  <c r="AF20" i="46"/>
  <c r="Z20" i="46"/>
  <c r="W52" i="46"/>
  <c r="T52" i="46"/>
  <c r="Z76" i="46"/>
  <c r="AC76" i="46"/>
  <c r="AF76" i="46"/>
  <c r="Z51" i="46"/>
  <c r="W51" i="46"/>
  <c r="Z27" i="46"/>
  <c r="AF27" i="46"/>
  <c r="AF70" i="46"/>
  <c r="AF46" i="46"/>
  <c r="AC46" i="46"/>
  <c r="Z71" i="46"/>
  <c r="AC71" i="46"/>
  <c r="AF71" i="46"/>
  <c r="AC68" i="46"/>
  <c r="T68" i="46"/>
  <c r="Z68" i="46"/>
  <c r="AC19" i="46"/>
  <c r="Z19" i="46"/>
  <c r="W40" i="46"/>
  <c r="AC40" i="46"/>
  <c r="T40" i="46"/>
  <c r="W39" i="46"/>
  <c r="AF39" i="46"/>
  <c r="AF15" i="46"/>
  <c r="AC15" i="46"/>
  <c r="Z60" i="46"/>
  <c r="W60" i="46"/>
  <c r="AC58" i="46"/>
  <c r="W58" i="46"/>
  <c r="AF58" i="46"/>
  <c r="T58" i="46"/>
  <c r="Z58" i="46"/>
  <c r="T32" i="46"/>
  <c r="H164" i="46"/>
  <c r="H182" i="46"/>
  <c r="H165" i="46"/>
  <c r="C64" i="46"/>
  <c r="C56" i="46"/>
  <c r="H253" i="46"/>
  <c r="AH155" i="3"/>
  <c r="AG155" i="3" s="1"/>
  <c r="K131" i="46"/>
  <c r="K152" i="46"/>
  <c r="AL5" i="3"/>
  <c r="BD5" i="3"/>
  <c r="BD57" i="3" s="1"/>
  <c r="Z254" i="46"/>
  <c r="K142" i="46"/>
  <c r="Y19" i="3"/>
  <c r="Y35" i="3" s="1"/>
  <c r="Y91" i="3"/>
  <c r="Y100" i="3"/>
  <c r="Y59" i="3"/>
  <c r="AC3" i="3"/>
  <c r="Y75" i="3"/>
  <c r="DT130" i="3"/>
  <c r="H223" i="46"/>
  <c r="H228" i="46"/>
  <c r="AC254" i="46"/>
  <c r="AF254" i="46"/>
  <c r="Y119" i="3"/>
  <c r="W254" i="46"/>
  <c r="DT100" i="3"/>
  <c r="Y51" i="3"/>
  <c r="AG158" i="3"/>
  <c r="K227" i="46"/>
  <c r="K229" i="46"/>
  <c r="K226" i="46"/>
  <c r="DT146" i="3"/>
  <c r="AH156"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A12" i="3"/>
  <c r="AB12" i="3" s="1" a="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Y7" i="3"/>
  <c r="A29" i="3"/>
  <c r="AY30" i="3" s="1"/>
  <c r="BC13" i="3"/>
  <c r="BC12" i="3"/>
  <c r="BC10" i="3"/>
  <c r="AE4" i="3" a="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A63" i="3"/>
  <c r="AA65" i="3"/>
  <c r="AF61" i="3"/>
  <c r="K21" i="46" s="1"/>
  <c r="AY65" i="3"/>
  <c r="F30" i="45"/>
  <c r="AE31" i="3" a="1"/>
  <c r="AE22" i="3" a="1"/>
  <c r="F21" i="45"/>
  <c r="BC29" i="3"/>
  <c r="AE20" i="3" a="1"/>
  <c r="F19" i="45"/>
  <c r="AA57" i="3"/>
  <c r="AF53" i="3"/>
  <c r="AY57" i="3"/>
  <c r="AA55" i="3"/>
  <c r="C32" i="45"/>
  <c r="AB33" i="3" a="1"/>
  <c r="F8" i="48" a="1"/>
  <c r="R15" i="45"/>
  <c r="AE64" i="3" a="1"/>
  <c r="BC30" i="3"/>
  <c r="R23" i="45"/>
  <c r="AE72" i="3" a="1"/>
  <c r="BC33" i="3"/>
  <c r="C40" i="45"/>
  <c r="AB41" i="3" a="1"/>
  <c r="O12" i="45"/>
  <c r="AB61" i="3" a="1"/>
  <c r="BC26" i="3"/>
  <c r="AA52" i="3"/>
  <c r="AY54" i="3"/>
  <c r="AA54" i="3"/>
  <c r="AF57" i="3"/>
  <c r="AF93" i="3"/>
  <c r="AY97" i="3"/>
  <c r="AA95" i="3"/>
  <c r="AA96" i="3"/>
  <c r="BC31" i="3"/>
  <c r="AE37" i="3" a="1"/>
  <c r="F36" i="45"/>
  <c r="AE62" i="3" a="1"/>
  <c r="R13" i="45"/>
  <c r="BC34" i="3"/>
  <c r="C38" i="45"/>
  <c r="AB39" i="3" a="1"/>
  <c r="BC21" i="3"/>
  <c r="C24" i="45"/>
  <c r="AB25" i="3" a="1"/>
  <c r="AY49" i="3"/>
  <c r="AA49" i="3"/>
  <c r="AA47" i="3"/>
  <c r="AF45" i="3"/>
  <c r="F27" i="45"/>
  <c r="AE28" i="3" a="1"/>
  <c r="AA4" i="3"/>
  <c r="AF8" i="3"/>
  <c r="AY6" i="3"/>
  <c r="AA7" i="3"/>
  <c r="AY38" i="3"/>
  <c r="AA36" i="3"/>
  <c r="AA38" i="3"/>
  <c r="AF41" i="3"/>
  <c r="O19" i="45"/>
  <c r="AB68" i="3" a="1"/>
  <c r="AC257" i="46" l="1"/>
  <c r="T257" i="46"/>
  <c r="W257" i="46"/>
  <c r="Z257" i="46"/>
  <c r="AF257" i="46"/>
  <c r="Z255" i="46"/>
  <c r="AF255" i="46"/>
  <c r="T255" i="46"/>
  <c r="AC255" i="46"/>
  <c r="W255" i="46"/>
  <c r="AC253" i="46"/>
  <c r="W253" i="46"/>
  <c r="Z253" i="46"/>
  <c r="AF253" i="46"/>
  <c r="T253" i="46"/>
  <c r="AA14" i="3"/>
  <c r="AB14" i="3" s="1" a="1"/>
  <c r="AY17" i="3"/>
  <c r="AF13" i="3"/>
  <c r="F12" i="45" s="1"/>
  <c r="AA48" i="3"/>
  <c r="C47" i="45" s="1"/>
  <c r="AE47" i="3" a="1"/>
  <c r="AY47" i="3"/>
  <c r="AF44" i="3"/>
  <c r="AE44" i="3" s="1" a="1"/>
  <c r="AF69" i="3"/>
  <c r="K23" i="46" s="1"/>
  <c r="AF84" i="3"/>
  <c r="AE84" i="3" s="1" a="1"/>
  <c r="DT15" i="3"/>
  <c r="AA71" i="3"/>
  <c r="O22" i="45" s="1"/>
  <c r="AA72" i="3"/>
  <c r="DT72" i="3" s="1"/>
  <c r="C14" i="45"/>
  <c r="AB94" i="3" a="1"/>
  <c r="AA20" i="3"/>
  <c r="C19" i="45" s="1"/>
  <c r="AA56" i="3"/>
  <c r="K66" i="46" s="1"/>
  <c r="AF52" i="3"/>
  <c r="K18" i="46" s="1"/>
  <c r="DT12" i="3"/>
  <c r="AY55" i="3"/>
  <c r="AF38" i="3"/>
  <c r="K38" i="46" s="1"/>
  <c r="C11" i="45"/>
  <c r="K56" i="46"/>
  <c r="AE16" i="3" a="1"/>
  <c r="AY46" i="3"/>
  <c r="AE92" i="3" a="1"/>
  <c r="AA89" i="3"/>
  <c r="AA22" i="3"/>
  <c r="C21" i="45" s="1"/>
  <c r="AA86" i="3"/>
  <c r="O37" i="45" s="1"/>
  <c r="AF49" i="3"/>
  <c r="DT49" i="3" s="1"/>
  <c r="AE96" i="3" a="1"/>
  <c r="AY86" i="3"/>
  <c r="AA84" i="3"/>
  <c r="O35" i="45" s="1"/>
  <c r="AA28" i="3"/>
  <c r="K12" i="46" s="1"/>
  <c r="AA24" i="3"/>
  <c r="AB24" i="3" s="1" a="1"/>
  <c r="K28" i="46"/>
  <c r="AB92" i="3" a="1"/>
  <c r="DT92" i="3"/>
  <c r="AA32" i="3"/>
  <c r="C31" i="45" s="1"/>
  <c r="AF29" i="3"/>
  <c r="AF40" i="3"/>
  <c r="K62" i="46" s="1"/>
  <c r="AA37" i="3"/>
  <c r="DT37" i="3" s="1"/>
  <c r="AY62" i="3"/>
  <c r="AA60" i="3"/>
  <c r="DT60" i="3" s="1"/>
  <c r="AE6" i="3" a="1"/>
  <c r="AY22" i="3"/>
  <c r="AA46" i="3"/>
  <c r="K40" i="46" s="1"/>
  <c r="AE95" i="3" a="1"/>
  <c r="K30" i="46"/>
  <c r="AB6" i="3" a="1"/>
  <c r="AA62" i="3"/>
  <c r="DT62" i="3" s="1"/>
  <c r="AB8" i="3" a="1"/>
  <c r="AA23" i="3"/>
  <c r="C22" i="45" s="1"/>
  <c r="AF87" i="3"/>
  <c r="DT6" i="3"/>
  <c r="AF32" i="3"/>
  <c r="AE32" i="3" s="1" a="1"/>
  <c r="AY71" i="3"/>
  <c r="AA30" i="3"/>
  <c r="AB30" i="3" s="1" a="1"/>
  <c r="AY33" i="3"/>
  <c r="AB9" i="3" a="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DT41" i="3"/>
  <c r="C16" i="45"/>
  <c r="AB17" i="3" a="1"/>
  <c r="F13" i="45"/>
  <c r="AE14" i="3" a="1"/>
  <c r="C15" i="45"/>
  <c r="DT16" i="3"/>
  <c r="AB16" i="3" a="1"/>
  <c r="O39" i="45"/>
  <c r="K74" i="46"/>
  <c r="DT88" i="3"/>
  <c r="AB88" i="3" a="1"/>
  <c r="F24" i="45"/>
  <c r="AE25" i="3" a="1"/>
  <c r="F14" i="45"/>
  <c r="AE15" i="3" a="1"/>
  <c r="O31" i="45"/>
  <c r="AB80" i="3" a="1"/>
  <c r="K72" i="46"/>
  <c r="DT80" i="3"/>
  <c r="O32" i="45"/>
  <c r="K73" i="46"/>
  <c r="DT81" i="3"/>
  <c r="AB81" i="3" a="1"/>
  <c r="AB87" i="3" a="1"/>
  <c r="O38" i="45"/>
  <c r="C20" i="45"/>
  <c r="AB21" i="3" a="1"/>
  <c r="AE9" i="3" a="1"/>
  <c r="F8" i="45"/>
  <c r="K55" i="46"/>
  <c r="DT9" i="3"/>
  <c r="R19" i="45"/>
  <c r="AE68" i="3" a="1"/>
  <c r="F16" i="45"/>
  <c r="DT17" i="3"/>
  <c r="K57" i="46"/>
  <c r="AE17" i="3" a="1"/>
  <c r="R30" i="45"/>
  <c r="AE79" i="3" a="1"/>
  <c r="F38" i="45"/>
  <c r="AE39" i="3" a="1"/>
  <c r="DT79" i="3"/>
  <c r="O30" i="45"/>
  <c r="K49" i="46"/>
  <c r="AB79" i="3" a="1"/>
  <c r="AE85" i="3" a="1"/>
  <c r="R36" i="45"/>
  <c r="F22" i="45"/>
  <c r="AE23" i="3" a="1"/>
  <c r="DT5" i="3"/>
  <c r="C4" i="45"/>
  <c r="AB5" i="3" a="1"/>
  <c r="K7" i="46"/>
  <c r="C12" i="45"/>
  <c r="AB13" i="3" a="1"/>
  <c r="F6" i="45"/>
  <c r="AE7" i="3" a="1"/>
  <c r="R21" i="45"/>
  <c r="AE70" i="3" a="1"/>
  <c r="R11" i="45"/>
  <c r="AE60" i="3" a="1"/>
  <c r="AE46" i="3" a="1"/>
  <c r="F45" i="45"/>
  <c r="R31" i="45"/>
  <c r="AE80" i="3" a="1"/>
  <c r="R39" i="45"/>
  <c r="AE88" i="3" a="1"/>
  <c r="F29" i="45"/>
  <c r="AE30" i="3" a="1"/>
  <c r="DT78" i="3"/>
  <c r="O29" i="45"/>
  <c r="K48" i="46"/>
  <c r="AB78" i="3" a="1"/>
  <c r="R24" i="45"/>
  <c r="AE73" i="3" a="1"/>
  <c r="AB64" i="3" a="1"/>
  <c r="O15" i="45"/>
  <c r="C44" i="45"/>
  <c r="AB45" i="3" a="1"/>
  <c r="R40" i="45"/>
  <c r="AE89" i="3" a="1"/>
  <c r="DT77" i="3"/>
  <c r="K25" i="46"/>
  <c r="O28" i="45"/>
  <c r="AB77" i="3" a="1"/>
  <c r="R45" i="45"/>
  <c r="K52" i="46"/>
  <c r="AE94" i="3" a="1"/>
  <c r="DT94" i="3"/>
  <c r="F32" i="45"/>
  <c r="AE33" i="3" a="1"/>
  <c r="O20" i="45"/>
  <c r="AB69" i="3" a="1"/>
  <c r="R14" i="45"/>
  <c r="AE63" i="3" a="1"/>
  <c r="F47" i="45"/>
  <c r="AE48" i="3" a="1"/>
  <c r="O36" i="45"/>
  <c r="DT85" i="3"/>
  <c r="AB85" i="3" a="1"/>
  <c r="K27" i="46"/>
  <c r="F23" i="45"/>
  <c r="AE24" i="3" a="1"/>
  <c r="R48" i="45"/>
  <c r="AE97" i="3" a="1"/>
  <c r="R32" i="45"/>
  <c r="AE81" i="3" a="1"/>
  <c r="R37" i="45"/>
  <c r="AE86" i="3" a="1"/>
  <c r="C39" i="45"/>
  <c r="AB40" i="3" a="1"/>
  <c r="R29" i="45"/>
  <c r="AE78" i="3" a="1"/>
  <c r="O44" i="45"/>
  <c r="AB93" i="3" a="1"/>
  <c r="C28" i="45"/>
  <c r="AB29" i="3" a="1"/>
  <c r="DT76" i="3"/>
  <c r="K24" i="46"/>
  <c r="O27" i="45"/>
  <c r="AB76" i="3" a="1"/>
  <c r="R27" i="45"/>
  <c r="AE76" i="3" a="1"/>
  <c r="F35" i="45"/>
  <c r="AE36" i="3" a="1"/>
  <c r="R28" i="45"/>
  <c r="AE77" i="3" a="1"/>
  <c r="AE93" i="3" a="1"/>
  <c r="DT93" i="3"/>
  <c r="K29" i="46"/>
  <c r="R44" i="45"/>
  <c r="O3" i="45"/>
  <c r="AB52" i="3" a="1"/>
  <c r="C43" i="45"/>
  <c r="AB44" i="3" a="1"/>
  <c r="K31" i="46"/>
  <c r="C6" i="45"/>
  <c r="DT7" i="3"/>
  <c r="AB7" i="3" a="1"/>
  <c r="K63" i="46"/>
  <c r="O6" i="45"/>
  <c r="DT55" i="3"/>
  <c r="K43" i="46"/>
  <c r="AB55" i="3" a="1"/>
  <c r="R7" i="45"/>
  <c r="AE56" i="3" a="1"/>
  <c r="K41" i="46"/>
  <c r="DT47" i="3"/>
  <c r="C46" i="45"/>
  <c r="AB47" i="3" a="1"/>
  <c r="K37" i="46"/>
  <c r="DT31" i="3"/>
  <c r="C30" i="45"/>
  <c r="AB31" i="3" a="1"/>
  <c r="AE55" i="3" a="1"/>
  <c r="R6" i="45"/>
  <c r="DT53" i="3"/>
  <c r="O4" i="45"/>
  <c r="K19" i="46"/>
  <c r="AB53" i="3" a="1"/>
  <c r="F40" i="45"/>
  <c r="AE41" i="3" a="1"/>
  <c r="AE8" i="3" a="1"/>
  <c r="F7" i="45"/>
  <c r="K54" i="46"/>
  <c r="DT8" i="3"/>
  <c r="O47" i="45"/>
  <c r="DT96" i="3"/>
  <c r="K76" i="46"/>
  <c r="AB96" i="3" a="1"/>
  <c r="R8" i="45"/>
  <c r="AE57" i="3" a="1"/>
  <c r="R4" i="45"/>
  <c r="AE53" i="3" a="1"/>
  <c r="AE61" i="3" a="1"/>
  <c r="R12" i="45"/>
  <c r="R5" i="45"/>
  <c r="AE54" i="3" a="1"/>
  <c r="C48" i="45"/>
  <c r="AB49" i="3" a="1"/>
  <c r="C37" i="45"/>
  <c r="AB38" i="3" a="1"/>
  <c r="DT4" i="3"/>
  <c r="K6" i="46"/>
  <c r="C3" i="45"/>
  <c r="AB4" i="3" a="1"/>
  <c r="F20" i="45"/>
  <c r="AE21" i="3" a="1"/>
  <c r="K11" i="46"/>
  <c r="DT21" i="3"/>
  <c r="DT95" i="3"/>
  <c r="K53" i="46"/>
  <c r="O46" i="45"/>
  <c r="AB95" i="3" a="1"/>
  <c r="K42" i="46"/>
  <c r="DT54" i="3"/>
  <c r="O5" i="45"/>
  <c r="AB54" i="3" a="1"/>
  <c r="O8" i="45"/>
  <c r="DT57" i="3"/>
  <c r="K67" i="46"/>
  <c r="AB57" i="3" a="1"/>
  <c r="DT65" i="3"/>
  <c r="O16" i="45"/>
  <c r="K69" i="46"/>
  <c r="AB65" i="3" a="1"/>
  <c r="AE45" i="3" a="1"/>
  <c r="F44" i="45"/>
  <c r="DT45" i="3"/>
  <c r="K17" i="46"/>
  <c r="K45" i="46"/>
  <c r="DT63" i="3"/>
  <c r="O14" i="45"/>
  <c r="AB63" i="3" a="1"/>
  <c r="K14" i="46"/>
  <c r="DT36" i="3"/>
  <c r="C35" i="45"/>
  <c r="AB36" i="3" a="1"/>
  <c r="R16" i="45"/>
  <c r="AE65" i="3" a="1"/>
  <c r="K75" i="46" l="1"/>
  <c r="O40" i="45"/>
  <c r="DT22" i="3"/>
  <c r="AB62" i="3" a="1"/>
  <c r="K44" i="46"/>
  <c r="K58" i="46"/>
  <c r="O13" i="45"/>
  <c r="T12" i="32"/>
  <c r="DT13" i="3"/>
  <c r="AB22" i="3" a="1"/>
  <c r="AB60" i="3" a="1"/>
  <c r="DT89" i="3"/>
  <c r="K9" i="46"/>
  <c r="L28" i="51"/>
  <c r="R10" i="32"/>
  <c r="K34" i="46"/>
  <c r="DT30" i="3"/>
  <c r="BG38" i="45"/>
  <c r="S12" i="32"/>
  <c r="R37" i="32"/>
  <c r="L8" i="51"/>
  <c r="C29" i="45"/>
  <c r="T11" i="32"/>
  <c r="X37" i="32"/>
  <c r="BG4" i="45"/>
  <c r="K36" i="46"/>
  <c r="S11" i="32"/>
  <c r="S3" i="32"/>
  <c r="S37" i="32"/>
  <c r="L42" i="51"/>
  <c r="T23" i="32"/>
  <c r="L17" i="51"/>
  <c r="L16" i="51"/>
  <c r="AB37" i="3" a="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L24" i="51"/>
  <c r="L43" i="51"/>
  <c r="AE13" i="3" a="1"/>
  <c r="AE49" i="3" a="1"/>
  <c r="DT48" i="3"/>
  <c r="X4" i="32"/>
  <c r="R35" i="45"/>
  <c r="S4" i="32"/>
  <c r="DT52" i="3"/>
  <c r="AB28" i="3" a="1"/>
  <c r="K32" i="46"/>
  <c r="DT14" i="3"/>
  <c r="L9" i="51"/>
  <c r="S13" i="32"/>
  <c r="R3" i="45"/>
  <c r="AE52" i="3" a="1"/>
  <c r="C13" i="45"/>
  <c r="BG9" i="45"/>
  <c r="BG5" i="45"/>
  <c r="T4" i="32"/>
  <c r="T19" i="32"/>
  <c r="X10" i="32"/>
  <c r="T36" i="32"/>
  <c r="AB23" i="3" a="1"/>
  <c r="F48" i="45"/>
  <c r="T10" i="32"/>
  <c r="AB89" i="3" a="1"/>
  <c r="R36" i="32"/>
  <c r="L41" i="51"/>
  <c r="DT44" i="3"/>
  <c r="BJ37" i="3"/>
  <c r="X7" i="32"/>
  <c r="K65" i="46"/>
  <c r="BJ47" i="3"/>
  <c r="K16" i="46"/>
  <c r="DT29" i="3"/>
  <c r="BK31" i="3"/>
  <c r="BJ36" i="3"/>
  <c r="F43" i="45"/>
  <c r="R31" i="32"/>
  <c r="K13" i="46"/>
  <c r="K26" i="46"/>
  <c r="AE69" i="3" a="1"/>
  <c r="R20" i="45"/>
  <c r="DT69" i="3"/>
  <c r="L18" i="51"/>
  <c r="L49" i="51"/>
  <c r="R38" i="32"/>
  <c r="O11" i="45"/>
  <c r="AE38" i="3" a="1"/>
  <c r="K20" i="46"/>
  <c r="F37" i="45"/>
  <c r="S21" i="32"/>
  <c r="K50" i="46"/>
  <c r="BG22" i="45"/>
  <c r="T44" i="32"/>
  <c r="DT38" i="3"/>
  <c r="BG39" i="45"/>
  <c r="T13" i="32"/>
  <c r="K35" i="46"/>
  <c r="X21" i="32"/>
  <c r="BG45" i="45"/>
  <c r="T38" i="32"/>
  <c r="X13" i="32"/>
  <c r="AB86" i="3" a="1"/>
  <c r="X44" i="32"/>
  <c r="S38" i="32"/>
  <c r="R13" i="32"/>
  <c r="DT86" i="3"/>
  <c r="S43" i="32"/>
  <c r="K70" i="46"/>
  <c r="O23" i="45"/>
  <c r="AB72" i="3" a="1"/>
  <c r="F31" i="45"/>
  <c r="R24" i="32"/>
  <c r="M2" i="32" s="1"/>
  <c r="R43" i="32"/>
  <c r="S20" i="32"/>
  <c r="DT84" i="3"/>
  <c r="L48" i="51"/>
  <c r="BG45" i="3"/>
  <c r="AE29" i="3" a="1"/>
  <c r="T43" i="32"/>
  <c r="BH19" i="3"/>
  <c r="BK9" i="3"/>
  <c r="F28" i="45"/>
  <c r="AB56" i="3" a="1"/>
  <c r="BG25" i="3"/>
  <c r="O7" i="45"/>
  <c r="BG44" i="45"/>
  <c r="T22" i="32"/>
  <c r="X36" i="32"/>
  <c r="DT56" i="3"/>
  <c r="BG33" i="3"/>
  <c r="BJ34" i="3"/>
  <c r="BK29" i="3"/>
  <c r="BG50" i="3"/>
  <c r="BJ38" i="3"/>
  <c r="BJ8" i="3"/>
  <c r="BH18" i="3"/>
  <c r="BI38" i="3"/>
  <c r="AB32" i="3" a="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84" i="3" a="1"/>
  <c r="AB20" i="3" a="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BK27" i="3"/>
  <c r="BI46" i="3"/>
  <c r="BK46" i="3"/>
  <c r="BK10" i="3"/>
  <c r="BK20" i="3"/>
  <c r="S42" i="32"/>
  <c r="DT46" i="3"/>
  <c r="C45" i="45"/>
  <c r="BG32" i="45"/>
  <c r="X20" i="32"/>
  <c r="S24" i="32"/>
  <c r="L36" i="51"/>
  <c r="R20" i="32"/>
  <c r="X31" i="32"/>
  <c r="T20" i="32"/>
  <c r="S31" i="32"/>
  <c r="BG21" i="45"/>
  <c r="AE40" i="3" a="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R38" i="45"/>
  <c r="BG17" i="3"/>
  <c r="BI33" i="3"/>
  <c r="BJ26" i="3"/>
  <c r="C23" i="45"/>
  <c r="DT24" i="3"/>
  <c r="BH29" i="3"/>
  <c r="BG26" i="3"/>
  <c r="BJ21" i="3"/>
  <c r="C36" i="45"/>
  <c r="R9" i="32"/>
  <c r="L47" i="51"/>
  <c r="DT28" i="3"/>
  <c r="K15" i="46"/>
  <c r="DT87" i="3"/>
  <c r="K51" i="46"/>
  <c r="DT71" i="3"/>
  <c r="AE87" i="3" a="1"/>
  <c r="DT23" i="3"/>
  <c r="AB73" i="3" a="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AF66" i="32"/>
  <c r="AG66" i="32" s="1"/>
  <c r="V66" i="32" s="1"/>
  <c r="AH10" i="32"/>
  <c r="AF5" i="32"/>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32" i="32" l="1"/>
  <c r="U3" i="32"/>
  <c r="W7"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C36" i="32" s="1"/>
  <c r="X36" i="3" s="1"/>
  <c r="H14" i="46" s="1"/>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AK99" i="3" l="1"/>
  <c r="C33" i="32"/>
  <c r="C28" i="32"/>
  <c r="C57" i="32"/>
  <c r="Y57" i="3" s="1"/>
  <c r="C48" i="32"/>
  <c r="X48" i="3" s="1"/>
  <c r="H64" i="46" s="1"/>
  <c r="C110" i="32"/>
  <c r="X110" i="3" s="1"/>
  <c r="C23" i="32"/>
  <c r="C115" i="32"/>
  <c r="X115" i="3" s="1"/>
  <c r="C124" i="32"/>
  <c r="C16" i="32"/>
  <c r="X16" i="3" s="1"/>
  <c r="H56" i="46" s="1"/>
  <c r="C70" i="32"/>
  <c r="Y70" i="3" s="1"/>
  <c r="C6" i="32"/>
  <c r="Y6" i="3" s="1"/>
  <c r="C105" i="32"/>
  <c r="X105" i="3" s="1"/>
  <c r="C134" i="32"/>
  <c r="Y134" i="3" s="1"/>
  <c r="C107" i="32"/>
  <c r="Y107" i="3" s="1"/>
  <c r="C97" i="32"/>
  <c r="Y97" i="3" s="1"/>
  <c r="C96" i="32"/>
  <c r="C126" i="32"/>
  <c r="C113" i="32"/>
  <c r="C68" i="32"/>
  <c r="X68" i="3" s="1"/>
  <c r="H22" i="46" s="1"/>
  <c r="C104" i="32"/>
  <c r="X104" i="3" s="1"/>
  <c r="C4" i="32"/>
  <c r="Y4" i="3" s="1"/>
  <c r="C15" i="32"/>
  <c r="Y15" i="3" s="1"/>
  <c r="C77" i="32"/>
  <c r="X77" i="3" s="1"/>
  <c r="H25" i="46" s="1"/>
  <c r="C147" i="32"/>
  <c r="X147" i="3" s="1"/>
  <c r="C76" i="32"/>
  <c r="C84" i="32"/>
  <c r="X84" i="3" s="1"/>
  <c r="H26" i="46" s="1"/>
  <c r="C56" i="32"/>
  <c r="C63" i="32"/>
  <c r="X63" i="3" s="1"/>
  <c r="H45" i="46" s="1"/>
  <c r="C8" i="32"/>
  <c r="Y8" i="3" s="1"/>
  <c r="C14" i="32"/>
  <c r="Y14" i="3" s="1"/>
  <c r="C102" i="32"/>
  <c r="X102" i="3" s="1"/>
  <c r="C47" i="32"/>
  <c r="X47" i="3" s="1"/>
  <c r="H41" i="46" s="1"/>
  <c r="C13" i="32"/>
  <c r="Y13" i="3" s="1"/>
  <c r="C46" i="32"/>
  <c r="Y46" i="3" s="1"/>
  <c r="C41" i="32"/>
  <c r="X41" i="3" s="1"/>
  <c r="H63" i="46" s="1"/>
  <c r="C131" i="32"/>
  <c r="Y131" i="3" s="1"/>
  <c r="C143" i="32"/>
  <c r="X143" i="3" s="1"/>
  <c r="C87" i="32"/>
  <c r="X87" i="3" s="1"/>
  <c r="H51" i="46" s="1"/>
  <c r="C106" i="32"/>
  <c r="Y106" i="3" s="1"/>
  <c r="C132" i="32"/>
  <c r="X132" i="3" s="1"/>
  <c r="C65" i="32"/>
  <c r="X65" i="3" s="1"/>
  <c r="H69" i="46" s="1"/>
  <c r="C69" i="32"/>
  <c r="Y69" i="3" s="1"/>
  <c r="C79" i="32"/>
  <c r="Y79" i="3" s="1"/>
  <c r="C9" i="32"/>
  <c r="Y9" i="3" s="1"/>
  <c r="C114" i="32"/>
  <c r="Y114" i="3" s="1"/>
  <c r="C101" i="32"/>
  <c r="X101" i="3" s="1"/>
  <c r="C116" i="32"/>
  <c r="X116" i="3" s="1"/>
  <c r="C94" i="32"/>
  <c r="X94" i="3" s="1"/>
  <c r="H52" i="46" s="1"/>
  <c r="C108" i="32"/>
  <c r="Y108" i="3" s="1"/>
  <c r="C20" i="32"/>
  <c r="X20" i="3" s="1"/>
  <c r="H10" i="46" s="1"/>
  <c r="C5" i="32"/>
  <c r="Y5" i="3" s="1"/>
  <c r="C103" i="32"/>
  <c r="X103" i="3" s="1"/>
  <c r="C62" i="32"/>
  <c r="X62" i="3" s="1"/>
  <c r="H44" i="46" s="1"/>
  <c r="C88" i="32"/>
  <c r="X88" i="3" s="1"/>
  <c r="H74" i="46" s="1"/>
  <c r="C29" i="32"/>
  <c r="X29" i="3" s="1"/>
  <c r="H13" i="46" s="1"/>
  <c r="C85" i="32"/>
  <c r="X85" i="3" s="1"/>
  <c r="H27" i="46" s="1"/>
  <c r="C72" i="32"/>
  <c r="X72" i="3" s="1"/>
  <c r="H70" i="46" s="1"/>
  <c r="C120" i="32"/>
  <c r="Y120" i="3" s="1"/>
  <c r="C125" i="32"/>
  <c r="X125" i="3" s="1"/>
  <c r="C138" i="32"/>
  <c r="Y138" i="3" s="1"/>
  <c r="C53" i="32"/>
  <c r="X53" i="3" s="1"/>
  <c r="H19" i="46" s="1"/>
  <c r="C60" i="32"/>
  <c r="X60" i="3" s="1"/>
  <c r="H20" i="46" s="1"/>
  <c r="C12" i="32"/>
  <c r="Y12" i="3" s="1"/>
  <c r="C78" i="32"/>
  <c r="X78" i="3" s="1"/>
  <c r="H48" i="46" s="1"/>
  <c r="C54" i="32"/>
  <c r="Y54" i="3" s="1"/>
  <c r="C61" i="32"/>
  <c r="Y61" i="3" s="1"/>
  <c r="C39" i="32"/>
  <c r="Y39" i="3" s="1"/>
  <c r="C40" i="32"/>
  <c r="X40" i="3" s="1"/>
  <c r="H62" i="46" s="1"/>
  <c r="C25" i="32"/>
  <c r="Y25" i="3" s="1"/>
  <c r="C52" i="32"/>
  <c r="X52" i="3" s="1"/>
  <c r="H18" i="46" s="1"/>
  <c r="C112" i="32"/>
  <c r="X112" i="3" s="1"/>
  <c r="C17" i="32"/>
  <c r="Y17" i="3" s="1"/>
  <c r="C89" i="32"/>
  <c r="Y89" i="3" s="1"/>
  <c r="C139" i="32"/>
  <c r="Y139" i="3" s="1"/>
  <c r="C93" i="32"/>
  <c r="Y93" i="3" s="1"/>
  <c r="C30" i="32"/>
  <c r="Y30" i="3" s="1"/>
  <c r="C45" i="32"/>
  <c r="Y45" i="3" s="1"/>
  <c r="C109" i="32"/>
  <c r="Y109" i="3" s="1"/>
  <c r="C31" i="32"/>
  <c r="Y31" i="3" s="1"/>
  <c r="C71" i="32"/>
  <c r="X71" i="3" s="1"/>
  <c r="H47" i="46" s="1"/>
  <c r="C38" i="32"/>
  <c r="Y38" i="3" s="1"/>
  <c r="C81" i="32"/>
  <c r="Y81" i="3" s="1"/>
  <c r="C21" i="32"/>
  <c r="X21" i="3" s="1"/>
  <c r="H11" i="46" s="1"/>
  <c r="C73" i="32"/>
  <c r="X73" i="3" s="1"/>
  <c r="H71" i="46" s="1"/>
  <c r="C49" i="32"/>
  <c r="X49" i="3" s="1"/>
  <c r="H65" i="46"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H43" i="46" s="1"/>
  <c r="C95" i="32"/>
  <c r="X95" i="3" s="1"/>
  <c r="H53" i="46" s="1"/>
  <c r="C133" i="32"/>
  <c r="C37" i="32"/>
  <c r="Y37" i="3" s="1"/>
  <c r="Y36" i="3"/>
  <c r="BR22" i="3"/>
  <c r="BR51" i="3"/>
  <c r="Y96" i="3" l="1"/>
  <c r="X96" i="3"/>
  <c r="H76" i="46" s="1"/>
  <c r="H127" i="46" s="1"/>
  <c r="X126" i="3"/>
  <c r="Y126" i="3"/>
  <c r="X113" i="3"/>
  <c r="Y113" i="3"/>
  <c r="Y33" i="3"/>
  <c r="X33" i="3"/>
  <c r="H61" i="46" s="1"/>
  <c r="Y28" i="3"/>
  <c r="X28" i="3"/>
  <c r="H12" i="46" s="1"/>
  <c r="X23" i="3"/>
  <c r="H35" i="46" s="1"/>
  <c r="Y23" i="3"/>
  <c r="Y124" i="3"/>
  <c r="X124" i="3"/>
  <c r="X76" i="3"/>
  <c r="H24" i="46" s="1"/>
  <c r="Y76" i="3"/>
  <c r="Y56" i="3"/>
  <c r="X56" i="3"/>
  <c r="H66" i="46" s="1"/>
  <c r="Y77" i="3"/>
  <c r="Y105" i="3"/>
  <c r="Y84" i="3"/>
  <c r="Y102" i="3"/>
  <c r="Y115" i="3"/>
  <c r="Y48" i="3"/>
  <c r="X134" i="3"/>
  <c r="E42" i="30"/>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X44" i="3"/>
  <c r="H16" i="46" s="1"/>
  <c r="X80" i="3"/>
  <c r="X92" i="3"/>
  <c r="H28" i="46" s="1"/>
  <c r="X86" i="3"/>
  <c r="H50" i="46" s="1"/>
  <c r="Y121" i="3"/>
  <c r="X121" i="3"/>
  <c r="X133" i="3"/>
  <c r="Y133" i="3"/>
  <c r="Y55" i="3"/>
  <c r="Y95" i="3"/>
  <c r="X111" i="3"/>
  <c r="X22" i="3"/>
  <c r="H34" i="46" s="1"/>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20" i="30" l="1"/>
  <c r="H72" i="46"/>
  <c r="H119" i="46" s="1"/>
  <c r="H60" i="46"/>
  <c r="H58" i="46"/>
  <c r="G19" i="30"/>
  <c r="E45" i="51"/>
  <c r="H124" i="46"/>
  <c r="H125"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H93" i="46" l="1"/>
  <c r="H92" i="46"/>
  <c r="H90" i="46"/>
  <c r="H88" i="46"/>
  <c r="H117" i="46"/>
  <c r="Q2" i="6" a="1"/>
  <c r="G6" i="46" s="1"/>
  <c r="H91" i="46"/>
  <c r="H89" i="46"/>
  <c r="H94" i="46"/>
  <c r="H118" i="46"/>
  <c r="H95" i="46"/>
  <c r="H116" i="46"/>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BV43" i="3" s="1"/>
  <c r="F78" i="3"/>
  <c r="E77" i="3"/>
  <c r="F45" i="3"/>
  <c r="E47" i="3"/>
  <c r="E49" i="3"/>
  <c r="E20" i="3"/>
  <c r="E23" i="3"/>
  <c r="F24" i="3"/>
  <c r="E15" i="3"/>
  <c r="F16" i="3"/>
  <c r="E12" i="3"/>
  <c r="E89" i="3"/>
  <c r="F87" i="3"/>
  <c r="F84" i="3"/>
  <c r="F92" i="3"/>
  <c r="F95" i="3"/>
  <c r="E97" i="3"/>
  <c r="F56" i="3"/>
  <c r="F54" i="3"/>
  <c r="E53" i="3"/>
  <c r="E60" i="3"/>
  <c r="E62" i="3"/>
  <c r="F65" i="3"/>
  <c r="F38" i="3"/>
  <c r="E37" i="3"/>
  <c r="F40" i="3"/>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F79" i="3"/>
  <c r="E80" i="3"/>
  <c r="F76" i="3"/>
  <c r="BV42" i="3"/>
  <c r="E76" i="3"/>
  <c r="F81" i="3"/>
  <c r="E78" i="3"/>
  <c r="E85" i="3"/>
  <c r="F89" i="3"/>
  <c r="F86" i="3"/>
  <c r="BV31" i="3" l="1"/>
  <c r="Q3" i="6" a="1"/>
  <c r="G7" i="46" s="1"/>
  <c r="BU39" i="3"/>
  <c r="BW44" i="3"/>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X23" i="3" s="1"/>
  <c r="BU46" i="3"/>
  <c r="BV22" i="3"/>
  <c r="BV38" i="3"/>
  <c r="BV40" i="3"/>
  <c r="BV41" i="3"/>
  <c r="BV39" i="3"/>
  <c r="BX39" i="3" s="1"/>
  <c r="BX31" i="3" l="1"/>
  <c r="G8" i="46"/>
  <c r="Q4" i="6" a="1"/>
  <c r="G9" i="46" s="1"/>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BX33" i="3"/>
  <c r="BX17" i="3"/>
  <c r="BX34" i="3"/>
  <c r="BX49" i="3"/>
  <c r="BX16" i="3"/>
  <c r="BX6" i="3"/>
  <c r="BX18" i="3"/>
  <c r="BX12" i="3"/>
  <c r="BX29" i="3"/>
  <c r="BX10" i="3"/>
  <c r="Q5" i="6" l="1" a="1"/>
  <c r="G14" i="46" s="1"/>
  <c r="G12" i="46"/>
  <c r="BY52" i="3"/>
  <c r="BY37" i="3"/>
  <c r="BY48" i="3"/>
  <c r="BY19" i="3"/>
  <c r="BY21" i="3"/>
  <c r="BY32" i="3"/>
  <c r="BY34" i="3"/>
  <c r="BY26" i="3"/>
  <c r="BY25" i="3"/>
  <c r="BY16" i="3"/>
  <c r="BY36" i="3"/>
  <c r="BY17" i="3"/>
  <c r="BY40" i="3"/>
  <c r="BY46" i="3"/>
  <c r="BY28" i="3"/>
  <c r="BY43" i="3"/>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G11" i="46" l="1"/>
  <c r="G10" i="46"/>
  <c r="G13" i="46"/>
  <c r="Q6" i="6" a="1"/>
  <c r="BZ34" i="3"/>
  <c r="H60" i="3" s="1"/>
  <c r="BZ42" i="3"/>
  <c r="H76" i="3" s="1"/>
  <c r="BZ49" i="3"/>
  <c r="H87" i="3" s="1"/>
  <c r="BZ51" i="3"/>
  <c r="H97" i="3" s="1"/>
  <c r="G16" i="46"/>
  <c r="BZ30" i="3"/>
  <c r="I57" i="3" s="1"/>
  <c r="BZ11" i="3"/>
  <c r="I12" i="3" s="1"/>
  <c r="BZ21" i="3"/>
  <c r="H31" i="3" s="1"/>
  <c r="BZ16" i="3"/>
  <c r="I25" i="3" s="1"/>
  <c r="BZ37" i="3"/>
  <c r="H65" i="3" s="1"/>
  <c r="BZ35" i="3"/>
  <c r="H64" i="3" s="1"/>
  <c r="BZ33" i="3"/>
  <c r="H55" i="3" s="1"/>
  <c r="BZ19" i="3"/>
  <c r="I31" i="3" s="1"/>
  <c r="BZ24" i="3"/>
  <c r="H37" i="3" s="1"/>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G15" i="46" l="1"/>
  <c r="G17" i="46"/>
  <c r="G20" i="46"/>
  <c r="Q7" i="6" a="1"/>
  <c r="G19" i="46" s="1"/>
  <c r="G18" i="46"/>
  <c r="I23" i="3"/>
  <c r="I87" i="3"/>
  <c r="H62" i="3"/>
  <c r="I84" i="3"/>
  <c r="I65" i="3"/>
  <c r="H88" i="3"/>
  <c r="I85" i="3"/>
  <c r="CB48" i="3" s="1"/>
  <c r="H63" i="3"/>
  <c r="I61" i="3"/>
  <c r="H49" i="3"/>
  <c r="H47" i="3"/>
  <c r="I81" i="3"/>
  <c r="H78" i="3"/>
  <c r="H21" i="3"/>
  <c r="I33" i="3"/>
  <c r="I14" i="3"/>
  <c r="CB13" i="3" s="1"/>
  <c r="I88" i="3"/>
  <c r="H94" i="3"/>
  <c r="I60" i="3"/>
  <c r="H86" i="3"/>
  <c r="H32" i="3"/>
  <c r="I77" i="3"/>
  <c r="H45" i="3"/>
  <c r="I17" i="3"/>
  <c r="H24" i="3"/>
  <c r="I29" i="3"/>
  <c r="H22" i="3"/>
  <c r="H46" i="3"/>
  <c r="H77" i="3"/>
  <c r="H15" i="3"/>
  <c r="I4" i="3"/>
  <c r="CA6" i="3" s="1"/>
  <c r="I15" i="3"/>
  <c r="CA46" i="3" s="1"/>
  <c r="I95" i="3"/>
  <c r="I92" i="3"/>
  <c r="I62" i="3"/>
  <c r="CA34" i="3" s="1"/>
  <c r="I64" i="3"/>
  <c r="I63" i="3"/>
  <c r="I52" i="3"/>
  <c r="H57" i="3"/>
  <c r="I53" i="3"/>
  <c r="H38" i="3"/>
  <c r="I32" i="3"/>
  <c r="H56" i="3"/>
  <c r="I22" i="3"/>
  <c r="I41" i="3"/>
  <c r="I78" i="3"/>
  <c r="H40" i="3"/>
  <c r="I39" i="3"/>
  <c r="H33" i="3"/>
  <c r="H12" i="3"/>
  <c r="H70" i="3"/>
  <c r="H79" i="3"/>
  <c r="I24" i="3"/>
  <c r="H20" i="3"/>
  <c r="I56" i="3"/>
  <c r="H28" i="3"/>
  <c r="I93" i="3"/>
  <c r="CA52" i="3" s="1"/>
  <c r="H52" i="3"/>
  <c r="I28" i="3"/>
  <c r="H54" i="3"/>
  <c r="I40" i="3"/>
  <c r="CB23" i="3" s="1"/>
  <c r="I71" i="3"/>
  <c r="I76" i="3"/>
  <c r="CB42" i="3" s="1"/>
  <c r="H96" i="3"/>
  <c r="CA50" i="3" s="1"/>
  <c r="I68" i="3"/>
  <c r="H80" i="3"/>
  <c r="H5" i="3"/>
  <c r="I49" i="3"/>
  <c r="H85" i="3"/>
  <c r="CB49" i="3" s="1"/>
  <c r="I70" i="3"/>
  <c r="I8" i="3"/>
  <c r="I46" i="3"/>
  <c r="CB26" i="3" s="1"/>
  <c r="I37" i="3"/>
  <c r="I86" i="3"/>
  <c r="CB46" i="3" s="1"/>
  <c r="H69" i="3"/>
  <c r="H7" i="3"/>
  <c r="H41" i="3"/>
  <c r="I9" i="3"/>
  <c r="H71" i="3"/>
  <c r="I13" i="3"/>
  <c r="CB12" i="3" s="1"/>
  <c r="I38" i="3"/>
  <c r="I47" i="3"/>
  <c r="H14" i="3"/>
  <c r="H53" i="3"/>
  <c r="CB33" i="3" s="1"/>
  <c r="H48" i="3"/>
  <c r="H17" i="3"/>
  <c r="I97" i="3"/>
  <c r="CB51" i="3" s="1"/>
  <c r="H68" i="3"/>
  <c r="I20" i="3"/>
  <c r="I96" i="3"/>
  <c r="H29" i="3"/>
  <c r="H93" i="3"/>
  <c r="H6" i="3"/>
  <c r="H9" i="3"/>
  <c r="CA12" i="3" s="1"/>
  <c r="I5" i="3"/>
  <c r="I69" i="3"/>
  <c r="CA16" i="3"/>
  <c r="CB16" i="3"/>
  <c r="CA53" i="3"/>
  <c r="CB53" i="3"/>
  <c r="CA47" i="3"/>
  <c r="CA18" i="3"/>
  <c r="CB47" i="3"/>
  <c r="CB18" i="3"/>
  <c r="CA45" i="3"/>
  <c r="CB45" i="3"/>
  <c r="CB27" i="3"/>
  <c r="CA27" i="3"/>
  <c r="CB20" i="3" l="1"/>
  <c r="CA31" i="3"/>
  <c r="CA43" i="3"/>
  <c r="CB43" i="3"/>
  <c r="CB44" i="3"/>
  <c r="CA44" i="3"/>
  <c r="CB37" i="3"/>
  <c r="CA36" i="3"/>
  <c r="CB36" i="3"/>
  <c r="CA20" i="3"/>
  <c r="CA19" i="3"/>
  <c r="CA11" i="3"/>
  <c r="Q8" i="6" a="1"/>
  <c r="Q9" i="6" s="1" a="1"/>
  <c r="Q10" i="6" s="1" a="1"/>
  <c r="Q11" i="6" s="1" a="1"/>
  <c r="Q12" i="6" s="1" a="1"/>
  <c r="CA42" i="3"/>
  <c r="CC42" i="3" s="1"/>
  <c r="CB31" i="3"/>
  <c r="CB9" i="3"/>
  <c r="CA14" i="3"/>
  <c r="CB14" i="3"/>
  <c r="CA15" i="3"/>
  <c r="CB17" i="3"/>
  <c r="CB15" i="3"/>
  <c r="CA17" i="3"/>
  <c r="CB6" i="3"/>
  <c r="CC6" i="3" s="1"/>
  <c r="CB39" i="3"/>
  <c r="CC46" i="3"/>
  <c r="CB50" i="3"/>
  <c r="CC50" i="3" s="1"/>
  <c r="CA48" i="3"/>
  <c r="CC48" i="3" s="1"/>
  <c r="CA49" i="3"/>
  <c r="CC49" i="3" s="1"/>
  <c r="CB35" i="3"/>
  <c r="CA30" i="3"/>
  <c r="CC12" i="3"/>
  <c r="CB11" i="3"/>
  <c r="CA13" i="3"/>
  <c r="CC13" i="3" s="1"/>
  <c r="CB10" i="3"/>
  <c r="CA10" i="3"/>
  <c r="CA9"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B38" i="3"/>
  <c r="CA24" i="3"/>
  <c r="CA26" i="3"/>
  <c r="CC26" i="3" s="1"/>
  <c r="CA25" i="3"/>
  <c r="CB19" i="3"/>
  <c r="CB25" i="3"/>
  <c r="CA23" i="3"/>
  <c r="CC23" i="3" s="1"/>
  <c r="CA38" i="3"/>
  <c r="CA41" i="3"/>
  <c r="CA22" i="3"/>
  <c r="CA39" i="3"/>
  <c r="CB41" i="3"/>
  <c r="CB40" i="3"/>
  <c r="CC18" i="3"/>
  <c r="CC16" i="3"/>
  <c r="CC47" i="3"/>
  <c r="CC53" i="3"/>
  <c r="CC45" i="3"/>
  <c r="CC27" i="3"/>
  <c r="CC20" i="3" l="1"/>
  <c r="CC31" i="3"/>
  <c r="CC43" i="3"/>
  <c r="CC44" i="3"/>
  <c r="CC37" i="3"/>
  <c r="CC36" i="3"/>
  <c r="CC19" i="3"/>
  <c r="CC11" i="3"/>
  <c r="CC9" i="3"/>
  <c r="CC14" i="3"/>
  <c r="CC15" i="3"/>
  <c r="CC17" i="3"/>
  <c r="CC39" i="3"/>
  <c r="CC30" i="3"/>
  <c r="CC35" i="3"/>
  <c r="CC10" i="3"/>
  <c r="CC21" i="3"/>
  <c r="CC8" i="3"/>
  <c r="CC40" i="3"/>
  <c r="CC24" i="3"/>
  <c r="CC7" i="3"/>
  <c r="CC29" i="3"/>
  <c r="CC28" i="3"/>
  <c r="CC22" i="3"/>
  <c r="CC32" i="3"/>
  <c r="CC41" i="3"/>
  <c r="CC38" i="3"/>
  <c r="CC25" i="3"/>
  <c r="Q13" i="6" a="1"/>
  <c r="Q14" i="6" s="1" a="1"/>
  <c r="Q15" i="6" s="1" a="1"/>
  <c r="Q16" i="6" s="1" a="1"/>
  <c r="Q17" i="6" s="1" a="1"/>
  <c r="Q18" i="6" s="1" a="1"/>
  <c r="Q19" i="6" s="1" a="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50" i="6" a="1"/>
  <c r="Q40" i="6" a="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58" i="6" a="1"/>
  <c r="Q45" i="6" a="1"/>
  <c r="Q60" i="6" a="1"/>
  <c r="Q64" i="6" a="1"/>
  <c r="Q48" i="6" a="1"/>
  <c r="Q42" i="6" a="1"/>
  <c r="Q52" i="6" a="1"/>
  <c r="Q62" i="6" a="1"/>
  <c r="Q41" i="6" a="1"/>
  <c r="Q61" i="6" a="1"/>
  <c r="Q49" i="6" a="1"/>
  <c r="Q53" i="6" a="1"/>
  <c r="Q55" i="6" a="1"/>
  <c r="Q57" i="6" a="1"/>
  <c r="Q59" i="6" a="1"/>
  <c r="Q56" i="6" a="1"/>
  <c r="Q44" i="6" a="1"/>
  <c r="Q54" i="6" a="1"/>
  <c r="Q51" i="6" a="1"/>
  <c r="Q46" i="6" a="1"/>
  <c r="Q43" i="6" a="1"/>
  <c r="R40" i="6" l="1" a="1"/>
  <c r="D21" i="48" a="1"/>
  <c r="D25" i="48" a="1"/>
  <c r="D29" i="48" a="1"/>
  <c r="D33" i="48" a="1"/>
  <c r="D22" i="48" a="1"/>
  <c r="D26" i="48" a="1"/>
  <c r="D30" i="48" a="1"/>
  <c r="D34" i="48" a="1"/>
  <c r="D23" i="48" a="1"/>
  <c r="D27" i="48" a="1"/>
  <c r="D31" i="48" a="1"/>
  <c r="D35" i="48" a="1"/>
  <c r="D20" i="48" a="1"/>
  <c r="D24" i="48" a="1"/>
  <c r="D28" i="48" a="1"/>
  <c r="D32" i="48" a="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8" i="50" a="1"/>
  <c r="A26" i="50" a="1"/>
  <c r="B32" i="51"/>
  <c r="B22" i="51"/>
  <c r="A27" i="48" a="1"/>
  <c r="A34" i="48" a="1"/>
  <c r="B33" i="51"/>
  <c r="A20" i="50" a="1"/>
  <c r="B31" i="51"/>
  <c r="B44" i="51"/>
  <c r="A28" i="48" a="1"/>
  <c r="A32" i="50" a="1"/>
  <c r="B35" i="51"/>
  <c r="B25" i="51"/>
  <c r="A29" i="48" a="1"/>
  <c r="B43" i="51"/>
  <c r="B23" i="51"/>
  <c r="B2" i="48" a="1"/>
  <c r="A22" i="50" a="1"/>
  <c r="A31" i="50" a="1"/>
  <c r="B27" i="51"/>
  <c r="A24" i="48" a="1"/>
  <c r="B39" i="51"/>
  <c r="A25" i="50" a="1"/>
  <c r="B36" i="51"/>
  <c r="B40" i="51"/>
  <c r="B37" i="51"/>
  <c r="A27" i="50" a="1"/>
  <c r="A33" i="48" a="1"/>
  <c r="A34" i="50" a="1"/>
  <c r="A24" i="50" a="1"/>
  <c r="A20" i="48" a="1"/>
  <c r="A22" i="48" a="1"/>
  <c r="A33" i="50" a="1"/>
  <c r="A23" i="48" a="1"/>
  <c r="A30" i="48" a="1"/>
  <c r="A31" i="48" a="1"/>
  <c r="A25" i="48" a="1"/>
  <c r="A21" i="48" a="1"/>
  <c r="A26" i="48" a="1"/>
  <c r="A35" i="50" a="1"/>
  <c r="A29" i="50" a="1"/>
  <c r="A35" i="48" a="1"/>
  <c r="A23" i="50" a="1"/>
  <c r="A32" i="48" a="1"/>
  <c r="A30" i="50" a="1"/>
  <c r="B24" i="51"/>
  <c r="B38" i="51"/>
  <c r="B45" i="51"/>
  <c r="B28" i="51"/>
  <c r="B34" i="51"/>
  <c r="B30" i="51"/>
  <c r="B29" i="51"/>
  <c r="B41" i="51"/>
  <c r="B42" i="51"/>
  <c r="B26" i="51"/>
  <c r="E8" i="51"/>
  <c r="K96" i="3" l="1"/>
  <c r="K60" i="3"/>
  <c r="K41" i="3"/>
  <c r="K39" i="3"/>
  <c r="K62" i="3"/>
  <c r="K89" i="3"/>
  <c r="K95" i="3"/>
  <c r="L84" i="3"/>
  <c r="K78" i="3"/>
  <c r="K76" i="3"/>
  <c r="L95" i="3"/>
  <c r="L92" i="3"/>
  <c r="K29" i="3"/>
  <c r="K94" i="3"/>
  <c r="CF52" i="3" s="1"/>
  <c r="L80" i="3"/>
  <c r="L78" i="3"/>
  <c r="CF42" i="3" s="1"/>
  <c r="L24" i="3"/>
  <c r="K80" i="3"/>
  <c r="L76" i="3"/>
  <c r="L88" i="3"/>
  <c r="K20" i="3"/>
  <c r="L40" i="3"/>
  <c r="CF23" i="3" s="1"/>
  <c r="K37" i="3"/>
  <c r="K48" i="3"/>
  <c r="CF28" i="3" s="1"/>
  <c r="L96" i="3"/>
  <c r="L30" i="3"/>
  <c r="K57" i="3"/>
  <c r="K5" i="3"/>
  <c r="K12" i="3"/>
  <c r="L16" i="3"/>
  <c r="CF13" i="3" s="1"/>
  <c r="K86" i="3"/>
  <c r="L17" i="3"/>
  <c r="L94" i="3"/>
  <c r="K93" i="3"/>
  <c r="K54" i="3"/>
  <c r="L57" i="3"/>
  <c r="K71" i="3"/>
  <c r="K72" i="3"/>
  <c r="L12" i="3"/>
  <c r="L49" i="3"/>
  <c r="K55" i="3"/>
  <c r="K81" i="3"/>
  <c r="K17" i="3"/>
  <c r="K85" i="3"/>
  <c r="L7" i="3"/>
  <c r="L77" i="3"/>
  <c r="L15" i="3"/>
  <c r="K47" i="3"/>
  <c r="CF27" i="3" s="1"/>
  <c r="L86" i="3"/>
  <c r="K65" i="3"/>
  <c r="K63" i="3"/>
  <c r="L45" i="3"/>
  <c r="K22" i="3"/>
  <c r="L60" i="3"/>
  <c r="CF34" i="3" s="1"/>
  <c r="K46" i="3"/>
  <c r="L23" i="3"/>
  <c r="L25" i="3"/>
  <c r="K24" i="3"/>
  <c r="L46" i="3"/>
  <c r="L48" i="3"/>
  <c r="K38" i="3"/>
  <c r="K69" i="3"/>
  <c r="L41" i="3"/>
  <c r="L70" i="3"/>
  <c r="CF38" i="3" s="1"/>
  <c r="K68" i="3"/>
  <c r="K56" i="3"/>
  <c r="L20" i="3"/>
  <c r="L32" i="3"/>
  <c r="L22" i="3"/>
  <c r="CF17" i="3" s="1"/>
  <c r="K8" i="3"/>
  <c r="CF6" i="3" s="1"/>
  <c r="K28" i="3"/>
  <c r="CF19" i="3" s="1"/>
  <c r="L28" i="3"/>
  <c r="CF18" i="3" s="1"/>
  <c r="L55" i="3"/>
  <c r="K33" i="3"/>
  <c r="K32" i="3"/>
  <c r="L72" i="3"/>
  <c r="K6" i="3"/>
  <c r="CF7" i="3" s="1"/>
  <c r="L13" i="3"/>
  <c r="CF12" i="3" s="1"/>
  <c r="K40" i="3"/>
  <c r="CF24" i="3" s="1"/>
  <c r="L8" i="3"/>
  <c r="K16" i="3"/>
  <c r="K7" i="3"/>
  <c r="K64" i="3"/>
  <c r="CF36" i="3" s="1"/>
  <c r="L39" i="3"/>
  <c r="L29" i="3"/>
  <c r="L71" i="3"/>
  <c r="K73" i="3"/>
  <c r="CF40" i="3" s="1"/>
  <c r="L6" i="3"/>
  <c r="K53" i="3"/>
  <c r="L4" i="3"/>
  <c r="L64" i="3"/>
  <c r="CF35" i="3" s="1"/>
  <c r="L54" i="3"/>
  <c r="K88" i="3"/>
  <c r="K87" i="3"/>
  <c r="CF47" i="3" s="1"/>
  <c r="K61" i="3"/>
  <c r="CF37" i="3" s="1"/>
  <c r="L47" i="3"/>
  <c r="CF29" i="3" s="1"/>
  <c r="CF49" i="3"/>
  <c r="CF33" i="3"/>
  <c r="CF45" i="3"/>
  <c r="CF50" i="3"/>
  <c r="CF16" i="3"/>
  <c r="CF32" i="3"/>
  <c r="CF46" i="3"/>
  <c r="CF53" i="3"/>
  <c r="CF21" i="3"/>
  <c r="E9" i="51"/>
  <c r="CF22" i="3"/>
  <c r="CF51" i="3"/>
  <c r="CF8" i="3"/>
  <c r="CF26" i="3"/>
  <c r="CF25" i="3"/>
  <c r="B46" i="51"/>
  <c r="B47" i="51" s="1"/>
  <c r="E10" i="51"/>
  <c r="E12" i="51"/>
  <c r="E11" i="51"/>
  <c r="CF43" i="3" l="1"/>
  <c r="CF44" i="3"/>
  <c r="CF30" i="3"/>
  <c r="CF31" i="3"/>
  <c r="CF20" i="3"/>
  <c r="CF11" i="3"/>
  <c r="CF14"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O86" i="3" s="1"/>
  <c r="CH37" i="3"/>
  <c r="N63" i="3" s="1"/>
  <c r="CH36" i="3"/>
  <c r="N61" i="3" s="1"/>
  <c r="CH46" i="3"/>
  <c r="N86" i="3" s="1"/>
  <c r="CH34" i="3"/>
  <c r="O65" i="3" s="1"/>
  <c r="CH30" i="3"/>
  <c r="N54" i="3" s="1"/>
  <c r="CH9" i="3"/>
  <c r="N6" i="3" s="1"/>
  <c r="CH13" i="3"/>
  <c r="N14" i="3" s="1"/>
  <c r="CH28" i="3"/>
  <c r="CH41" i="3"/>
  <c r="CH12" i="3"/>
  <c r="O17" i="3" s="1"/>
  <c r="CH53" i="3"/>
  <c r="N95" i="3" s="1"/>
  <c r="CH22" i="3"/>
  <c r="N38" i="3" s="1"/>
  <c r="CH25" i="3"/>
  <c r="N41" i="3" s="1"/>
  <c r="CH40" i="3"/>
  <c r="O73" i="3" s="1"/>
  <c r="CH18" i="3"/>
  <c r="N28" i="3" s="1"/>
  <c r="CH16" i="3"/>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N21" i="3" l="1"/>
  <c r="O25" i="3"/>
  <c r="N85" i="3"/>
  <c r="O89" i="3"/>
  <c r="N72" i="3"/>
  <c r="N71" i="3"/>
  <c r="O46" i="3"/>
  <c r="O48" i="3"/>
  <c r="N45" i="3"/>
  <c r="O88" i="3"/>
  <c r="O93" i="3"/>
  <c r="O78" i="3"/>
  <c r="O53" i="3"/>
  <c r="N96" i="3"/>
  <c r="O80" i="3"/>
  <c r="CJ43" i="3" s="1"/>
  <c r="N47" i="3"/>
  <c r="O22" i="3"/>
  <c r="CJ17" i="3" s="1"/>
  <c r="N84" i="3"/>
  <c r="O97" i="3"/>
  <c r="O16" i="3"/>
  <c r="N15" i="3"/>
  <c r="O15" i="3"/>
  <c r="CI10" i="3" s="1"/>
  <c r="O61" i="3"/>
  <c r="CJ37" i="3"/>
  <c r="N13" i="3"/>
  <c r="N65" i="3"/>
  <c r="O69" i="3"/>
  <c r="O62" i="3"/>
  <c r="N55" i="3"/>
  <c r="CI31" i="3" s="1"/>
  <c r="O20" i="3"/>
  <c r="O64" i="3"/>
  <c r="N5" i="3"/>
  <c r="O14" i="3"/>
  <c r="CJ13" i="3" s="1"/>
  <c r="N93" i="3"/>
  <c r="N33" i="3"/>
  <c r="CJ20" i="3" s="1"/>
  <c r="N52" i="3"/>
  <c r="O57" i="3"/>
  <c r="N17" i="3"/>
  <c r="O31" i="3"/>
  <c r="O84" i="3"/>
  <c r="O45" i="3"/>
  <c r="N9" i="3"/>
  <c r="O52" i="3"/>
  <c r="N80" i="3"/>
  <c r="CJ44" i="3" s="1"/>
  <c r="O55" i="3"/>
  <c r="O81" i="3"/>
  <c r="N76" i="3"/>
  <c r="CK43" i="3" s="1"/>
  <c r="O29" i="3"/>
  <c r="CI20" i="3" s="1"/>
  <c r="O71" i="3"/>
  <c r="N69" i="3"/>
  <c r="O37" i="3"/>
  <c r="O60" i="3"/>
  <c r="O47" i="3"/>
  <c r="N8" i="3"/>
  <c r="N31" i="3"/>
  <c r="CI19" i="3" s="1"/>
  <c r="N48" i="3"/>
  <c r="O54" i="3"/>
  <c r="N16" i="3"/>
  <c r="CK10" i="3" s="1"/>
  <c r="O56" i="3"/>
  <c r="CJ31" i="3" s="1"/>
  <c r="O38" i="3"/>
  <c r="N73" i="3"/>
  <c r="N24" i="3"/>
  <c r="N64" i="3"/>
  <c r="O5" i="3"/>
  <c r="O70" i="3"/>
  <c r="CJ38" i="3" s="1"/>
  <c r="N39" i="3"/>
  <c r="O40" i="3"/>
  <c r="O13" i="3"/>
  <c r="N22" i="3"/>
  <c r="N89" i="3"/>
  <c r="O4" i="3"/>
  <c r="N62" i="3"/>
  <c r="CK36" i="3" s="1"/>
  <c r="O92" i="3"/>
  <c r="N60" i="3"/>
  <c r="O41" i="3"/>
  <c r="N36" i="3"/>
  <c r="N4" i="3"/>
  <c r="N92" i="3"/>
  <c r="O76" i="3"/>
  <c r="N79" i="3"/>
  <c r="CI43" i="3" s="1"/>
  <c r="N81" i="3"/>
  <c r="N46" i="3"/>
  <c r="N68" i="3"/>
  <c r="O49" i="3"/>
  <c r="O32" i="3"/>
  <c r="N23" i="3"/>
  <c r="N70" i="3"/>
  <c r="N20" i="3"/>
  <c r="N30" i="3"/>
  <c r="CK20" i="3" s="1"/>
  <c r="O39" i="3"/>
  <c r="N29" i="3"/>
  <c r="N40" i="3"/>
  <c r="O8" i="3"/>
  <c r="CK27" i="3" s="1"/>
  <c r="O33" i="3"/>
  <c r="CJ19" i="3" s="1"/>
  <c r="N94" i="3"/>
  <c r="O9" i="3"/>
  <c r="CJ7" i="3" s="1"/>
  <c r="O23" i="3"/>
  <c r="O95" i="3"/>
  <c r="N87" i="3"/>
  <c r="N88" i="3"/>
  <c r="CJ28" i="3"/>
  <c r="CJ51" i="3"/>
  <c r="CI12" i="3"/>
  <c r="CK35" i="3"/>
  <c r="CK45" i="3"/>
  <c r="CJ45" i="3"/>
  <c r="CJ42" i="3"/>
  <c r="CK6" i="3"/>
  <c r="CK33" i="3"/>
  <c r="CJ52" i="3"/>
  <c r="CJ32" i="3"/>
  <c r="CJ53" i="3"/>
  <c r="CI41" i="3"/>
  <c r="CK48" i="3"/>
  <c r="CJ29" i="3"/>
  <c r="CK50" i="3"/>
  <c r="CI33" i="3"/>
  <c r="CK37" i="3"/>
  <c r="CK44" i="3"/>
  <c r="CK28" i="3"/>
  <c r="CK51" i="3"/>
  <c r="CJ10" i="3"/>
  <c r="CJ21" i="3"/>
  <c r="CJ49" i="3"/>
  <c r="CI32" i="3"/>
  <c r="CI24" i="3"/>
  <c r="CI47" i="3"/>
  <c r="CK18" i="3"/>
  <c r="CI49" i="3"/>
  <c r="CI17" i="3"/>
  <c r="CK53" i="3"/>
  <c r="CJ11" i="3"/>
  <c r="CK13" i="3"/>
  <c r="CI8" i="3"/>
  <c r="CI35" i="3"/>
  <c r="CI18" i="3"/>
  <c r="CK23" i="3"/>
  <c r="CK19" i="3"/>
  <c r="CI46" i="3"/>
  <c r="CK24" i="3"/>
  <c r="CI26" i="3"/>
  <c r="CK42" i="3"/>
  <c r="CI25" i="3"/>
  <c r="CK40" i="3"/>
  <c r="CI40" i="3"/>
  <c r="CJ12" i="3"/>
  <c r="CK41" i="3"/>
  <c r="CI27" i="3"/>
  <c r="CK26" i="3"/>
  <c r="CI23" i="3"/>
  <c r="CI16" i="3"/>
  <c r="CI51" i="3"/>
  <c r="CI38" i="3"/>
  <c r="CI45" i="3"/>
  <c r="CK31" i="3"/>
  <c r="CK22" i="3"/>
  <c r="CJ33" i="3"/>
  <c r="CI22" i="3"/>
  <c r="CI11" i="3"/>
  <c r="CI7" i="3"/>
  <c r="CK52" i="3"/>
  <c r="CK25" i="3"/>
  <c r="CI44" i="3"/>
  <c r="CK47" i="3"/>
  <c r="CI53" i="3"/>
  <c r="CK46" i="3"/>
  <c r="CJ46" i="3"/>
  <c r="CK49" i="3"/>
  <c r="CI9" i="3"/>
  <c r="CK38" i="3"/>
  <c r="CK17" i="3"/>
  <c r="CK8" i="3"/>
  <c r="CI29" i="3"/>
  <c r="CJ9" i="3"/>
  <c r="CJ50" i="3"/>
  <c r="CJ47" i="3"/>
  <c r="CK16" i="3"/>
  <c r="CJ18" i="3"/>
  <c r="CI36" i="3"/>
  <c r="CI21"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L32" i="3"/>
  <c r="CJ8" i="3"/>
  <c r="CJ39" i="3"/>
  <c r="CJ23" i="3"/>
  <c r="CJ25" i="3"/>
  <c r="CJ34" i="3"/>
  <c r="CJ27" i="3"/>
  <c r="CJ26" i="3"/>
  <c r="CJ41" i="3"/>
  <c r="CI15" i="3" l="1"/>
  <c r="CK30" i="3"/>
  <c r="CJ30" i="3"/>
  <c r="CL30" i="3" s="1"/>
  <c r="CJ36" i="3"/>
  <c r="CL36" i="3" s="1"/>
  <c r="CK15" i="3"/>
  <c r="CJ15" i="3"/>
  <c r="CI14" i="3"/>
  <c r="CL42" i="3"/>
  <c r="CL41" i="3"/>
  <c r="CL53" i="3"/>
  <c r="CJ14" i="3"/>
  <c r="CL28" i="3"/>
  <c r="CL13" i="3"/>
  <c r="CL11" i="3"/>
  <c r="CL35" i="3"/>
  <c r="CL19" i="3"/>
  <c r="CJ40" i="3"/>
  <c r="CL40" i="3" s="1"/>
  <c r="CL9" i="3"/>
  <c r="CL50" i="3"/>
  <c r="CL48" i="3"/>
  <c r="CL49" i="3"/>
  <c r="CL37" i="3"/>
  <c r="CL29" i="3"/>
  <c r="CL23" i="3"/>
  <c r="CL25" i="3"/>
  <c r="CL12" i="3"/>
  <c r="CL10" i="3"/>
  <c r="CL6" i="3"/>
  <c r="CL8" i="3"/>
  <c r="CL24" i="3"/>
  <c r="CL45" i="3"/>
  <c r="CL43" i="3"/>
  <c r="CL38" i="3"/>
  <c r="CL22" i="3"/>
  <c r="CL7" i="3"/>
  <c r="CL27" i="3"/>
  <c r="CL26" i="3"/>
  <c r="CL52" i="3"/>
  <c r="CL51" i="3"/>
  <c r="CL34" i="3"/>
  <c r="CL39" i="3"/>
  <c r="CL46" i="3"/>
  <c r="CL31" i="3"/>
  <c r="CL33" i="3"/>
  <c r="CL16" i="3"/>
  <c r="CL17" i="3"/>
  <c r="CL44" i="3"/>
  <c r="CL18" i="3"/>
  <c r="CL21" i="3"/>
  <c r="CL20" i="3"/>
  <c r="CL47" i="3"/>
  <c r="CL15" i="3" l="1"/>
  <c r="CL14" i="3"/>
  <c r="CM36" i="3"/>
  <c r="CM25" i="3"/>
  <c r="CM42" i="3"/>
  <c r="CM34" i="3"/>
  <c r="CM47" i="3"/>
  <c r="CM10" i="3"/>
  <c r="CM29" i="3"/>
  <c r="CM20" i="3"/>
  <c r="CM8" i="3"/>
  <c r="CM41" i="3"/>
  <c r="CM48" i="3"/>
  <c r="CM18" i="3"/>
  <c r="CM46" i="3"/>
  <c r="CM50" i="3"/>
  <c r="CM33" i="3"/>
  <c r="CM44" i="3"/>
  <c r="CM9" i="3"/>
  <c r="CM26" i="3"/>
  <c r="CM45" i="3"/>
  <c r="CM40" i="3"/>
  <c r="CM35" i="3"/>
  <c r="CM19" i="3"/>
  <c r="CM37" i="3"/>
  <c r="CM51" i="3"/>
  <c r="CM23" i="3"/>
  <c r="CM53" i="3"/>
  <c r="CM13" i="3"/>
  <c r="CM11" i="3"/>
  <c r="CM6" i="3"/>
  <c r="CM52" i="3"/>
  <c r="CM7" i="3"/>
  <c r="CM22" i="3"/>
  <c r="CM49" i="3"/>
  <c r="CM24" i="3"/>
  <c r="CM28" i="3"/>
  <c r="CM21" i="3"/>
  <c r="CM12" i="3"/>
  <c r="CM43" i="3"/>
  <c r="CM27" i="3"/>
  <c r="CM38" i="3"/>
  <c r="CM39" i="3"/>
  <c r="CM16" i="3"/>
  <c r="CM32" i="3"/>
  <c r="CM17" i="3"/>
  <c r="CM31" i="3" l="1"/>
  <c r="CM15" i="3"/>
  <c r="CM14" i="3"/>
  <c r="CM30" i="3"/>
  <c r="CN11" i="3" l="1"/>
  <c r="CN28" i="3"/>
  <c r="CN39" i="3"/>
  <c r="CN22" i="3"/>
  <c r="CN52" i="3"/>
  <c r="Q93" i="3" s="1"/>
  <c r="CN46" i="3"/>
  <c r="CN53" i="3"/>
  <c r="CN7" i="3"/>
  <c r="CN45" i="3"/>
  <c r="R77" i="3" s="1"/>
  <c r="CN51" i="3"/>
  <c r="CN23" i="3"/>
  <c r="CN10" i="3"/>
  <c r="CN32" i="3"/>
  <c r="R56" i="3" s="1"/>
  <c r="CN37" i="3"/>
  <c r="CN27" i="3"/>
  <c r="CN35" i="3"/>
  <c r="CN24" i="3"/>
  <c r="CN36" i="3"/>
  <c r="CN9" i="3"/>
  <c r="Q6" i="3" s="1"/>
  <c r="CN41" i="3"/>
  <c r="CN18" i="3"/>
  <c r="CN21" i="3"/>
  <c r="Q31" i="3" s="1"/>
  <c r="CN13" i="3"/>
  <c r="CN38" i="3"/>
  <c r="CN19" i="3"/>
  <c r="CN42" i="3"/>
  <c r="CN50" i="3"/>
  <c r="CN33" i="3"/>
  <c r="R53" i="3" s="1"/>
  <c r="CN43" i="3"/>
  <c r="CN14" i="3"/>
  <c r="CN8" i="3"/>
  <c r="CN31" i="3"/>
  <c r="CN6" i="3"/>
  <c r="CN48" i="3"/>
  <c r="CN20" i="3"/>
  <c r="Q29" i="3" s="1"/>
  <c r="CN15" i="3"/>
  <c r="CN30" i="3"/>
  <c r="CN40" i="3"/>
  <c r="CN25" i="3"/>
  <c r="CN44" i="3"/>
  <c r="CN47" i="3"/>
  <c r="CN26" i="3"/>
  <c r="CN49" i="3"/>
  <c r="CN12" i="3"/>
  <c r="CN17" i="3"/>
  <c r="CN34" i="3"/>
  <c r="CN29" i="3"/>
  <c r="CN16" i="3"/>
  <c r="R14" i="3" l="1"/>
  <c r="R12" i="3"/>
  <c r="Q17" i="3"/>
  <c r="Q38" i="3"/>
  <c r="Q36" i="3"/>
  <c r="R41" i="3"/>
  <c r="R97" i="3"/>
  <c r="R94" i="3"/>
  <c r="R46" i="3"/>
  <c r="R48" i="3"/>
  <c r="Q45" i="3"/>
  <c r="R71" i="3"/>
  <c r="R68" i="3"/>
  <c r="Q73" i="3"/>
  <c r="Q86" i="3"/>
  <c r="R88" i="3"/>
  <c r="Q84" i="3"/>
  <c r="Q95" i="3"/>
  <c r="CO51" i="3" s="1"/>
  <c r="R93" i="3"/>
  <c r="Q96" i="3"/>
  <c r="Q15" i="3"/>
  <c r="R16" i="3"/>
  <c r="Q12" i="3"/>
  <c r="R4" i="3"/>
  <c r="R6" i="3"/>
  <c r="Q9" i="3"/>
  <c r="Q81" i="3"/>
  <c r="Q79" i="3"/>
  <c r="R95" i="3"/>
  <c r="Q97" i="3"/>
  <c r="R92" i="3"/>
  <c r="Q40" i="3"/>
  <c r="R39" i="3"/>
  <c r="R36" i="3"/>
  <c r="R54" i="3"/>
  <c r="Q53" i="3"/>
  <c r="R61" i="3"/>
  <c r="Q65" i="3"/>
  <c r="Q63" i="3"/>
  <c r="Q48" i="3"/>
  <c r="R44" i="3"/>
  <c r="R47" i="3"/>
  <c r="R60" i="3"/>
  <c r="Q64" i="3"/>
  <c r="R63" i="3"/>
  <c r="R40" i="3"/>
  <c r="R38" i="3"/>
  <c r="Q37" i="3"/>
  <c r="Q61" i="3"/>
  <c r="R64" i="3"/>
  <c r="R62" i="3"/>
  <c r="Q71" i="3"/>
  <c r="Q72" i="3"/>
  <c r="R69" i="3"/>
  <c r="Q76" i="3"/>
  <c r="Q78" i="3"/>
  <c r="R81" i="3"/>
  <c r="Q92" i="3"/>
  <c r="R96" i="3"/>
  <c r="Q94" i="3"/>
  <c r="R5" i="3"/>
  <c r="Q8" i="3"/>
  <c r="Q30" i="3"/>
  <c r="R32" i="3"/>
  <c r="Q28" i="3"/>
  <c r="Q32" i="3"/>
  <c r="R29" i="3"/>
  <c r="R13" i="3"/>
  <c r="Q14" i="3"/>
  <c r="Q16" i="3"/>
  <c r="Q68" i="3"/>
  <c r="Q70" i="3"/>
  <c r="R72" i="3"/>
  <c r="CO38" i="3" s="1"/>
  <c r="Q33" i="3"/>
  <c r="R28" i="3"/>
  <c r="R31" i="3"/>
  <c r="Q57" i="3"/>
  <c r="Q55" i="3"/>
  <c r="Q80" i="3"/>
  <c r="R76" i="3"/>
  <c r="R79" i="3"/>
  <c r="Q23" i="3"/>
  <c r="R24" i="3"/>
  <c r="Q20" i="3"/>
  <c r="R9" i="3"/>
  <c r="Q5" i="3"/>
  <c r="R7" i="3"/>
  <c r="Q56" i="3"/>
  <c r="R52" i="3"/>
  <c r="R55" i="3"/>
  <c r="Q4" i="3"/>
  <c r="R8" i="3"/>
  <c r="CO9" i="3" s="1"/>
  <c r="Q7" i="3"/>
  <c r="Q85" i="3"/>
  <c r="R86" i="3"/>
  <c r="R89" i="3"/>
  <c r="R33" i="3"/>
  <c r="R30" i="3"/>
  <c r="R22" i="3"/>
  <c r="Q25" i="3"/>
  <c r="R20" i="3"/>
  <c r="Q54" i="3"/>
  <c r="Q52" i="3"/>
  <c r="R57" i="3"/>
  <c r="R70" i="3"/>
  <c r="Q69" i="3"/>
  <c r="R73" i="3"/>
  <c r="CO39" i="3" s="1"/>
  <c r="Q41" i="3"/>
  <c r="Q39" i="3"/>
  <c r="R37" i="3"/>
  <c r="Q77" i="3"/>
  <c r="R80" i="3"/>
  <c r="R78" i="3"/>
  <c r="R84" i="3"/>
  <c r="R87" i="3"/>
  <c r="Q89" i="3"/>
  <c r="Q44" i="3"/>
  <c r="R49" i="3"/>
  <c r="Q46" i="3"/>
  <c r="Q88" i="3"/>
  <c r="Q87" i="3"/>
  <c r="R85" i="3"/>
  <c r="Q13" i="3"/>
  <c r="R17" i="3"/>
  <c r="R15" i="3"/>
  <c r="Q24" i="3"/>
  <c r="R21" i="3"/>
  <c r="Q22" i="3"/>
  <c r="Q60" i="3"/>
  <c r="Q62" i="3"/>
  <c r="R65" i="3"/>
  <c r="R45" i="3"/>
  <c r="Q47" i="3"/>
  <c r="CP27" i="3" s="1"/>
  <c r="Q49" i="3"/>
  <c r="R25" i="3"/>
  <c r="R23" i="3"/>
  <c r="Q21" i="3"/>
  <c r="CP9" i="3"/>
  <c r="CO40" i="3"/>
  <c r="CP7" i="3"/>
  <c r="CO8" i="3"/>
  <c r="CP51" i="3"/>
  <c r="CQ51" i="3" s="1"/>
  <c r="CP8" i="3"/>
  <c r="CP25" i="3"/>
  <c r="CO26" i="3"/>
  <c r="CO21" i="3"/>
  <c r="CO23" i="3"/>
  <c r="CP39" i="3"/>
  <c r="CQ39" i="3" s="1"/>
  <c r="CO27" i="3"/>
  <c r="CQ27" i="3" s="1"/>
  <c r="CP26" i="3"/>
  <c r="CP23" i="3"/>
  <c r="CP21" i="3"/>
  <c r="CO25" i="3"/>
  <c r="CP34" i="3"/>
  <c r="CO41" i="3"/>
  <c r="CP52" i="3"/>
  <c r="CO52" i="3"/>
  <c r="CP35" i="3"/>
  <c r="CO53" i="3"/>
  <c r="CP13" i="3"/>
  <c r="CP45" i="3"/>
  <c r="CP40" i="3"/>
  <c r="CO35" i="3"/>
  <c r="CP18" i="3"/>
  <c r="CO12" i="3"/>
  <c r="CP46" i="3"/>
  <c r="CP16" i="3"/>
  <c r="CP49" i="3"/>
  <c r="CP47" i="3"/>
  <c r="CO16" i="3"/>
  <c r="CO22" i="3"/>
  <c r="CO46" i="3"/>
  <c r="CO49" i="3"/>
  <c r="CO45" i="3"/>
  <c r="CP50" i="3"/>
  <c r="CO13" i="3"/>
  <c r="CO29" i="3"/>
  <c r="CO42" i="3"/>
  <c r="CO17" i="3"/>
  <c r="CO50" i="3"/>
  <c r="CP48" i="3"/>
  <c r="CP32" i="3"/>
  <c r="CP17" i="3"/>
  <c r="CO18" i="3"/>
  <c r="CP6" i="3"/>
  <c r="CP53" i="3"/>
  <c r="CP22" i="3"/>
  <c r="CO7" i="3"/>
  <c r="CO24" i="3"/>
  <c r="CP33" i="3"/>
  <c r="CP12" i="3"/>
  <c r="CO32" i="3"/>
  <c r="CP41" i="3"/>
  <c r="CO34" i="3"/>
  <c r="CO6" i="3"/>
  <c r="CP38" i="3"/>
  <c r="CQ38" i="3" s="1"/>
  <c r="CP24" i="3"/>
  <c r="CO28" i="3"/>
  <c r="CO48" i="3"/>
  <c r="CP28" i="3"/>
  <c r="CP29" i="3"/>
  <c r="CO47" i="3"/>
  <c r="CP42" i="3"/>
  <c r="CO33" i="3"/>
  <c r="CQ9" i="3"/>
  <c r="CP43" i="3" l="1"/>
  <c r="CP36" i="3"/>
  <c r="CO14" i="3"/>
  <c r="CO37" i="3"/>
  <c r="CP20" i="3"/>
  <c r="CO20" i="3"/>
  <c r="CP31" i="3"/>
  <c r="CO31" i="3"/>
  <c r="CP30" i="3"/>
  <c r="CO30" i="3"/>
  <c r="CO19" i="3"/>
  <c r="CP19" i="3"/>
  <c r="CO36" i="3"/>
  <c r="CO43" i="3"/>
  <c r="CP44" i="3"/>
  <c r="CO44" i="3"/>
  <c r="CP37" i="3"/>
  <c r="CP14" i="3"/>
  <c r="CP11" i="3"/>
  <c r="CO11" i="3"/>
  <c r="CP10" i="3"/>
  <c r="CO10" i="3"/>
  <c r="CO15" i="3"/>
  <c r="CP15" i="3"/>
  <c r="CQ40" i="3"/>
  <c r="CQ47" i="3"/>
  <c r="CQ6" i="3"/>
  <c r="CQ32" i="3"/>
  <c r="CQ50" i="3"/>
  <c r="CQ48" i="3"/>
  <c r="CQ53" i="3"/>
  <c r="CQ49" i="3"/>
  <c r="CQ46" i="3"/>
  <c r="CQ33" i="3"/>
  <c r="CQ13" i="3"/>
  <c r="CQ16" i="3"/>
  <c r="CQ7" i="3"/>
  <c r="CQ8" i="3"/>
  <c r="CQ35" i="3"/>
  <c r="CQ45" i="3"/>
  <c r="CQ25" i="3"/>
  <c r="CQ26" i="3"/>
  <c r="CQ24" i="3"/>
  <c r="CQ21" i="3"/>
  <c r="CQ23" i="3"/>
  <c r="CQ41" i="3"/>
  <c r="CQ34" i="3"/>
  <c r="CQ52" i="3"/>
  <c r="CQ28" i="3"/>
  <c r="CQ42" i="3"/>
  <c r="CQ29" i="3"/>
  <c r="CQ12" i="3"/>
  <c r="CQ22" i="3"/>
  <c r="CQ17" i="3"/>
  <c r="CQ18" i="3"/>
  <c r="CQ43" i="3" l="1"/>
  <c r="CQ31" i="3"/>
  <c r="CQ36" i="3"/>
  <c r="CQ30" i="3"/>
  <c r="CQ37" i="3"/>
  <c r="CR37" i="3" s="1"/>
  <c r="CQ20" i="3"/>
  <c r="CQ44" i="3"/>
  <c r="CQ19" i="3"/>
  <c r="CQ14" i="3"/>
  <c r="CQ11" i="3"/>
  <c r="CQ15" i="3"/>
  <c r="CQ10" i="3"/>
  <c r="CR12" i="3"/>
  <c r="CR16" i="3"/>
  <c r="CR22" i="3"/>
  <c r="CR25" i="3"/>
  <c r="CR7" i="3"/>
  <c r="CR48" i="3"/>
  <c r="CR27" i="3"/>
  <c r="CR53" i="3"/>
  <c r="CR18" i="3"/>
  <c r="CR51" i="3"/>
  <c r="CR21" i="3"/>
  <c r="CR32" i="3"/>
  <c r="CR8" i="3"/>
  <c r="CR45" i="3"/>
  <c r="CR46" i="3"/>
  <c r="CR35" i="3"/>
  <c r="CR47" i="3"/>
  <c r="CR41" i="3"/>
  <c r="CR28" i="3"/>
  <c r="CR24" i="3"/>
  <c r="CR34" i="3"/>
  <c r="CR23" i="3"/>
  <c r="CR49" i="3"/>
  <c r="CR26" i="3"/>
  <c r="CR50" i="3"/>
  <c r="CR17" i="3"/>
  <c r="CR39" i="3"/>
  <c r="CR9" i="3"/>
  <c r="CR42" i="3"/>
  <c r="CR13" i="3"/>
  <c r="CR33" i="3"/>
  <c r="CR40" i="3"/>
  <c r="CR52" i="3"/>
  <c r="CR6" i="3"/>
  <c r="CR38" i="3"/>
  <c r="CR29" i="3"/>
  <c r="CR14" i="3"/>
  <c r="CR44" i="3" l="1"/>
  <c r="CR36" i="3"/>
  <c r="CR31" i="3"/>
  <c r="CR30" i="3"/>
  <c r="CR15" i="3"/>
  <c r="CR11" i="3"/>
  <c r="CR19" i="3"/>
  <c r="CR43" i="3"/>
  <c r="CR10" i="3"/>
  <c r="CR20" i="3"/>
  <c r="CS20" i="3" l="1"/>
  <c r="CS11" i="3"/>
  <c r="CS43" i="3"/>
  <c r="U79" i="3" s="1"/>
  <c r="CS13" i="3"/>
  <c r="T16" i="3" s="1"/>
  <c r="CS15" i="3"/>
  <c r="CS38" i="3"/>
  <c r="CS49" i="3"/>
  <c r="CS40" i="3"/>
  <c r="CS24" i="3"/>
  <c r="U40" i="3" s="1"/>
  <c r="CS26" i="3"/>
  <c r="CS42" i="3"/>
  <c r="CS44" i="3"/>
  <c r="CS36" i="3"/>
  <c r="U64" i="3" s="1"/>
  <c r="CS14" i="3"/>
  <c r="CS27" i="3"/>
  <c r="CS21" i="3"/>
  <c r="CS41" i="3"/>
  <c r="CS10" i="3"/>
  <c r="CS12" i="3"/>
  <c r="T13" i="3" s="1"/>
  <c r="CS53" i="3"/>
  <c r="U93" i="3" s="1"/>
  <c r="CS28" i="3"/>
  <c r="T45" i="3" s="1"/>
  <c r="CS31" i="3"/>
  <c r="CS29" i="3"/>
  <c r="CS18" i="3"/>
  <c r="CS34" i="3"/>
  <c r="CS52" i="3"/>
  <c r="CS50" i="3"/>
  <c r="CS6" i="3"/>
  <c r="CS8" i="3"/>
  <c r="CS7" i="3"/>
  <c r="CS39" i="3"/>
  <c r="CS16" i="3"/>
  <c r="CS23" i="3"/>
  <c r="CS46" i="3"/>
  <c r="CS25" i="3"/>
  <c r="CS17" i="3"/>
  <c r="CS30" i="3"/>
  <c r="CS33" i="3"/>
  <c r="CS48" i="3"/>
  <c r="U89" i="3" s="1"/>
  <c r="CS37" i="3"/>
  <c r="CS9" i="3"/>
  <c r="CS45" i="3"/>
  <c r="CS47" i="3"/>
  <c r="CS32" i="3"/>
  <c r="CS22" i="3"/>
  <c r="CS51" i="3"/>
  <c r="CS35" i="3"/>
  <c r="CS19" i="3"/>
  <c r="T29" i="3" l="1"/>
  <c r="U30" i="3"/>
  <c r="U33" i="3"/>
  <c r="U14" i="3"/>
  <c r="U12" i="3"/>
  <c r="T17" i="3"/>
  <c r="T80" i="3"/>
  <c r="U76" i="3"/>
  <c r="T71" i="3"/>
  <c r="T72" i="3"/>
  <c r="U69" i="3"/>
  <c r="T14" i="3"/>
  <c r="U13" i="3"/>
  <c r="T25" i="3"/>
  <c r="U20" i="3"/>
  <c r="U22" i="3"/>
  <c r="T70" i="3"/>
  <c r="U72" i="3"/>
  <c r="T68" i="3"/>
  <c r="U85" i="3"/>
  <c r="T88" i="3"/>
  <c r="T87" i="3"/>
  <c r="U73" i="3"/>
  <c r="T69" i="3"/>
  <c r="U70" i="3"/>
  <c r="U38" i="3"/>
  <c r="T37" i="3"/>
  <c r="T44" i="3"/>
  <c r="U49" i="3"/>
  <c r="T46" i="3"/>
  <c r="U81" i="3"/>
  <c r="T78" i="3"/>
  <c r="T76" i="3"/>
  <c r="U80" i="3"/>
  <c r="T77" i="3"/>
  <c r="U78" i="3"/>
  <c r="U62" i="3"/>
  <c r="T61" i="3"/>
  <c r="T20" i="3"/>
  <c r="T23" i="3"/>
  <c r="U24" i="3"/>
  <c r="U44" i="3"/>
  <c r="T48" i="3"/>
  <c r="U47" i="3"/>
  <c r="U29" i="3"/>
  <c r="T31" i="3"/>
  <c r="T32" i="3"/>
  <c r="T12" i="3"/>
  <c r="U16" i="3"/>
  <c r="T15" i="3"/>
  <c r="U17" i="3"/>
  <c r="U15" i="3"/>
  <c r="T96" i="3"/>
  <c r="T95" i="3"/>
  <c r="U46" i="3"/>
  <c r="U48" i="3"/>
  <c r="T56" i="3"/>
  <c r="U55" i="3"/>
  <c r="U52" i="3"/>
  <c r="T49" i="3"/>
  <c r="U45" i="3"/>
  <c r="T47" i="3"/>
  <c r="T30" i="3"/>
  <c r="U32" i="3"/>
  <c r="T28" i="3"/>
  <c r="T60" i="3"/>
  <c r="U65" i="3"/>
  <c r="T62" i="3"/>
  <c r="T93" i="3"/>
  <c r="U97" i="3"/>
  <c r="CT51" i="3" s="1"/>
  <c r="U94" i="3"/>
  <c r="T92" i="3"/>
  <c r="T94" i="3"/>
  <c r="U96" i="3"/>
  <c r="U8" i="3"/>
  <c r="T4" i="3"/>
  <c r="CT6" i="3"/>
  <c r="T7" i="3"/>
  <c r="U7" i="3"/>
  <c r="U9" i="3"/>
  <c r="T5" i="3"/>
  <c r="U4" i="3"/>
  <c r="T9" i="3"/>
  <c r="U6" i="3"/>
  <c r="U71" i="3"/>
  <c r="U68" i="3"/>
  <c r="T73" i="3"/>
  <c r="U25" i="3"/>
  <c r="T21" i="3"/>
  <c r="U23" i="3"/>
  <c r="U36" i="3"/>
  <c r="T40" i="3"/>
  <c r="U39" i="3"/>
  <c r="U88" i="3"/>
  <c r="T86" i="3"/>
  <c r="T84" i="3"/>
  <c r="T41" i="3"/>
  <c r="U37" i="3"/>
  <c r="T39" i="3"/>
  <c r="T22" i="3"/>
  <c r="T24" i="3"/>
  <c r="U21" i="3"/>
  <c r="T52" i="3"/>
  <c r="U57" i="3"/>
  <c r="T54" i="3"/>
  <c r="T57" i="3"/>
  <c r="T55" i="3"/>
  <c r="U53" i="3"/>
  <c r="U86" i="3"/>
  <c r="T85" i="3"/>
  <c r="U61" i="3"/>
  <c r="T65" i="3"/>
  <c r="T63" i="3"/>
  <c r="T6" i="3"/>
  <c r="T8" i="3"/>
  <c r="U5" i="3"/>
  <c r="U77" i="3"/>
  <c r="T79" i="3"/>
  <c r="T81" i="3"/>
  <c r="U87" i="3"/>
  <c r="U84" i="3"/>
  <c r="T89" i="3"/>
  <c r="U54" i="3"/>
  <c r="T53" i="3"/>
  <c r="U56" i="3"/>
  <c r="U41" i="3"/>
  <c r="T38" i="3"/>
  <c r="T36" i="3"/>
  <c r="T97" i="3"/>
  <c r="U95" i="3"/>
  <c r="U92" i="3"/>
  <c r="U60" i="3"/>
  <c r="U63" i="3"/>
  <c r="T64" i="3"/>
  <c r="T33" i="3"/>
  <c r="U28" i="3"/>
  <c r="U31" i="3"/>
  <c r="CT16" i="3"/>
  <c r="CT8" i="3"/>
  <c r="CT21" i="3"/>
  <c r="CT39" i="3"/>
  <c r="CT26" i="3"/>
  <c r="CT17" i="3"/>
  <c r="CT35" i="3"/>
  <c r="CT38" i="3"/>
  <c r="CT12" i="3"/>
  <c r="CT46" i="3"/>
  <c r="CT40" i="3"/>
  <c r="CT9" i="3"/>
  <c r="CT23" i="3"/>
  <c r="CT7" i="3"/>
  <c r="CT25" i="3"/>
  <c r="CT41" i="3"/>
  <c r="CT28" i="3"/>
  <c r="CT24" i="3"/>
  <c r="CT49" i="3"/>
  <c r="CT27" i="3"/>
  <c r="CT34" i="3"/>
  <c r="CT45" i="3"/>
  <c r="CT29" i="3"/>
  <c r="CT42" i="3"/>
  <c r="CT53" i="3"/>
  <c r="CT22" i="3"/>
  <c r="CT52" i="3"/>
  <c r="CT50" i="3"/>
  <c r="CT32" i="3"/>
  <c r="CT13" i="3"/>
  <c r="CT33" i="3"/>
  <c r="CT47" i="3"/>
  <c r="CT48" i="3"/>
  <c r="CT18" i="3"/>
  <c r="CT10" i="3" l="1"/>
  <c r="CT31" i="3"/>
  <c r="CT44" i="3"/>
  <c r="CT11" i="3"/>
  <c r="CT37" i="3"/>
  <c r="CT20" i="3"/>
  <c r="CT14" i="3"/>
  <c r="CT43" i="3"/>
  <c r="CT15" i="3"/>
  <c r="CT19" i="3"/>
  <c r="CT36" i="3"/>
  <c r="CT30" i="3"/>
  <c r="CU29" i="3"/>
  <c r="CU48" i="3"/>
  <c r="CU50" i="3"/>
  <c r="CU52" i="3"/>
  <c r="CU35" i="3"/>
  <c r="CU7" i="3"/>
  <c r="CU16" i="3"/>
  <c r="CU24" i="3"/>
  <c r="CU47" i="3"/>
  <c r="CU17" i="3"/>
  <c r="CU38" i="3"/>
  <c r="CU41" i="3"/>
  <c r="CU12" i="3"/>
  <c r="CU28" i="3"/>
  <c r="CU26" i="3"/>
  <c r="CU51" i="3"/>
  <c r="CU34" i="3"/>
  <c r="CU13" i="3"/>
  <c r="CU33" i="3"/>
  <c r="CU45" i="3"/>
  <c r="CU27" i="3"/>
  <c r="CU9" i="3"/>
  <c r="CU53" i="3"/>
  <c r="CU49" i="3"/>
  <c r="CU18" i="3"/>
  <c r="CU23" i="3"/>
  <c r="CU6" i="3"/>
  <c r="CU39" i="3"/>
  <c r="CU40" i="3"/>
  <c r="CU25" i="3"/>
  <c r="CU21" i="3"/>
  <c r="CU46" i="3"/>
  <c r="CU32" i="3"/>
  <c r="CU8" i="3"/>
  <c r="CU22" i="3"/>
  <c r="CU42" i="3"/>
  <c r="CU20" i="3" l="1"/>
  <c r="CU30" i="3"/>
  <c r="CU31" i="3"/>
  <c r="CU14" i="3"/>
  <c r="CU15" i="3"/>
  <c r="CU11" i="3"/>
  <c r="CU44" i="3"/>
  <c r="CU19" i="3"/>
  <c r="CU10" i="3"/>
  <c r="CU43" i="3"/>
  <c r="CU36" i="3"/>
  <c r="CU37" i="3"/>
  <c r="CV19" i="3" l="1"/>
  <c r="CW19" i="3" s="1"/>
  <c r="CV11" i="3"/>
  <c r="CW11" i="3" s="1"/>
  <c r="CV15" i="3"/>
  <c r="CW15" i="3" s="1"/>
  <c r="CV36" i="3"/>
  <c r="CW36" i="3" s="1"/>
  <c r="CV37" i="3"/>
  <c r="CW37" i="3" s="1"/>
  <c r="CV44" i="3"/>
  <c r="CW44" i="3" s="1"/>
  <c r="CV31" i="3"/>
  <c r="CW31" i="3" s="1"/>
  <c r="CV14" i="3"/>
  <c r="CW14" i="3" s="1"/>
  <c r="CV43" i="3"/>
  <c r="CW43" i="3" s="1"/>
  <c r="CV25" i="3"/>
  <c r="CV21" i="3"/>
  <c r="CV35" i="3"/>
  <c r="CV38" i="3"/>
  <c r="CV41" i="3"/>
  <c r="CV32" i="3"/>
  <c r="CV13" i="3"/>
  <c r="CV53" i="3"/>
  <c r="CV39" i="3"/>
  <c r="CV45" i="3"/>
  <c r="CV22" i="3"/>
  <c r="CV51" i="3"/>
  <c r="CV33" i="3"/>
  <c r="CV46" i="3"/>
  <c r="CV23" i="3"/>
  <c r="CV50" i="3"/>
  <c r="CV18" i="3"/>
  <c r="CV12" i="3"/>
  <c r="CV8" i="3"/>
  <c r="CV28" i="3"/>
  <c r="CV7" i="3"/>
  <c r="CV10" i="3"/>
  <c r="CV6" i="3"/>
  <c r="CV20" i="3"/>
  <c r="CV17" i="3"/>
  <c r="CV40" i="3"/>
  <c r="CV42" i="3"/>
  <c r="CV34" i="3"/>
  <c r="CV49" i="3"/>
  <c r="CV9" i="3"/>
  <c r="CV27" i="3"/>
  <c r="CV47" i="3"/>
  <c r="CV29" i="3"/>
  <c r="CV26" i="3"/>
  <c r="CV52" i="3"/>
  <c r="CW52" i="3" s="1"/>
  <c r="CV30" i="3"/>
  <c r="CV16" i="3"/>
  <c r="CV24" i="3"/>
  <c r="CV48" i="3"/>
  <c r="CW41" i="3" l="1"/>
  <c r="CW51" i="3"/>
  <c r="CW25" i="3"/>
  <c r="CW21" i="3"/>
  <c r="CW35" i="3"/>
  <c r="CW38" i="3"/>
  <c r="CW32" i="3"/>
  <c r="CW13" i="3"/>
  <c r="CW53" i="3"/>
  <c r="CW39" i="3"/>
  <c r="CW45" i="3"/>
  <c r="CW22" i="3"/>
  <c r="CW33" i="3"/>
  <c r="CW46" i="3"/>
  <c r="CW23" i="3"/>
  <c r="CW50" i="3"/>
  <c r="CW18" i="3"/>
  <c r="CW12" i="3"/>
  <c r="CW8" i="3"/>
  <c r="CW28" i="3"/>
  <c r="CW7" i="3"/>
  <c r="CX37" i="3"/>
  <c r="CW10" i="3"/>
  <c r="CX43" i="3" s="1"/>
  <c r="CW6" i="3"/>
  <c r="CX36" i="3"/>
  <c r="CW20" i="3"/>
  <c r="CX20" i="3" s="1"/>
  <c r="CW17" i="3"/>
  <c r="CW40" i="3"/>
  <c r="CW42" i="3"/>
  <c r="CW34" i="3"/>
  <c r="CW49" i="3"/>
  <c r="CW9" i="3"/>
  <c r="CW27" i="3"/>
  <c r="CW47" i="3"/>
  <c r="CW29" i="3"/>
  <c r="CW26" i="3"/>
  <c r="CW30" i="3"/>
  <c r="CW16" i="3"/>
  <c r="CW24" i="3"/>
  <c r="CW48" i="3"/>
  <c r="CX19" i="3" l="1"/>
  <c r="CX30" i="3"/>
  <c r="CX31" i="3"/>
  <c r="CX16" i="3"/>
  <c r="CX24" i="3"/>
  <c r="CX9" i="3"/>
  <c r="CX27" i="3"/>
  <c r="CX50" i="3"/>
  <c r="CX39" i="3"/>
  <c r="CX45" i="3"/>
  <c r="CX23" i="3"/>
  <c r="CX12" i="3"/>
  <c r="CX33" i="3"/>
  <c r="CX32" i="3"/>
  <c r="CX53" i="3"/>
  <c r="CX22" i="3"/>
  <c r="CX8" i="3"/>
  <c r="CX13" i="3"/>
  <c r="CX18" i="3"/>
  <c r="CX29" i="3"/>
  <c r="CX40" i="3"/>
  <c r="CX42" i="3"/>
  <c r="CX46" i="3"/>
  <c r="CX35" i="3"/>
  <c r="CX47" i="3"/>
  <c r="CX41" i="3"/>
  <c r="CX7" i="3"/>
  <c r="CX28" i="3"/>
  <c r="CX25" i="3"/>
  <c r="CX38" i="3"/>
  <c r="CX51" i="3"/>
  <c r="CX21" i="3"/>
  <c r="CX10" i="3"/>
  <c r="CX44" i="3"/>
  <c r="CX11" i="3"/>
  <c r="CX6" i="3"/>
  <c r="CX48" i="3"/>
  <c r="CX26" i="3"/>
  <c r="CX52" i="3"/>
  <c r="CX34" i="3"/>
  <c r="CX14" i="3"/>
  <c r="CX15" i="3"/>
  <c r="CX17" i="3"/>
  <c r="CX49" i="3"/>
  <c r="CY51" i="3" l="1"/>
  <c r="CZ51" i="3" s="1"/>
  <c r="CY44" i="3"/>
  <c r="CZ44" i="3" s="1"/>
  <c r="CY20" i="3"/>
  <c r="CY43" i="3"/>
  <c r="CY50" i="3"/>
  <c r="CY13" i="3"/>
  <c r="CY22" i="3"/>
  <c r="CY33" i="3"/>
  <c r="CY12" i="3"/>
  <c r="CY32" i="3"/>
  <c r="CY53" i="3"/>
  <c r="CY39" i="3"/>
  <c r="CY8" i="3"/>
  <c r="CY18" i="3"/>
  <c r="CY23" i="3"/>
  <c r="CY45" i="3"/>
  <c r="CY31" i="3"/>
  <c r="CY36" i="3"/>
  <c r="CY24" i="3"/>
  <c r="CY37" i="3"/>
  <c r="CY9" i="3"/>
  <c r="CY30" i="3"/>
  <c r="CY27" i="3"/>
  <c r="CY16" i="3"/>
  <c r="CY40" i="3"/>
  <c r="CY38" i="3"/>
  <c r="CY14" i="3"/>
  <c r="CY7" i="3"/>
  <c r="CY10" i="3"/>
  <c r="CY15" i="3"/>
  <c r="CY21" i="3"/>
  <c r="CY26" i="3"/>
  <c r="CY52" i="3"/>
  <c r="CY34" i="3"/>
  <c r="CY17" i="3"/>
  <c r="CY49" i="3"/>
  <c r="CY42" i="3"/>
  <c r="CY25" i="3"/>
  <c r="CY11" i="3"/>
  <c r="CY46" i="3"/>
  <c r="CY35" i="3"/>
  <c r="CY28" i="3"/>
  <c r="CY29" i="3"/>
  <c r="CY47" i="3"/>
  <c r="CY48" i="3"/>
  <c r="CY6" i="3"/>
  <c r="CY41" i="3"/>
  <c r="CY19" i="3"/>
  <c r="CZ20" i="3" l="1"/>
  <c r="CZ43" i="3"/>
  <c r="CZ50" i="3"/>
  <c r="CZ13" i="3"/>
  <c r="CZ22" i="3"/>
  <c r="CZ33" i="3"/>
  <c r="CZ12" i="3"/>
  <c r="CZ32" i="3"/>
  <c r="CZ53" i="3"/>
  <c r="CZ39" i="3"/>
  <c r="CZ8" i="3"/>
  <c r="CZ18" i="3"/>
  <c r="CZ23" i="3"/>
  <c r="CZ45" i="3"/>
  <c r="CZ31" i="3"/>
  <c r="CZ36" i="3"/>
  <c r="CZ24" i="3"/>
  <c r="CZ37" i="3"/>
  <c r="CZ9" i="3"/>
  <c r="CZ30" i="3"/>
  <c r="CZ27" i="3"/>
  <c r="CZ16" i="3"/>
  <c r="CZ40" i="3"/>
  <c r="CZ38" i="3"/>
  <c r="CZ14" i="3"/>
  <c r="CZ7" i="3"/>
  <c r="CZ10" i="3"/>
  <c r="CZ15" i="3"/>
  <c r="CZ21" i="3"/>
  <c r="CZ26" i="3"/>
  <c r="CZ52" i="3"/>
  <c r="CZ34" i="3"/>
  <c r="CZ17" i="3"/>
  <c r="CZ49" i="3"/>
  <c r="CZ42" i="3"/>
  <c r="CZ25" i="3"/>
  <c r="CZ11" i="3"/>
  <c r="CZ46" i="3"/>
  <c r="CZ35" i="3"/>
  <c r="CZ28" i="3"/>
  <c r="CZ29" i="3"/>
  <c r="CZ47" i="3"/>
  <c r="CZ48" i="3"/>
  <c r="CZ6" i="3"/>
  <c r="CZ41" i="3"/>
  <c r="CZ19" i="3"/>
  <c r="DA41" i="3" l="1"/>
  <c r="DA19" i="3"/>
  <c r="DA29" i="3"/>
  <c r="DA52" i="3"/>
  <c r="DA28" i="3"/>
  <c r="DA47" i="3"/>
  <c r="DA35" i="3"/>
  <c r="DA39" i="3"/>
  <c r="DA45" i="3"/>
  <c r="DA25" i="3"/>
  <c r="DA36" i="3"/>
  <c r="DA30" i="3"/>
  <c r="DA33" i="3"/>
  <c r="DA26" i="3"/>
  <c r="DA31" i="3"/>
  <c r="DA14" i="3"/>
  <c r="DA27" i="3"/>
  <c r="DA38" i="3"/>
  <c r="DA42" i="3"/>
  <c r="DA8" i="3"/>
  <c r="DA9" i="3"/>
  <c r="DA21" i="3"/>
  <c r="DA37" i="3"/>
  <c r="DA49" i="3"/>
  <c r="DA44" i="3"/>
  <c r="DA53" i="3"/>
  <c r="DA51" i="3"/>
  <c r="DA43" i="3"/>
  <c r="DA23" i="3"/>
  <c r="DA7" i="3"/>
  <c r="DA17" i="3"/>
  <c r="DA46" i="3"/>
  <c r="DA32" i="3"/>
  <c r="DA6" i="3"/>
  <c r="DA22" i="3"/>
  <c r="DA40" i="3"/>
  <c r="DA15" i="3"/>
  <c r="DA11" i="3"/>
  <c r="DA34" i="3"/>
  <c r="DA50" i="3"/>
  <c r="DA13" i="3"/>
  <c r="DA20" i="3"/>
  <c r="DA48" i="3"/>
  <c r="DA10" i="3"/>
  <c r="DA16" i="3"/>
  <c r="DA24" i="3"/>
  <c r="DA18" i="3"/>
  <c r="DA12" i="3"/>
  <c r="DB12" i="3" l="1"/>
  <c r="DC12" i="3" s="1"/>
  <c r="DB35" i="3"/>
  <c r="DB49" i="3"/>
  <c r="DB51" i="3"/>
  <c r="DB37" i="3"/>
  <c r="DB45" i="3"/>
  <c r="DB14" i="3"/>
  <c r="DB33" i="3"/>
  <c r="DB52" i="3"/>
  <c r="DB36" i="3"/>
  <c r="DB31" i="3"/>
  <c r="DB19" i="3"/>
  <c r="DB27" i="3"/>
  <c r="DB41" i="3"/>
  <c r="DB47" i="3"/>
  <c r="DB28" i="3"/>
  <c r="DB25" i="3"/>
  <c r="DB42" i="3"/>
  <c r="DB26" i="3"/>
  <c r="DB21" i="3"/>
  <c r="DB30" i="3"/>
  <c r="DB29" i="3"/>
  <c r="DB9" i="3"/>
  <c r="DB38" i="3"/>
  <c r="DB8" i="3"/>
  <c r="DB39" i="3"/>
  <c r="DB53" i="3"/>
  <c r="DB44" i="3"/>
  <c r="DB6" i="3"/>
  <c r="DB43" i="3"/>
  <c r="DB24" i="3"/>
  <c r="DB40" i="3"/>
  <c r="DB10" i="3"/>
  <c r="DB48" i="3"/>
  <c r="DB34" i="3"/>
  <c r="DB32" i="3"/>
  <c r="DB18" i="3"/>
  <c r="DB22" i="3"/>
  <c r="DB16" i="3"/>
  <c r="DB23" i="3"/>
  <c r="DB13" i="3"/>
  <c r="DB15" i="3"/>
  <c r="DB20" i="3"/>
  <c r="DB7" i="3"/>
  <c r="DB17" i="3"/>
  <c r="DB46" i="3"/>
  <c r="DB11" i="3"/>
  <c r="DB50" i="3"/>
  <c r="DC35" i="3" l="1"/>
  <c r="DC49" i="3"/>
  <c r="DC51" i="3"/>
  <c r="DC37" i="3"/>
  <c r="DC45" i="3"/>
  <c r="DC14" i="3"/>
  <c r="DC33" i="3"/>
  <c r="DC52" i="3"/>
  <c r="DC36" i="3"/>
  <c r="DC31" i="3"/>
  <c r="DC19" i="3"/>
  <c r="DC27" i="3"/>
  <c r="DC41" i="3"/>
  <c r="DC47" i="3"/>
  <c r="DC28" i="3"/>
  <c r="DC25" i="3"/>
  <c r="DC42" i="3"/>
  <c r="DC26" i="3"/>
  <c r="DC21" i="3"/>
  <c r="DC30" i="3"/>
  <c r="DC29" i="3"/>
  <c r="DC9" i="3"/>
  <c r="DC38" i="3"/>
  <c r="DC8" i="3"/>
  <c r="DC39" i="3"/>
  <c r="DC53" i="3"/>
  <c r="DC44" i="3"/>
  <c r="DC6" i="3"/>
  <c r="DC43" i="3"/>
  <c r="DC24" i="3"/>
  <c r="DC40" i="3"/>
  <c r="DC10" i="3"/>
  <c r="DC48" i="3"/>
  <c r="DC34" i="3"/>
  <c r="DC32" i="3"/>
  <c r="DC18" i="3"/>
  <c r="DC22" i="3"/>
  <c r="DC16" i="3"/>
  <c r="DC23" i="3"/>
  <c r="DC13" i="3"/>
  <c r="DC15" i="3"/>
  <c r="DC20" i="3"/>
  <c r="DC7" i="3"/>
  <c r="DC17" i="3"/>
  <c r="DC46" i="3"/>
  <c r="DC11" i="3"/>
  <c r="DC50" i="3"/>
  <c r="DD15" i="3" l="1"/>
  <c r="BM15" i="3" s="1"/>
  <c r="DD13" i="3"/>
  <c r="BM13" i="3" s="1"/>
  <c r="DD20" i="3"/>
  <c r="BM20" i="3" s="1"/>
  <c r="DD16" i="3"/>
  <c r="BM16" i="3" s="1"/>
  <c r="DD23" i="3"/>
  <c r="BM23" i="3" s="1"/>
  <c r="DD32" i="3"/>
  <c r="BM32" i="3" s="1"/>
  <c r="DD22" i="3"/>
  <c r="BM22" i="3" s="1"/>
  <c r="DD48" i="3"/>
  <c r="BM48" i="3" s="1"/>
  <c r="DD29" i="3"/>
  <c r="BM29" i="3" s="1"/>
  <c r="DD51" i="3"/>
  <c r="BM51" i="3" s="1"/>
  <c r="DD25" i="3"/>
  <c r="BM25" i="3" s="1"/>
  <c r="DD35" i="3"/>
  <c r="BM35" i="3" s="1"/>
  <c r="DD36" i="3"/>
  <c r="BM36" i="3" s="1"/>
  <c r="DD28" i="3"/>
  <c r="BM28" i="3" s="1"/>
  <c r="DD44" i="3"/>
  <c r="BM44" i="3" s="1"/>
  <c r="DD45" i="3"/>
  <c r="BM45" i="3" s="1"/>
  <c r="DD47" i="3"/>
  <c r="BM47" i="3" s="1"/>
  <c r="DD24" i="3"/>
  <c r="BM24" i="3" s="1"/>
  <c r="DD18" i="3"/>
  <c r="BM18" i="3" s="1"/>
  <c r="DD52" i="3"/>
  <c r="BM52" i="3" s="1"/>
  <c r="DD34" i="3"/>
  <c r="BM34" i="3" s="1"/>
  <c r="DD9" i="3"/>
  <c r="BM9" i="3" s="1"/>
  <c r="DD39" i="3"/>
  <c r="BM39" i="3" s="1"/>
  <c r="DD53" i="3"/>
  <c r="BM53" i="3" s="1"/>
  <c r="DD50" i="3"/>
  <c r="BM50" i="3" s="1"/>
  <c r="DD14" i="3"/>
  <c r="BM14" i="3" s="1"/>
  <c r="DD31" i="3"/>
  <c r="BM31" i="3" s="1"/>
  <c r="DD30" i="3"/>
  <c r="BM30" i="3" s="1"/>
  <c r="DD19" i="3"/>
  <c r="BM19" i="3" s="1"/>
  <c r="DD42" i="3"/>
  <c r="BM42" i="3" s="1"/>
  <c r="DD10" i="3"/>
  <c r="BM10" i="3" s="1"/>
  <c r="DD49" i="3"/>
  <c r="BM49" i="3" s="1"/>
  <c r="DD41" i="3"/>
  <c r="BM41" i="3" s="1"/>
  <c r="DD43" i="3"/>
  <c r="BM43" i="3" s="1"/>
  <c r="DD33" i="3"/>
  <c r="BM33" i="3" s="1"/>
  <c r="DD26" i="3"/>
  <c r="BM26" i="3" s="1"/>
  <c r="DD11" i="3"/>
  <c r="BM11" i="3" s="1"/>
  <c r="DD37" i="3"/>
  <c r="BM37" i="3" s="1"/>
  <c r="DD40" i="3"/>
  <c r="BM40" i="3" s="1"/>
  <c r="DD12" i="3"/>
  <c r="BM12" i="3" s="1"/>
  <c r="DD8" i="3"/>
  <c r="BM8" i="3" s="1"/>
  <c r="DD7" i="3"/>
  <c r="BM7" i="3" s="1"/>
  <c r="DD17" i="3"/>
  <c r="BM17" i="3" s="1"/>
  <c r="DD6" i="3"/>
  <c r="BM6" i="3" s="1"/>
  <c r="DD27" i="3"/>
  <c r="BM27" i="3" s="1"/>
  <c r="DD38" i="3"/>
  <c r="BM38" i="3" s="1"/>
  <c r="DD46" i="3"/>
  <c r="BM46" i="3" s="1"/>
  <c r="DD21" i="3"/>
  <c r="BM21" i="3" s="1"/>
  <c r="DQ27" i="3" l="1"/>
  <c r="DJ27" i="3" s="1"/>
  <c r="DQ18" i="3"/>
  <c r="DJ18" i="3" s="1"/>
  <c r="AV24" i="3"/>
  <c r="DQ47" i="3"/>
  <c r="DJ47" i="3" s="1"/>
  <c r="DQ6" i="3"/>
  <c r="DJ6" i="3" s="1"/>
  <c r="AV54" i="3"/>
  <c r="AV55" i="3"/>
  <c r="AV30" i="3"/>
  <c r="DQ20" i="3"/>
  <c r="DJ20" i="3" s="1"/>
  <c r="AV16" i="3"/>
  <c r="AV15" i="3"/>
  <c r="DQ29" i="3"/>
  <c r="DJ29" i="3" s="1"/>
  <c r="DQ45" i="3"/>
  <c r="DJ45" i="3" s="1"/>
  <c r="DQ15" i="3"/>
  <c r="DJ15" i="3" s="1"/>
  <c r="DQ51" i="3"/>
  <c r="DJ51" i="3" s="1"/>
  <c r="AV22" i="3"/>
  <c r="AV88" i="3"/>
  <c r="AV40" i="3"/>
  <c r="DQ33" i="3"/>
  <c r="DJ33" i="3" s="1"/>
  <c r="DQ10" i="3"/>
  <c r="DJ10" i="3" s="1"/>
  <c r="AV94" i="3"/>
  <c r="AV48" i="3"/>
  <c r="AV56" i="3"/>
  <c r="DQ12" i="3"/>
  <c r="DJ12" i="3" s="1"/>
  <c r="DQ8" i="3"/>
  <c r="DJ8" i="3" s="1"/>
  <c r="AV65" i="3"/>
  <c r="AV17" i="3"/>
  <c r="DQ7" i="3"/>
  <c r="DJ7" i="3" s="1"/>
  <c r="DQ37" i="3"/>
  <c r="DJ37" i="3" s="1"/>
  <c r="AV6" i="3"/>
  <c r="DF6" i="3" s="1"/>
  <c r="AV64" i="3"/>
  <c r="DQ42" i="3"/>
  <c r="DJ42" i="3" s="1"/>
  <c r="AV31" i="3"/>
  <c r="DQ34" i="3"/>
  <c r="DJ34" i="3" s="1"/>
  <c r="DQ30" i="3"/>
  <c r="DJ30" i="3" s="1"/>
  <c r="AV25" i="3"/>
  <c r="DQ14" i="3"/>
  <c r="DJ14" i="3" s="1"/>
  <c r="DQ22" i="3"/>
  <c r="DJ22" i="3" s="1"/>
  <c r="AV72" i="3"/>
  <c r="AV87" i="3"/>
  <c r="DQ44" i="3"/>
  <c r="DJ44" i="3" s="1"/>
  <c r="DQ25" i="3"/>
  <c r="DJ25" i="3" s="1"/>
  <c r="AV73" i="3"/>
  <c r="DQ9" i="3"/>
  <c r="DJ9" i="3" s="1"/>
  <c r="DQ13" i="3"/>
  <c r="DJ13" i="3" s="1"/>
  <c r="DQ21" i="3"/>
  <c r="DJ21" i="3" s="1"/>
  <c r="AV97" i="3"/>
  <c r="DQ32" i="3"/>
  <c r="DJ32" i="3" s="1"/>
  <c r="AV79" i="3"/>
  <c r="AV46" i="3"/>
  <c r="AV89" i="3"/>
  <c r="AV57" i="3"/>
  <c r="DQ19" i="3"/>
  <c r="DJ19" i="3" s="1"/>
  <c r="DQ38" i="3"/>
  <c r="DJ38" i="3" s="1"/>
  <c r="AV32" i="3"/>
  <c r="DQ39" i="3"/>
  <c r="DJ39" i="3" s="1"/>
  <c r="AV7" i="3"/>
  <c r="AV62" i="3"/>
  <c r="AV39" i="3"/>
  <c r="DQ52" i="3"/>
  <c r="DJ52" i="3" s="1"/>
  <c r="AV95" i="3"/>
  <c r="DQ11" i="3"/>
  <c r="DJ11" i="3" s="1"/>
  <c r="AV9" i="3"/>
  <c r="DQ50" i="3"/>
  <c r="DJ50" i="3" s="1"/>
  <c r="DQ17" i="3"/>
  <c r="DJ17" i="3" s="1"/>
  <c r="AV96" i="3"/>
  <c r="DQ43" i="3"/>
  <c r="DJ43" i="3" s="1"/>
  <c r="DQ40" i="3"/>
  <c r="DJ40" i="3" s="1"/>
  <c r="AV71" i="3"/>
  <c r="AV78" i="3"/>
  <c r="AV86" i="3"/>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7" i="3" l="1"/>
  <c r="DM27" i="3" s="1"/>
  <c r="DL45" i="3"/>
  <c r="DL34" i="3"/>
  <c r="DL21" i="3"/>
  <c r="DL17" i="3"/>
  <c r="DL33" i="3"/>
  <c r="DL12" i="3"/>
  <c r="DL22" i="3"/>
  <c r="DL9" i="3"/>
  <c r="DL39" i="3"/>
  <c r="DL36" i="3"/>
  <c r="DL49" i="3"/>
  <c r="DL53" i="3"/>
  <c r="DL28" i="3"/>
  <c r="DL23" i="3"/>
  <c r="DL24" i="3"/>
  <c r="DL6" i="3"/>
  <c r="DL15" i="3"/>
  <c r="DL30" i="3"/>
  <c r="DL25" i="3"/>
  <c r="DL52" i="3"/>
  <c r="DL41" i="3"/>
  <c r="DL20" i="3"/>
  <c r="DL42" i="3"/>
  <c r="DL13" i="3"/>
  <c r="DN13" i="3" s="1" a="1"/>
  <c r="DL19" i="3"/>
  <c r="DL11" i="3"/>
  <c r="DL43" i="3"/>
  <c r="DL48" i="3"/>
  <c r="DL51" i="3"/>
  <c r="DL14" i="3"/>
  <c r="DL44" i="3"/>
  <c r="DL38" i="3"/>
  <c r="DL26" i="3"/>
  <c r="DL16" i="3"/>
  <c r="DL47" i="3"/>
  <c r="DL35" i="3"/>
  <c r="DL10" i="3"/>
  <c r="DL37" i="3"/>
  <c r="DL32" i="3"/>
  <c r="DL40" i="3"/>
  <c r="DL18" i="3"/>
  <c r="DL29" i="3"/>
  <c r="DL8" i="3"/>
  <c r="DL7" i="3"/>
  <c r="DL50" i="3"/>
  <c r="DL31" i="3"/>
  <c r="DF9" i="3"/>
  <c r="DF8" i="3"/>
  <c r="DF7" i="3"/>
  <c r="DL46" i="3"/>
  <c r="AU47" i="3" l="1"/>
  <c r="DN27" i="3" a="1"/>
  <c r="AU86" i="3"/>
  <c r="DN46" i="3" a="1"/>
  <c r="DM46" i="3"/>
  <c r="AU17" i="3"/>
  <c r="DM13" i="3"/>
  <c r="AU87" i="3"/>
  <c r="DM47" i="3"/>
  <c r="DN47" i="3" a="1"/>
  <c r="AU55" i="3"/>
  <c r="DN31" i="3" a="1"/>
  <c r="DM31" i="3"/>
  <c r="AU81" i="3"/>
  <c r="DN45" i="3" a="1"/>
  <c r="DM45" i="3"/>
  <c r="AU62" i="3"/>
  <c r="DN34" i="3" a="1"/>
  <c r="DM34" i="3"/>
  <c r="AU33" i="3"/>
  <c r="DN21" i="3" a="1"/>
  <c r="DM21" i="3"/>
  <c r="AU25" i="3"/>
  <c r="DM17" i="3"/>
  <c r="DN17" i="3" a="1"/>
  <c r="AU57" i="3"/>
  <c r="DN33" i="3" a="1"/>
  <c r="DM33" i="3"/>
  <c r="AU16" i="3"/>
  <c r="DN12" i="3" a="1"/>
  <c r="DM12" i="3"/>
  <c r="AU38" i="3"/>
  <c r="DN22" i="3" a="1"/>
  <c r="DM22" i="3"/>
  <c r="AU9" i="3"/>
  <c r="DM9" i="3"/>
  <c r="DN9" i="3" a="1"/>
  <c r="AU71" i="3"/>
  <c r="DM39" i="3"/>
  <c r="DN39" i="3" a="1"/>
  <c r="AU64" i="3"/>
  <c r="DN36" i="3" a="1"/>
  <c r="DM36" i="3"/>
  <c r="AU89" i="3"/>
  <c r="DN49" i="3" a="1"/>
  <c r="DM49" i="3"/>
  <c r="AU97" i="3"/>
  <c r="DM53" i="3"/>
  <c r="DN53" i="3" a="1"/>
  <c r="AU48" i="3"/>
  <c r="DM28" i="3"/>
  <c r="DN28" i="3" a="1"/>
  <c r="AU39" i="3"/>
  <c r="DN23" i="3" a="1"/>
  <c r="DM23" i="3"/>
  <c r="AU40" i="3"/>
  <c r="DN24" i="3" a="1"/>
  <c r="DM24" i="3"/>
  <c r="AU6" i="3"/>
  <c r="DN6" i="3" a="1"/>
  <c r="DM6" i="3"/>
  <c r="AU23" i="3"/>
  <c r="DN15" i="3" a="1"/>
  <c r="DM15" i="3"/>
  <c r="AU54" i="3"/>
  <c r="DN30" i="3" a="1"/>
  <c r="DM30" i="3"/>
  <c r="AU41" i="3"/>
  <c r="DN25" i="3" a="1"/>
  <c r="DM25" i="3"/>
  <c r="AU96" i="3"/>
  <c r="DN52" i="3" a="1"/>
  <c r="DM52" i="3"/>
  <c r="AU73" i="3"/>
  <c r="DN41" i="3" a="1"/>
  <c r="DM41" i="3"/>
  <c r="AU32" i="3"/>
  <c r="DN20" i="3" a="1"/>
  <c r="DM20" i="3"/>
  <c r="AU78" i="3"/>
  <c r="DN42" i="3" a="1"/>
  <c r="DM42" i="3"/>
  <c r="AU31" i="3"/>
  <c r="DN19" i="3" a="1"/>
  <c r="DM19" i="3"/>
  <c r="AU15" i="3"/>
  <c r="DM11" i="3"/>
  <c r="DN11" i="3" a="1"/>
  <c r="AU79" i="3"/>
  <c r="DM43" i="3"/>
  <c r="DN43" i="3" a="1"/>
  <c r="AU88" i="3"/>
  <c r="DN48" i="3" a="1"/>
  <c r="DM48" i="3"/>
  <c r="AU95" i="3"/>
  <c r="DN51" i="3" a="1"/>
  <c r="DM51" i="3"/>
  <c r="AU22" i="3"/>
  <c r="DN14" i="3" a="1"/>
  <c r="DM14" i="3"/>
  <c r="AU80" i="3"/>
  <c r="DN44" i="3" a="1"/>
  <c r="DM44" i="3"/>
  <c r="AU70" i="3"/>
  <c r="DM38" i="3"/>
  <c r="DN38" i="3" a="1"/>
  <c r="AU46" i="3"/>
  <c r="DM26" i="3"/>
  <c r="DN26" i="3" a="1"/>
  <c r="AU24" i="3"/>
  <c r="DN16" i="3" a="1"/>
  <c r="DM16" i="3"/>
  <c r="AU63" i="3"/>
  <c r="DN35" i="3" a="1"/>
  <c r="DM35" i="3"/>
  <c r="AU14" i="3"/>
  <c r="DN10" i="3" a="1"/>
  <c r="DM10" i="3"/>
  <c r="AU65" i="3"/>
  <c r="DN37" i="3" a="1"/>
  <c r="DM37" i="3"/>
  <c r="AU56" i="3"/>
  <c r="DM32" i="3"/>
  <c r="DN32" i="3" a="1"/>
  <c r="AU72" i="3"/>
  <c r="DN40" i="3" a="1"/>
  <c r="DM40" i="3"/>
  <c r="AU30" i="3"/>
  <c r="DN18" i="3" a="1"/>
  <c r="DM18" i="3"/>
  <c r="AU49" i="3"/>
  <c r="DM29" i="3"/>
  <c r="DN29" i="3" a="1"/>
  <c r="AU8" i="3"/>
  <c r="DM8" i="3"/>
  <c r="DN8" i="3" a="1"/>
  <c r="AU7" i="3"/>
  <c r="DN7" i="3" a="1"/>
  <c r="DM7" i="3"/>
  <c r="AU94" i="3"/>
  <c r="DM50" i="3"/>
  <c r="DN50" i="3" a="1"/>
  <c r="DG26" i="3"/>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AU29" i="3" l="1"/>
  <c r="AV28" i="3" s="1"/>
  <c r="AU45" i="3"/>
  <c r="AV44" i="3" s="1"/>
  <c r="AU85" i="3"/>
  <c r="AV84" i="3" s="1"/>
  <c r="AU5" i="3"/>
  <c r="AV4" i="3" s="1"/>
  <c r="AU13" i="3"/>
  <c r="AV12" i="3" s="1"/>
  <c r="AU61" i="3"/>
  <c r="AV60" i="3" s="1"/>
  <c r="AU37" i="3"/>
  <c r="AV36" i="3" s="1"/>
  <c r="AU77" i="3"/>
  <c r="AV76" i="3" s="1"/>
  <c r="AU69" i="3"/>
  <c r="AV68" i="3" s="1"/>
  <c r="AU21" i="3"/>
  <c r="AV20" i="3" s="1"/>
  <c r="AU53" i="3"/>
  <c r="AV52" i="3" s="1"/>
  <c r="AU93" i="3"/>
  <c r="AV92" i="3" s="1"/>
  <c r="DH25" i="3"/>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DF14" i="3" l="1"/>
  <c r="DF10" i="3"/>
  <c r="DF12" i="3"/>
  <c r="DF11" i="3"/>
  <c r="DF15" i="3"/>
  <c r="DF28" i="3"/>
  <c r="DF34" i="3"/>
  <c r="DF31" i="3"/>
  <c r="DF33" i="3"/>
  <c r="DF46" i="3"/>
  <c r="DF24" i="3"/>
  <c r="DF23" i="3"/>
  <c r="DF42" i="3"/>
  <c r="DF35" i="3"/>
  <c r="DF38" i="3"/>
  <c r="DF43" i="3"/>
  <c r="DF53" i="3"/>
  <c r="DF22" i="3"/>
  <c r="DF37" i="3"/>
  <c r="DF39" i="3"/>
  <c r="DF18" i="3"/>
  <c r="DF41" i="3"/>
  <c r="DF30" i="3"/>
  <c r="DF51" i="3"/>
  <c r="DF40" i="3"/>
  <c r="DF45" i="3"/>
  <c r="DF48" i="3"/>
  <c r="DF36" i="3"/>
  <c r="DF49" i="3"/>
  <c r="DF25" i="3"/>
  <c r="DF44" i="3"/>
  <c r="DF50" i="3"/>
  <c r="DF21" i="3"/>
  <c r="DF13" i="3"/>
  <c r="DF29" i="3"/>
  <c r="DF26" i="3"/>
  <c r="DF17" i="3"/>
  <c r="DF16" i="3"/>
  <c r="DF52" i="3"/>
  <c r="DF27" i="3"/>
  <c r="DF19" i="3"/>
  <c r="DF20" i="3"/>
  <c r="DF47" i="3"/>
  <c r="DF32" i="3"/>
  <c r="AL48" i="3"/>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P8" i="3"/>
  <c r="AM80" i="3"/>
  <c r="U30" i="45" s="1"/>
  <c r="AN80" i="3"/>
  <c r="AK80" i="3" a="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M62" i="3"/>
  <c r="U12" i="45" s="1"/>
  <c r="AP62" i="3"/>
  <c r="AO62" i="3"/>
  <c r="AM47" i="3"/>
  <c r="I45" i="45" s="1"/>
  <c r="H45" i="45"/>
  <c r="AS47" i="3"/>
  <c r="AQ47" i="3"/>
  <c r="AR47" i="3"/>
  <c r="N104" i="3"/>
  <c r="AF102" i="3" s="1"/>
  <c r="AP47" i="3"/>
  <c r="AK47" i="3" a="1"/>
  <c r="AO47" i="3"/>
  <c r="AN47" i="3"/>
  <c r="AT47" i="3"/>
  <c r="J45" i="45" s="1"/>
  <c r="AT22" i="3"/>
  <c r="J20" i="45" s="1"/>
  <c r="H20" i="45"/>
  <c r="AR22" i="3"/>
  <c r="AN22" i="3"/>
  <c r="AK22" i="3" a="1"/>
  <c r="AP22" i="3"/>
  <c r="AQ22" i="3"/>
  <c r="AS22" i="3"/>
  <c r="M104" i="3"/>
  <c r="AA102" i="3" s="1"/>
  <c r="AO22" i="3"/>
  <c r="AM22" i="3"/>
  <c r="I20" i="45" s="1"/>
  <c r="AN23" i="3"/>
  <c r="AT23" i="3"/>
  <c r="J21" i="45" s="1"/>
  <c r="AK23" i="3" a="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72" i="3" a="1"/>
  <c r="AS72" i="3"/>
  <c r="T22" i="45"/>
  <c r="AO72" i="3"/>
  <c r="AM72" i="3"/>
  <c r="U22" i="45" s="1"/>
  <c r="AT72" i="3"/>
  <c r="V22" i="45" s="1"/>
  <c r="AP72" i="3"/>
  <c r="AN72" i="3"/>
  <c r="AQ72" i="3"/>
  <c r="AR72" i="3"/>
  <c r="AS70" i="3"/>
  <c r="AN70" i="3"/>
  <c r="AM70" i="3"/>
  <c r="U20" i="45" s="1"/>
  <c r="AQ70" i="3"/>
  <c r="T20" i="45"/>
  <c r="AK70" i="3" a="1"/>
  <c r="M105" i="3"/>
  <c r="AA106" i="3" s="1"/>
  <c r="AP70" i="3"/>
  <c r="AR70" i="3"/>
  <c r="W20" i="45" s="1"/>
  <c r="AT70" i="3"/>
  <c r="V20" i="45" s="1"/>
  <c r="AO70" i="3"/>
  <c r="AP54" i="3"/>
  <c r="AT54" i="3"/>
  <c r="V4" i="45" s="1"/>
  <c r="AS54" i="3"/>
  <c r="AM54" i="3"/>
  <c r="U4" i="45" s="1"/>
  <c r="AR54" i="3"/>
  <c r="AQ54" i="3"/>
  <c r="AN54" i="3"/>
  <c r="AK54" i="3" a="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P33" i="3"/>
  <c r="AM33" i="3"/>
  <c r="I31" i="45" s="1"/>
  <c r="AO33" i="3"/>
  <c r="AN33" i="3"/>
  <c r="AQ33" i="3"/>
  <c r="AS33" i="3"/>
  <c r="AT33" i="3"/>
  <c r="J31" i="45" s="1"/>
  <c r="AR33" i="3"/>
  <c r="H31" i="45"/>
  <c r="AT41" i="3"/>
  <c r="J39" i="45" s="1"/>
  <c r="AN41" i="3"/>
  <c r="AM41" i="3"/>
  <c r="I39" i="45" s="1"/>
  <c r="AR41" i="3"/>
  <c r="AO41" i="3"/>
  <c r="AP41" i="3"/>
  <c r="H39" i="45"/>
  <c r="AK41" i="3" a="1"/>
  <c r="AQ41" i="3"/>
  <c r="AS41" i="3"/>
  <c r="AT86" i="3"/>
  <c r="V36" i="45" s="1"/>
  <c r="M115" i="3"/>
  <c r="AA116" i="3" s="1"/>
  <c r="AS86" i="3"/>
  <c r="AQ86" i="3"/>
  <c r="AP86" i="3"/>
  <c r="T36" i="45"/>
  <c r="AO86" i="3"/>
  <c r="AR86" i="3"/>
  <c r="AK86" i="3" a="1"/>
  <c r="AN86" i="3"/>
  <c r="AM86" i="3"/>
  <c r="U36" i="45" s="1"/>
  <c r="AS96" i="3"/>
  <c r="AM96" i="3"/>
  <c r="U46" i="45" s="1"/>
  <c r="AT96" i="3"/>
  <c r="V46" i="45" s="1"/>
  <c r="AK96" i="3" a="1"/>
  <c r="AQ96" i="3"/>
  <c r="AP96" i="3"/>
  <c r="AN96" i="3"/>
  <c r="T46" i="45"/>
  <c r="AR96" i="3"/>
  <c r="AO96" i="3"/>
  <c r="BF67" i="3"/>
  <c r="AR57" i="3"/>
  <c r="T7" i="45"/>
  <c r="AP57" i="3"/>
  <c r="AQ57" i="3"/>
  <c r="AK57" i="3" a="1"/>
  <c r="AO57" i="3"/>
  <c r="AN57" i="3"/>
  <c r="AT57" i="3"/>
  <c r="V7" i="45" s="1"/>
  <c r="AM57" i="3"/>
  <c r="U7" i="45" s="1"/>
  <c r="AS57" i="3"/>
  <c r="M101" i="3"/>
  <c r="AA101" i="3" s="1"/>
  <c r="AQ7" i="3"/>
  <c r="AO7" i="3"/>
  <c r="AK7" i="3" a="1"/>
  <c r="AN7" i="3"/>
  <c r="AT7" i="3"/>
  <c r="J5" i="45" s="1"/>
  <c r="AP7" i="3"/>
  <c r="AR7" i="3"/>
  <c r="H5" i="45"/>
  <c r="AS7" i="3"/>
  <c r="AM7" i="3"/>
  <c r="I5" i="45" s="1"/>
  <c r="AT95" i="3"/>
  <c r="V45" i="45" s="1"/>
  <c r="AP95" i="3"/>
  <c r="AR95" i="3"/>
  <c r="AM95" i="3"/>
  <c r="U45" i="45" s="1"/>
  <c r="AN95" i="3"/>
  <c r="AQ95" i="3"/>
  <c r="AO95" i="3"/>
  <c r="N111" i="3"/>
  <c r="AF112" i="3" s="1"/>
  <c r="AK95" i="3" a="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O31" i="3"/>
  <c r="AK31" i="3" a="1"/>
  <c r="AQ31" i="3"/>
  <c r="AM31" i="3"/>
  <c r="I29" i="45" s="1"/>
  <c r="H29" i="45"/>
  <c r="AP31" i="3"/>
  <c r="AR31" i="3"/>
  <c r="AT31" i="3"/>
  <c r="J29" i="45" s="1"/>
  <c r="M116" i="3"/>
  <c r="AA114" i="3" s="1"/>
  <c r="AS31" i="3"/>
  <c r="AN31" i="3"/>
  <c r="AK38" i="3" a="1"/>
  <c r="AQ38" i="3"/>
  <c r="AR38" i="3"/>
  <c r="AO38" i="3"/>
  <c r="AT38" i="3"/>
  <c r="J36" i="45" s="1"/>
  <c r="AS38" i="3"/>
  <c r="AP38" i="3"/>
  <c r="H36" i="45"/>
  <c r="AM38" i="3"/>
  <c r="I36" i="45" s="1"/>
  <c r="M102" i="3"/>
  <c r="AA103" i="3" s="1"/>
  <c r="AN38" i="3"/>
  <c r="AN46" i="3"/>
  <c r="AP46" i="3"/>
  <c r="AM46" i="3"/>
  <c r="I44" i="45" s="1"/>
  <c r="AT46" i="3"/>
  <c r="J44" i="45" s="1"/>
  <c r="AK46" i="3" a="1"/>
  <c r="H44" i="45"/>
  <c r="AS46" i="3"/>
  <c r="AR46" i="3"/>
  <c r="AQ46" i="3"/>
  <c r="AO46" i="3"/>
  <c r="M103" i="3"/>
  <c r="AA104" i="3" s="1"/>
  <c r="AN71" i="3"/>
  <c r="AQ71" i="3"/>
  <c r="T21" i="45"/>
  <c r="AS71" i="3"/>
  <c r="AP71" i="3"/>
  <c r="AK71" i="3" a="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R65" i="3"/>
  <c r="AS65" i="3"/>
  <c r="AO65" i="3"/>
  <c r="AP65" i="3"/>
  <c r="T15" i="45"/>
  <c r="AQ65" i="3"/>
  <c r="AT65" i="3"/>
  <c r="V15" i="45" s="1"/>
  <c r="AM65" i="3"/>
  <c r="U15" i="45" s="1"/>
  <c r="AN65" i="3"/>
  <c r="M107" i="3"/>
  <c r="AA107" i="3" s="1"/>
  <c r="AP6" i="3"/>
  <c r="AK6" i="3" a="1"/>
  <c r="AO6" i="3"/>
  <c r="H4" i="45"/>
  <c r="AN6" i="3"/>
  <c r="AT6" i="3"/>
  <c r="J4" i="45" s="1"/>
  <c r="AM6" i="3"/>
  <c r="I4" i="45" s="1"/>
  <c r="AQ6" i="3"/>
  <c r="AS6" i="3"/>
  <c r="AR6" i="3"/>
  <c r="AQ32" i="3"/>
  <c r="AN32" i="3"/>
  <c r="AS32" i="3"/>
  <c r="AT32" i="3"/>
  <c r="J30" i="45" s="1"/>
  <c r="AM32" i="3"/>
  <c r="I30" i="45" s="1"/>
  <c r="H30" i="45"/>
  <c r="AO32" i="3"/>
  <c r="AR32" i="3"/>
  <c r="AP32" i="3"/>
  <c r="AK32" i="3" a="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N30" i="3"/>
  <c r="AR30" i="3"/>
  <c r="AQ30" i="3"/>
  <c r="AT30" i="3"/>
  <c r="J28" i="45" s="1"/>
  <c r="AO30" i="3"/>
  <c r="H28" i="45"/>
  <c r="AM30" i="3"/>
  <c r="I28" i="45" s="1"/>
  <c r="AS30" i="3"/>
  <c r="AN88" i="3"/>
  <c r="AR88" i="3"/>
  <c r="AS88" i="3"/>
  <c r="AQ88" i="3"/>
  <c r="AK88" i="3" a="1"/>
  <c r="AM88" i="3"/>
  <c r="U38" i="45" s="1"/>
  <c r="AT88" i="3"/>
  <c r="V38" i="45" s="1"/>
  <c r="T38" i="45"/>
  <c r="AP88" i="3"/>
  <c r="AO88" i="3"/>
  <c r="AP97" i="3"/>
  <c r="AT97" i="3"/>
  <c r="V47" i="45" s="1"/>
  <c r="AN97" i="3"/>
  <c r="AQ97" i="3"/>
  <c r="AR97" i="3"/>
  <c r="AS97" i="3"/>
  <c r="AM97" i="3"/>
  <c r="U47" i="45" s="1"/>
  <c r="T47" i="45"/>
  <c r="AK97" i="3" a="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Q89" i="3"/>
  <c r="AO24" i="3"/>
  <c r="AM24" i="3"/>
  <c r="I22" i="45" s="1"/>
  <c r="AK24" i="3" a="1"/>
  <c r="AR24" i="3"/>
  <c r="AT24" i="3"/>
  <c r="J22" i="45" s="1"/>
  <c r="H22" i="45"/>
  <c r="AQ24" i="3"/>
  <c r="AP24" i="3"/>
  <c r="AN24" i="3"/>
  <c r="AS24" i="3"/>
  <c r="AN49" i="3"/>
  <c r="AT49" i="3"/>
  <c r="J47" i="45" s="1"/>
  <c r="AS49" i="3"/>
  <c r="AM49" i="3"/>
  <c r="I47" i="45" s="1"/>
  <c r="AR49" i="3"/>
  <c r="AK49" i="3" a="1"/>
  <c r="H47" i="45"/>
  <c r="AP49" i="3"/>
  <c r="AQ49" i="3"/>
  <c r="AO49" i="3"/>
  <c r="AP17" i="3"/>
  <c r="AQ17" i="3"/>
  <c r="H15" i="45"/>
  <c r="AO17" i="3"/>
  <c r="AK17" i="3" a="1"/>
  <c r="AT17" i="3"/>
  <c r="J15" i="45" s="1"/>
  <c r="AN17" i="3"/>
  <c r="AR17" i="3"/>
  <c r="AS17" i="3"/>
  <c r="AM17" i="3"/>
  <c r="I15" i="45" s="1"/>
  <c r="AS64" i="3"/>
  <c r="AK64" i="3" a="1"/>
  <c r="AP64" i="3"/>
  <c r="AO64" i="3"/>
  <c r="T14" i="45"/>
  <c r="AR64" i="3"/>
  <c r="AQ64" i="3"/>
  <c r="AN64" i="3"/>
  <c r="AT64" i="3"/>
  <c r="V14" i="45" s="1"/>
  <c r="AM64" i="3"/>
  <c r="U14" i="45" s="1"/>
  <c r="BF60" i="3"/>
  <c r="BJ60" i="3" s="1"/>
  <c r="AM81" i="3"/>
  <c r="U31" i="45" s="1"/>
  <c r="AT81" i="3"/>
  <c r="V31" i="45" s="1"/>
  <c r="AO81" i="3"/>
  <c r="AS81" i="3"/>
  <c r="T31" i="45"/>
  <c r="AP81" i="3"/>
  <c r="AK81" i="3" a="1"/>
  <c r="AR81" i="3"/>
  <c r="AQ81" i="3"/>
  <c r="AN81" i="3"/>
  <c r="AT9" i="3"/>
  <c r="J7" i="45" s="1"/>
  <c r="AM9" i="3"/>
  <c r="I7" i="45" s="1"/>
  <c r="AO9" i="3"/>
  <c r="AP9" i="3"/>
  <c r="AK9" i="3" a="1"/>
  <c r="AN9" i="3"/>
  <c r="AR9" i="3"/>
  <c r="AQ9" i="3"/>
  <c r="H7" i="45"/>
  <c r="AS9" i="3"/>
  <c r="AO73" i="3"/>
  <c r="T23" i="45"/>
  <c r="AQ73" i="3"/>
  <c r="AR73" i="3"/>
  <c r="AT73" i="3"/>
  <c r="V23" i="45" s="1"/>
  <c r="AS73" i="3"/>
  <c r="AN73" i="3"/>
  <c r="AM73" i="3"/>
  <c r="U23" i="45" s="1"/>
  <c r="AK73" i="3" a="1"/>
  <c r="AP73" i="3"/>
  <c r="AP14" i="3"/>
  <c r="H12" i="45"/>
  <c r="AM14" i="3"/>
  <c r="I12" i="45" s="1"/>
  <c r="AK14" i="3" a="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N112" i="3"/>
  <c r="AF111" i="3" s="1"/>
  <c r="AP79" i="3"/>
  <c r="AS79" i="3"/>
  <c r="T29" i="45"/>
  <c r="AN79" i="3"/>
  <c r="AR79" i="3"/>
  <c r="AN56" i="3"/>
  <c r="AT56" i="3"/>
  <c r="V6" i="45" s="1"/>
  <c r="AO56" i="3"/>
  <c r="AK56" i="3" a="1"/>
  <c r="AR56" i="3"/>
  <c r="T6" i="45"/>
  <c r="AS56" i="3"/>
  <c r="AP56" i="3"/>
  <c r="AQ56" i="3"/>
  <c r="AM56" i="3"/>
  <c r="U6" i="45" s="1"/>
  <c r="T37" i="45"/>
  <c r="AR87" i="3"/>
  <c r="AQ87" i="3"/>
  <c r="M111" i="3"/>
  <c r="AA112" i="3" s="1"/>
  <c r="AO87" i="3"/>
  <c r="AM87" i="3"/>
  <c r="U37" i="45" s="1"/>
  <c r="AS87" i="3"/>
  <c r="AP87" i="3"/>
  <c r="AN87" i="3"/>
  <c r="AK87" i="3" a="1"/>
  <c r="AT87" i="3"/>
  <c r="V37" i="45" s="1"/>
  <c r="T28" i="45"/>
  <c r="AT78" i="3"/>
  <c r="V28" i="45" s="1"/>
  <c r="AO78" i="3"/>
  <c r="AK78" i="3" a="1"/>
  <c r="AS78" i="3"/>
  <c r="M114" i="3"/>
  <c r="AA115" i="3" s="1"/>
  <c r="AM78" i="3"/>
  <c r="U28" i="45" s="1"/>
  <c r="AR78" i="3"/>
  <c r="AP78" i="3"/>
  <c r="AN78" i="3"/>
  <c r="AQ78" i="3"/>
  <c r="AO25" i="3"/>
  <c r="AM25" i="3"/>
  <c r="I23" i="45" s="1"/>
  <c r="AK25" i="3" a="1"/>
  <c r="AR25" i="3"/>
  <c r="AT25" i="3"/>
  <c r="J23" i="45" s="1"/>
  <c r="AQ25" i="3"/>
  <c r="AP25" i="3"/>
  <c r="H23" i="45"/>
  <c r="AN25" i="3"/>
  <c r="AS25" i="3"/>
  <c r="AP48" i="3"/>
  <c r="AQ48" i="3"/>
  <c r="AS48" i="3"/>
  <c r="AM48" i="3"/>
  <c r="I46" i="45" s="1"/>
  <c r="AN48" i="3"/>
  <c r="AT48" i="3"/>
  <c r="J46" i="45" s="1"/>
  <c r="H46" i="45"/>
  <c r="AO48" i="3"/>
  <c r="AR48" i="3"/>
  <c r="AK48" i="3" a="1"/>
  <c r="BF58" i="3"/>
  <c r="BE58" i="3" s="1"/>
  <c r="BR58" i="3" s="1"/>
  <c r="AR40" i="3"/>
  <c r="AT40" i="3"/>
  <c r="J38" i="45" s="1"/>
  <c r="AK40" i="3" a="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M55" i="3"/>
  <c r="U5" i="45" s="1"/>
  <c r="AP55" i="3"/>
  <c r="T5" i="45"/>
  <c r="AO55" i="3"/>
  <c r="AT55" i="3"/>
  <c r="V5" i="45" s="1"/>
  <c r="N116" i="3"/>
  <c r="AF114" i="3" s="1"/>
  <c r="AS63" i="3"/>
  <c r="T13" i="45"/>
  <c r="AT63" i="3"/>
  <c r="V13" i="45" s="1"/>
  <c r="AO63" i="3"/>
  <c r="AP63" i="3"/>
  <c r="AN63" i="3"/>
  <c r="N114" i="3"/>
  <c r="AF115" i="3" s="1"/>
  <c r="AR63" i="3"/>
  <c r="AM63" i="3"/>
  <c r="U13" i="45" s="1"/>
  <c r="AK63" i="3" a="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Q16" i="3"/>
  <c r="AR16" i="3"/>
  <c r="AT16" i="3"/>
  <c r="J14" i="45" s="1"/>
  <c r="AO16" i="3"/>
  <c r="H14" i="45"/>
  <c r="AN16" i="3"/>
  <c r="AS16" i="3"/>
  <c r="AK94" i="3" a="1"/>
  <c r="AN94" i="3"/>
  <c r="T44" i="45"/>
  <c r="AO94" i="3"/>
  <c r="AM94" i="3"/>
  <c r="U44" i="45" s="1"/>
  <c r="AT94" i="3"/>
  <c r="V44" i="45" s="1"/>
  <c r="M108" i="3"/>
  <c r="AA108" i="3" s="1"/>
  <c r="AQ94" i="3"/>
  <c r="AP94" i="3"/>
  <c r="AS94" i="3"/>
  <c r="AR94" i="3"/>
  <c r="W22" i="45" l="1"/>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AA19" i="45"/>
  <c r="M156" i="46"/>
  <c r="M139" i="46"/>
  <c r="AA21" i="45"/>
  <c r="M132" i="46"/>
  <c r="AA3" i="45"/>
  <c r="C175" i="46"/>
  <c r="D15" i="48" s="1" a="1"/>
  <c r="M157" i="46"/>
  <c r="D112" i="3"/>
  <c r="AA16" i="45"/>
  <c r="K37" i="45"/>
  <c r="M124" i="46"/>
  <c r="M127" i="46"/>
  <c r="M125" i="46"/>
  <c r="M126" i="46"/>
  <c r="W13" i="45"/>
  <c r="M159" i="46"/>
  <c r="AA43" i="45"/>
  <c r="C177" i="46"/>
  <c r="D17" i="48" s="1" a="1"/>
  <c r="W21" i="45"/>
  <c r="K13" i="45"/>
  <c r="K21" i="45"/>
  <c r="M160" i="46"/>
  <c r="AA40" i="45"/>
  <c r="C178" i="46"/>
  <c r="D18" i="48" s="1" a="1"/>
  <c r="M119" i="46"/>
  <c r="M116" i="46"/>
  <c r="M118" i="46"/>
  <c r="M117" i="46"/>
  <c r="K47" i="45"/>
  <c r="AA33" i="45"/>
  <c r="M136" i="46"/>
  <c r="M150" i="46"/>
  <c r="D105" i="3"/>
  <c r="C168" i="46"/>
  <c r="D8" i="48" s="1" a="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M149" i="46"/>
  <c r="AA13" i="45"/>
  <c r="D104" i="3"/>
  <c r="M141" i="46"/>
  <c r="K175" i="46"/>
  <c r="DT112" i="3"/>
  <c r="AA15" i="45"/>
  <c r="W38" i="45"/>
  <c r="K28" i="45"/>
  <c r="M82" i="46"/>
  <c r="M83" i="46"/>
  <c r="M80" i="46"/>
  <c r="M81" i="46"/>
  <c r="W45" i="45"/>
  <c r="M135" i="46"/>
  <c r="AA6" i="45"/>
  <c r="AA28" i="45"/>
  <c r="M147" i="46"/>
  <c r="C165" i="46"/>
  <c r="D5" i="48" s="1" a="1"/>
  <c r="D102" i="3"/>
  <c r="D115" i="3"/>
  <c r="DT115" i="3"/>
  <c r="K178" i="46"/>
  <c r="AA39" i="45"/>
  <c r="M144" i="46"/>
  <c r="W6" i="45"/>
  <c r="M85" i="46"/>
  <c r="M87" i="46"/>
  <c r="M86" i="46"/>
  <c r="M84" i="46"/>
  <c r="M94" i="46"/>
  <c r="M95" i="46"/>
  <c r="M93" i="46"/>
  <c r="M92" i="46"/>
  <c r="M101" i="46"/>
  <c r="M102" i="46"/>
  <c r="M103" i="46"/>
  <c r="M100" i="46"/>
  <c r="AA10" i="45"/>
  <c r="M146" i="46"/>
  <c r="C164" i="46"/>
  <c r="D4" i="48" s="1" a="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48" a="1"/>
  <c r="A8" i="48" a="1"/>
  <c r="A8" i="50" a="1"/>
  <c r="A4" i="50" a="1"/>
  <c r="A4" i="48" a="1"/>
  <c r="A18" i="50" a="1"/>
  <c r="A18" i="48" a="1"/>
  <c r="A5" i="48" a="1"/>
  <c r="A5" i="50" a="1"/>
  <c r="A7" i="48" a="1"/>
  <c r="A7" i="50" a="1"/>
  <c r="A14" i="48" a="1"/>
  <c r="A14" i="50" a="1"/>
  <c r="A15" i="50" a="1"/>
  <c r="A15" i="48" a="1"/>
  <c r="BL63" i="3"/>
  <c r="BL65" i="3"/>
  <c r="BL62" i="3"/>
  <c r="BE62" i="3"/>
  <c r="BR62" i="3" s="1"/>
  <c r="BS60" i="3" s="1"/>
  <c r="BL61" i="3"/>
  <c r="BL67" i="3"/>
  <c r="BL59" i="3"/>
  <c r="BL58" i="3"/>
  <c r="C6" i="48" a="1"/>
  <c r="C5" i="48" a="1"/>
  <c r="B5" i="50" a="1"/>
  <c r="C19" i="48" a="1"/>
  <c r="B4" i="50" a="1"/>
  <c r="C4" i="48" a="1"/>
  <c r="C18" i="48" a="1"/>
  <c r="B18" i="50" a="1"/>
  <c r="C9" i="48" a="1"/>
  <c r="B17" i="50" a="1"/>
  <c r="C17" i="48" a="1"/>
  <c r="C12" i="48" a="1"/>
  <c r="C7" i="48" a="1"/>
  <c r="B7" i="50" a="1"/>
  <c r="C8" i="48" a="1"/>
  <c r="B8" i="50" a="1"/>
  <c r="C11" i="48" a="1"/>
  <c r="C15" i="48" a="1"/>
  <c r="B15" i="50" a="1"/>
  <c r="C16" i="48" a="1"/>
  <c r="C10" i="48" a="1"/>
  <c r="C13" i="48" a="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B30" i="48" s="1"/>
  <c r="B30" i="50" a="1"/>
  <c r="C24" i="48" a="1"/>
  <c r="B24" i="48" s="1"/>
  <c r="B24" i="50" a="1"/>
  <c r="B34" i="50" a="1"/>
  <c r="C34" i="48" a="1"/>
  <c r="B34" i="48" s="1"/>
  <c r="B20" i="50" a="1"/>
  <c r="C20" i="48" a="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C14" i="48" a="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M38" i="45" a="1"/>
  <c r="M229" i="46"/>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AU108" i="3"/>
  <c r="DM67" i="3"/>
  <c r="DN63" i="3" a="1"/>
  <c r="DM63" i="3"/>
  <c r="DN64" i="3" a="1"/>
  <c r="DM60" i="3"/>
  <c r="DN60" i="3" a="1"/>
  <c r="CE62" i="3"/>
  <c r="CE59" i="3"/>
  <c r="DN62" i="3" a="1"/>
  <c r="CE60" i="3"/>
  <c r="CE66" i="3"/>
  <c r="AU105" i="3"/>
  <c r="DM61" i="3"/>
  <c r="DN61" i="3" a="1"/>
  <c r="AU102" i="3"/>
  <c r="DM58" i="3"/>
  <c r="DN58" i="3" a="1"/>
  <c r="CE65" i="3"/>
  <c r="DN59" i="3" a="1"/>
  <c r="AU103" i="3"/>
  <c r="CE68" i="3"/>
  <c r="AU109" i="3"/>
  <c r="DN65" i="3" a="1"/>
  <c r="DM65" i="3"/>
  <c r="AU113" i="3"/>
  <c r="DN69" i="3" a="1"/>
  <c r="DM69" i="3"/>
  <c r="DM68" i="3"/>
  <c r="AU112" i="3"/>
  <c r="DN68" i="3" a="1"/>
  <c r="AU110" i="3"/>
  <c r="DN66" i="3" a="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S113" i="3"/>
  <c r="AN103" i="3"/>
  <c r="AK113" i="3" a="1"/>
  <c r="AR113" i="3"/>
  <c r="AM113" i="3"/>
  <c r="AO109" i="3"/>
  <c r="AK109" i="3" a="1"/>
  <c r="AR109" i="3"/>
  <c r="AT109" i="3"/>
  <c r="AP109" i="3"/>
  <c r="AR110" i="3"/>
  <c r="AQ110" i="3"/>
  <c r="AM110" i="3"/>
  <c r="AM109" i="3"/>
  <c r="AT103" i="3"/>
  <c r="AK110" i="3" a="1"/>
  <c r="AM103" i="3"/>
  <c r="AN109" i="3"/>
  <c r="AT110" i="3"/>
  <c r="BF110" i="3"/>
  <c r="AN110" i="3"/>
  <c r="AQ109" i="3"/>
  <c r="AP103" i="3"/>
  <c r="BF109" i="3"/>
  <c r="AR108" i="3"/>
  <c r="AT108" i="3"/>
  <c r="AS108" i="3"/>
  <c r="AK108" i="3" a="1"/>
  <c r="AO108" i="3"/>
  <c r="AP108" i="3"/>
  <c r="AQ108" i="3"/>
  <c r="AM108" i="3"/>
  <c r="AN108" i="3"/>
  <c r="AS110" i="3"/>
  <c r="AR103" i="3"/>
  <c r="AS103" i="3"/>
  <c r="BF104" i="3"/>
  <c r="AT102" i="3"/>
  <c r="AP102" i="3"/>
  <c r="AO102" i="3"/>
  <c r="BF103" i="3"/>
  <c r="AQ102" i="3"/>
  <c r="AM102" i="3"/>
  <c r="AS102" i="3"/>
  <c r="AK102" i="3" a="1"/>
  <c r="AR102" i="3"/>
  <c r="AN102" i="3"/>
  <c r="AQ112" i="3"/>
  <c r="AN112" i="3"/>
  <c r="AR112" i="3"/>
  <c r="AM112" i="3"/>
  <c r="AS112" i="3"/>
  <c r="AK112" i="3" a="1"/>
  <c r="AT112" i="3"/>
  <c r="AP112" i="3"/>
  <c r="AO112" i="3"/>
  <c r="AT107" i="3"/>
  <c r="AK107" i="3" a="1"/>
  <c r="AM107" i="3"/>
  <c r="AQ107" i="3"/>
  <c r="AN107" i="3"/>
  <c r="AP107" i="3"/>
  <c r="BF108" i="3"/>
  <c r="AR107" i="3"/>
  <c r="AO107" i="3"/>
  <c r="AS107" i="3"/>
  <c r="AN106" i="3"/>
  <c r="AS106" i="3"/>
  <c r="AR106" i="3"/>
  <c r="AM106" i="3"/>
  <c r="AP106" i="3"/>
  <c r="AQ106" i="3"/>
  <c r="BF107" i="3"/>
  <c r="AT106" i="3"/>
  <c r="AK106" i="3" a="1"/>
  <c r="AO106" i="3"/>
  <c r="AK105" i="3" a="1"/>
  <c r="AN105" i="3"/>
  <c r="AO105" i="3"/>
  <c r="AM105" i="3"/>
  <c r="AP105" i="3"/>
  <c r="AQ105" i="3"/>
  <c r="BF106" i="3"/>
  <c r="AT105" i="3"/>
  <c r="AR105" i="3"/>
  <c r="AS105" i="3"/>
  <c r="AK111" i="3" a="1"/>
  <c r="AR111" i="3"/>
  <c r="AT111" i="3"/>
  <c r="AQ111" i="3"/>
  <c r="AN111" i="3"/>
  <c r="AS111" i="3"/>
  <c r="AM111" i="3"/>
  <c r="AP111" i="3"/>
  <c r="AO111" i="3"/>
  <c r="AR104" i="3"/>
  <c r="AQ104" i="3"/>
  <c r="AN104" i="3"/>
  <c r="AS104" i="3"/>
  <c r="AP104" i="3"/>
  <c r="AM104" i="3"/>
  <c r="AT104" i="3"/>
  <c r="AK104" i="3" a="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16" i="3"/>
  <c r="K176" i="46"/>
  <c r="D113" i="3"/>
  <c r="D110" i="3"/>
  <c r="C169" i="46"/>
  <c r="D9" i="48" s="1" a="1"/>
  <c r="D106" i="3"/>
  <c r="DT103" i="3"/>
  <c r="D103" i="3"/>
  <c r="BG122" i="3"/>
  <c r="AZ108" i="3" s="1"/>
  <c r="BG123" i="3"/>
  <c r="AZ109" i="3" s="1"/>
  <c r="K170" i="46"/>
  <c r="D107" i="3"/>
  <c r="M158" i="46"/>
  <c r="C176" i="46"/>
  <c r="D16" i="48" s="1" a="1"/>
  <c r="AA46" i="45"/>
  <c r="DT113" i="3"/>
  <c r="K179" i="46"/>
  <c r="C32" i="48" a="1"/>
  <c r="B32" i="48" s="1"/>
  <c r="B32" i="50" a="1"/>
  <c r="M152" i="46"/>
  <c r="DT107" i="3"/>
  <c r="C171" i="46"/>
  <c r="D11" i="48" s="1" a="1"/>
  <c r="D108" i="3"/>
  <c r="N123" i="3" s="1"/>
  <c r="AF123" i="3" s="1"/>
  <c r="M153" i="46"/>
  <c r="K171" i="46"/>
  <c r="DT116" i="3"/>
  <c r="DT108" i="3"/>
  <c r="AA37" i="45"/>
  <c r="AA49" i="45"/>
  <c r="M161" i="46"/>
  <c r="K173" i="46"/>
  <c r="C170" i="46"/>
  <c r="D10" i="48" s="1" a="1"/>
  <c r="DT106" i="3"/>
  <c r="K169" i="46"/>
  <c r="M151" i="46"/>
  <c r="AA22" i="45"/>
  <c r="AA7" i="45"/>
  <c r="AA34" i="45"/>
  <c r="DT110" i="3"/>
  <c r="K166" i="46"/>
  <c r="C173" i="46"/>
  <c r="D13" i="48" s="1" a="1"/>
  <c r="M155" i="46"/>
  <c r="AA4" i="45"/>
  <c r="C166" i="46"/>
  <c r="D6" i="48" s="1" a="1"/>
  <c r="D109" i="3"/>
  <c r="AG109" i="3" s="1"/>
  <c r="AA25" i="45"/>
  <c r="C172" i="46"/>
  <c r="D12" i="48" s="1" a="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B13" i="48" s="1"/>
  <c r="A13" i="50" a="1"/>
  <c r="B13" i="50" a="1"/>
  <c r="A11" i="50" a="1"/>
  <c r="A11" i="48" a="1"/>
  <c r="B11" i="48" s="1"/>
  <c r="B11" i="50" a="1"/>
  <c r="A19" i="48" a="1"/>
  <c r="B19" i="48" s="1"/>
  <c r="A19" i="50" a="1"/>
  <c r="B19" i="50" a="1"/>
  <c r="A10" i="48" a="1"/>
  <c r="B10" i="48" s="1"/>
  <c r="A10" i="50" a="1"/>
  <c r="B10" i="50" a="1"/>
  <c r="A12" i="50" a="1"/>
  <c r="A12" i="48" a="1"/>
  <c r="B12" i="48" s="1"/>
  <c r="B12" i="50" a="1"/>
  <c r="A6" i="50" a="1"/>
  <c r="A6" i="48" a="1"/>
  <c r="B6" i="50" a="1"/>
  <c r="A9" i="48" a="1"/>
  <c r="B9" i="48" s="1"/>
  <c r="A9" i="50" a="1"/>
  <c r="B9" i="50" a="1"/>
  <c r="A16" i="48" a="1"/>
  <c r="B16" i="48" s="1"/>
  <c r="A16" i="50" a="1"/>
  <c r="B16" i="50" a="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B26" i="48" s="1"/>
  <c r="B26" i="50" a="1"/>
  <c r="B22" i="50" a="1"/>
  <c r="C22" i="48" a="1"/>
  <c r="B22" i="48" s="1"/>
  <c r="C28" i="48" a="1"/>
  <c r="B28" i="48" s="1"/>
  <c r="B28" i="50" a="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B33" i="50" a="1"/>
  <c r="C33" i="48" a="1"/>
  <c r="B33" i="48" s="1"/>
  <c r="C31" i="48" a="1"/>
  <c r="B31" i="48" s="1"/>
  <c r="B31" i="50" a="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C29" i="48" a="1"/>
  <c r="B29" i="48" s="1"/>
  <c r="AO42" i="51"/>
  <c r="AO35" i="51" s="1"/>
  <c r="AO36" i="51"/>
  <c r="C35" i="48" a="1"/>
  <c r="B35" i="48" s="1"/>
  <c r="B35" i="50" a="1"/>
  <c r="C23" i="48" a="1"/>
  <c r="B23" i="48" s="1"/>
  <c r="B23" i="50" a="1"/>
  <c r="B25" i="50" a="1"/>
  <c r="C25" i="48" a="1"/>
  <c r="B25" i="48" s="1"/>
  <c r="B21" i="50" a="1"/>
  <c r="C21" i="48" a="1"/>
  <c r="B21" i="48" s="1"/>
  <c r="C27" i="48" a="1"/>
  <c r="B27" i="48" s="1"/>
  <c r="B27" i="50" a="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AF198" i="46" l="1"/>
  <c r="AC198" i="46"/>
  <c r="AF208" i="46"/>
  <c r="Z208" i="46"/>
  <c r="AC208" i="46"/>
  <c r="W208" i="46"/>
  <c r="Z198" i="46"/>
  <c r="W198" i="46"/>
  <c r="AP35" i="51"/>
  <c r="T208" i="46"/>
  <c r="G3" i="48" a="1"/>
  <c r="H3" i="50" a="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AA143" i="3" l="1"/>
  <c r="M236" i="46" s="1"/>
  <c r="H138" i="3"/>
  <c r="M237" i="46"/>
  <c r="AQ32" i="45"/>
  <c r="S266" i="46"/>
  <c r="V266" i="46"/>
  <c r="AB266" i="46"/>
  <c r="AE266" i="46"/>
  <c r="Y266" i="46"/>
  <c r="W224" i="46"/>
  <c r="AF224" i="46"/>
  <c r="Z218" i="46"/>
  <c r="W218" i="46"/>
  <c r="Z224" i="46"/>
  <c r="AC218" i="46"/>
  <c r="AF218" i="46"/>
  <c r="AC224" i="46"/>
  <c r="N143" i="3"/>
  <c r="N147" i="3"/>
  <c r="AG139" i="3"/>
  <c r="AU26" i="45"/>
  <c r="AA151" i="3"/>
  <c r="H147" i="3"/>
  <c r="M241" i="46"/>
  <c r="AA152" i="3"/>
  <c r="D143" i="3"/>
  <c r="AG143" i="3" s="1"/>
  <c r="K232" i="46"/>
  <c r="AA147" i="3"/>
  <c r="C232" i="46"/>
  <c r="AM13" i="45"/>
  <c r="DT138" i="3"/>
  <c r="D138" i="3"/>
  <c r="M226" i="46"/>
  <c r="T218" i="46"/>
  <c r="M218" i="46"/>
  <c r="K3" i="47" s="1"/>
  <c r="T224" i="46"/>
  <c r="AQ31" i="45" l="1"/>
  <c r="C244" i="46"/>
  <c r="DT143" i="3"/>
  <c r="K244" i="46"/>
  <c r="AE264" i="46"/>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T232" i="46"/>
  <c r="T233" i="46"/>
  <c r="AG151" i="3"/>
  <c r="M251" i="46"/>
  <c r="BB23" i="45"/>
  <c r="T236" i="46"/>
  <c r="T237" i="46"/>
  <c r="M252" i="46"/>
  <c r="AG152" i="3"/>
  <c r="AZ25" i="45"/>
  <c r="M240" i="46"/>
  <c r="AA150" i="3"/>
  <c r="K247" i="46"/>
  <c r="C247" i="46"/>
  <c r="D147" i="3"/>
  <c r="AG147" i="3" s="1"/>
  <c r="AU25" i="45"/>
  <c r="DT147" i="3"/>
  <c r="T227" i="46"/>
  <c r="T229" i="46"/>
  <c r="T228" i="46"/>
  <c r="T226" i="46"/>
  <c r="N3" i="47"/>
  <c r="O2" i="47"/>
  <c r="N2" i="47"/>
  <c r="Q2" i="47"/>
  <c r="P2" i="47"/>
  <c r="Q3" i="47"/>
  <c r="AG138" i="3"/>
  <c r="M143" i="3"/>
  <c r="M147" i="3"/>
  <c r="W244" i="46" l="1"/>
  <c r="W245" i="46" s="1"/>
  <c r="Z244" i="46"/>
  <c r="Z245" i="46" s="1"/>
  <c r="AC244" i="46"/>
  <c r="AC245" i="46" s="1"/>
  <c r="AF244" i="46"/>
  <c r="AF245" i="46" s="1"/>
  <c r="T244" i="46"/>
  <c r="T245" i="46" s="1"/>
  <c r="BN24" i="45"/>
  <c r="BN47" i="45"/>
  <c r="BN20" i="45"/>
  <c r="BN18" i="45"/>
  <c r="BN26" i="45"/>
  <c r="BN33" i="45"/>
  <c r="BN14" i="45"/>
  <c r="BN11" i="45"/>
  <c r="BN23" i="45"/>
  <c r="BN37" i="45"/>
  <c r="BN49" i="45"/>
  <c r="BN28" i="45"/>
  <c r="BN8" i="45"/>
  <c r="BN17" i="45"/>
  <c r="BN35" i="45"/>
  <c r="BN48" i="45"/>
  <c r="BN27" i="45"/>
  <c r="BN34" i="45"/>
  <c r="BN10" i="45"/>
  <c r="BN25" i="45"/>
  <c r="BN29" i="45"/>
  <c r="BN46" i="45"/>
  <c r="BN43" i="45"/>
  <c r="BN16" i="45"/>
  <c r="BN38" i="45"/>
  <c r="BN31" i="45"/>
  <c r="BN6" i="45"/>
  <c r="BN22" i="45"/>
  <c r="BN39" i="45"/>
  <c r="BN30" i="45"/>
  <c r="BN9" i="45"/>
  <c r="BN45" i="45"/>
  <c r="BN40" i="45"/>
  <c r="BN32" i="45"/>
  <c r="BN19" i="45"/>
  <c r="BN50" i="45"/>
  <c r="BN12" i="45"/>
  <c r="BN5" i="45"/>
  <c r="BN13" i="45"/>
  <c r="BN7" i="45"/>
  <c r="BN44" i="45"/>
  <c r="BN42" i="45"/>
  <c r="BN4" i="45"/>
  <c r="BN21" i="45"/>
  <c r="BN41" i="45"/>
  <c r="BN36" i="45"/>
  <c r="BN51" i="45"/>
  <c r="BN15"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H6" i="48"/>
  <c r="H7" i="48"/>
  <c r="H5" i="48"/>
  <c r="H4" i="48"/>
  <c r="H8"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F259"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I35" i="51" a="1"/>
  <c r="Y35" i="51" a="1"/>
  <c r="X35" i="51" a="1"/>
  <c r="Z35" i="51" l="1" a="1"/>
  <c r="AH35" i="51" a="1"/>
  <c r="W35" i="51" a="1"/>
  <c r="Z33" i="51" l="1" a="1"/>
  <c r="E35" i="51"/>
  <c r="E36" i="51"/>
  <c r="E37" i="51"/>
  <c r="H8" i="51" a="1"/>
  <c r="F37" i="51" l="1"/>
  <c r="D34" i="51"/>
  <c r="AA35" i="51" a="1"/>
  <c r="AB35" i="51" a="1"/>
  <c r="K8" i="51" a="1"/>
  <c r="J8" i="51" a="1"/>
  <c r="F35" i="51"/>
  <c r="F36" i="51"/>
  <c r="W42" i="46"/>
  <c r="W78" i="46" s="1"/>
  <c r="V4" i="46" s="1"/>
  <c r="AC35" i="51" l="1" a="1"/>
  <c r="V3" i="46"/>
  <c r="V2" i="46"/>
  <c r="AE3" i="46"/>
  <c r="S3" i="46"/>
  <c r="AB3" i="46"/>
  <c r="Y3" i="46"/>
  <c r="AB1" i="46" l="1"/>
  <c r="V1" i="46"/>
  <c r="AE1" i="46"/>
  <c r="S1" i="46"/>
  <c r="Y1" i="46"/>
  <c r="D9" i="47" l="1"/>
  <c r="N9" i="47" a="1"/>
  <c r="S9" i="47" a="1"/>
  <c r="C9" i="47"/>
  <c r="I8" i="47" a="1"/>
  <c r="F8" i="47" a="1"/>
  <c r="G9" i="47" a="1"/>
  <c r="F9" i="47" a="1"/>
  <c r="F7" i="47" a="1"/>
  <c r="I9" i="47" a="1"/>
  <c r="J9" i="47" a="1"/>
  <c r="P9" i="47" a="1"/>
  <c r="B9" i="47"/>
  <c r="C8" i="47"/>
  <c r="L9" i="47" a="1"/>
  <c r="Q9" i="47" a="1"/>
  <c r="R9" i="47" a="1"/>
  <c r="K9" i="47" a="1"/>
  <c r="E9" i="47" a="1"/>
  <c r="O9" i="47" a="1"/>
  <c r="H9" i="47" a="1"/>
  <c r="I7" i="47" a="1"/>
  <c r="M9" i="47" a="1"/>
  <c r="H8" i="47" a="1"/>
  <c r="E8" i="47" a="1"/>
  <c r="E7" i="47" a="1"/>
  <c r="D5" i="47"/>
  <c r="C6" i="47"/>
  <c r="B5" i="47"/>
  <c r="D8" i="47"/>
  <c r="G5" i="47" a="1"/>
  <c r="B6" i="47"/>
  <c r="H5" i="47" a="1"/>
  <c r="C5" i="47"/>
  <c r="H7" i="47" a="1"/>
  <c r="B8" i="47"/>
  <c r="C7" i="47"/>
  <c r="O6" i="47" a="1"/>
  <c r="N7" i="47" a="1"/>
  <c r="I5" i="47" a="1"/>
  <c r="K8" i="47" a="1"/>
  <c r="E5" i="47" a="1"/>
  <c r="G8" i="47" a="1"/>
  <c r="D7" i="47"/>
  <c r="B7" i="47"/>
  <c r="F5" i="47" a="1"/>
  <c r="F6" i="47" a="1"/>
  <c r="J8" i="47" a="1"/>
  <c r="J5" i="47" a="1"/>
  <c r="M5" i="47" a="1"/>
  <c r="J7" i="47" a="1"/>
  <c r="E6" i="47" a="1"/>
  <c r="G7" i="47" a="1"/>
  <c r="N5" i="47" a="1"/>
  <c r="L6" i="47" a="1"/>
  <c r="D6" i="47"/>
  <c r="O8" i="47" a="1"/>
  <c r="P5" i="47" a="1"/>
  <c r="G6" i="47" a="1"/>
  <c r="S6" i="47" a="1"/>
  <c r="K5" i="47" a="1"/>
  <c r="P6" i="47" a="1"/>
  <c r="I6" i="47" a="1"/>
  <c r="M6" i="47" a="1"/>
  <c r="K6" i="47" a="1"/>
  <c r="M8" i="47" a="1"/>
  <c r="O7" i="47" a="1"/>
  <c r="N8" i="47" a="1"/>
  <c r="Q6" i="47" a="1"/>
  <c r="R7" i="47" a="1"/>
  <c r="H6" i="47" a="1"/>
  <c r="L8" i="47" a="1"/>
  <c r="K7" i="47" a="1"/>
  <c r="R5" i="47" a="1"/>
  <c r="S8" i="47" a="1"/>
  <c r="Q5" i="47" a="1"/>
  <c r="Q7" i="47" a="1"/>
  <c r="L7" i="47" a="1"/>
  <c r="R6" i="47" a="1"/>
  <c r="J6" i="47" a="1"/>
  <c r="N6" i="47" a="1"/>
  <c r="M7" i="47" a="1"/>
  <c r="P7" i="47" a="1"/>
  <c r="R8" i="47" a="1"/>
  <c r="L5" i="47" a="1"/>
  <c r="S7" i="47" a="1"/>
  <c r="Q8" i="47" a="1"/>
  <c r="S5" i="47" a="1"/>
  <c r="P8" i="47" a="1"/>
  <c r="O5" i="47" a="1"/>
  <c r="S7" i="50" l="1"/>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futureMetadata>
  <cellMetadata count="1">
    <bk>
      <rc t="1" v="0"/>
    </bk>
  </cellMetadata>
  <valueMetadata count="5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valueMetadata>
</metadata>
</file>

<file path=xl/sharedStrings.xml><?xml version="1.0" encoding="utf-8"?>
<sst xmlns="http://schemas.openxmlformats.org/spreadsheetml/2006/main" count="8742" uniqueCount="2097">
  <si>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</si>
  <si>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</si>
  <si>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</si>
  <si>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</si>
  <si>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</si>
  <si>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</si>
  <si>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</si>
  <si>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</si>
  <si>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</si>
  <si>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</si>
  <si>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</si>
  <si>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</si>
  <si>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</si>
  <si>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</si>
  <si>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</si>
  <si>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</si>
  <si>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</si>
  <si>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</si>
  <si>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</si>
  <si>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</si>
  <si>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</si>
  <si>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</si>
  <si>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</si>
  <si>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</si>
  <si>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</si>
  <si>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</si>
  <si>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</si>
  <si>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</si>
  <si>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</si>
  <si>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</si>
  <si>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</si>
  <si>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</si>
  <si>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</si>
  <si>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</si>
  <si>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</si>
  <si>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</si>
  <si>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</si>
  <si>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</si>
  <si>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</si>
  <si>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</si>
  <si>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</si>
  <si>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</si>
  <si>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</si>
  <si>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</si>
  <si>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</si>
  <si>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</si>
  <si>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</si>
  <si>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</si>
  <si>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</si>
  <si>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</si>
  <si>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</si>
  <si>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</si>
  <si>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</si>
  <si>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</si>
  <si>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</si>
  <si>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</si>
  <si>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</si>
  <si>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</si>
  <si>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</si>
  <si>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</si>
  <si>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</si>
  <si>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</si>
  <si>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</si>
  <si>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</si>
  <si>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</si>
  <si>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</si>
  <si>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</si>
  <si>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</si>
  <si>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</si>
  <si>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</si>
  <si>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</si>
  <si>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</si>
  <si>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</si>
  <si>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</si>
  <si>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</si>
  <si>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</si>
  <si>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</si>
  <si>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</si>
  <si>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</si>
  <si>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</si>
  <si>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</si>
  <si>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</si>
  <si>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</si>
  <si>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</si>
  <si>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</si>
  <si>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</si>
  <si>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</si>
  <si>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</si>
  <si>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</si>
  <si>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</si>
  <si>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</si>
  <si>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</si>
  <si>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</si>
  <si>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</si>
  <si>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</si>
  <si>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</si>
  <si>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</si>
  <si>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</si>
  <si>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</si>
  <si>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</si>
  <si>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</si>
  <si>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</si>
  <si>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</si>
  <si>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</si>
  <si>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</si>
  <si>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</si>
  <si>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</si>
  <si>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</si>
  <si>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</si>
  <si>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</si>
  <si>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</si>
  <si>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</si>
  <si>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</si>
  <si>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</si>
  <si>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</si>
  <si>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</si>
  <si>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</si>
  <si>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</si>
  <si>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</si>
  <si>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</si>
  <si>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</si>
  <si>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</si>
  <si>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</si>
  <si>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</si>
  <si>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</si>
  <si>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</si>
  <si>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</si>
  <si>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</si>
  <si>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</si>
  <si>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</si>
  <si>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</si>
  <si>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</si>
  <si>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</si>
  <si>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</si>
  <si>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</si>
  <si>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</si>
  <si>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</si>
  <si>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</si>
  <si>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</si>
  <si>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</si>
  <si>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</si>
  <si>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</si>
  <si>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</si>
  <si>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</si>
  <si>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</si>
  <si>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</si>
  <si>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</si>
  <si>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</si>
  <si>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</si>
  <si>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</si>
  <si>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</si>
  <si>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</si>
  <si>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</si>
  <si>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</si>
  <si>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</si>
  <si>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</si>
  <si>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</si>
  <si>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</si>
  <si>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</si>
  <si>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</si>
  <si>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</si>
  <si>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</si>
  <si>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</si>
  <si>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</si>
  <si>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</si>
  <si>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</si>
  <si>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</si>
  <si>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</si>
  <si>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</si>
  <si>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</si>
  <si>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</si>
  <si>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</si>
  <si>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</si>
  <si>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</si>
  <si>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</si>
  <si>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</si>
  <si>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</si>
  <si>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</si>
  <si>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</si>
  <si>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</si>
  <si>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</si>
  <si>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</si>
  <si>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</si>
  <si>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</si>
  <si>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</si>
  <si>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</si>
  <si>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</si>
  <si>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</si>
  <si>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</si>
  <si>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</si>
  <si>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</si>
  <si>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</si>
  <si>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</si>
  <si>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</si>
  <si>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</si>
  <si>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</si>
  <si>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</si>
  <si>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</si>
  <si>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</si>
  <si>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</si>
  <si>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</si>
  <si>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</si>
  <si>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</si>
  <si>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</si>
  <si>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</si>
  <si>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</si>
  <si>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</si>
  <si>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</si>
  <si>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</si>
  <si>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</si>
  <si>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</si>
  <si>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</si>
  <si>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</si>
  <si>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</si>
  <si>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</si>
  <si>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</si>
  <si>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</si>
  <si>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</si>
  <si>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</si>
  <si>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</si>
  <si>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</si>
  <si>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</si>
  <si>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</si>
  <si>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</si>
  <si>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</si>
  <si>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</si>
  <si>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</si>
  <si>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</si>
  <si>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</si>
  <si>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</si>
  <si>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</si>
  <si>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</si>
  <si>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</si>
  <si>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</si>
  <si>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</si>
  <si>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</si>
  <si>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</si>
  <si>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</si>
  <si>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</si>
  <si>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</si>
  <si>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</si>
  <si>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</si>
  <si>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</si>
  <si>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</si>
  <si>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</si>
  <si>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</si>
  <si>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</si>
  <si>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</si>
  <si>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</si>
  <si>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</si>
  <si>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</si>
  <si>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</si>
  <si>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</si>
  <si>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</si>
  <si>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</si>
  <si>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</si>
  <si>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</si>
  <si>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</si>
  <si>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</si>
  <si>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</si>
  <si>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</si>
  <si>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</si>
  <si>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</si>
  <si>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</si>
  <si>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</si>
  <si>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</si>
  <si>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</si>
  <si>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</si>
  <si>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</si>
  <si>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</si>
  <si>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</si>
  <si>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</si>
  <si>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</si>
  <si>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</si>
  <si>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</si>
  <si>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</si>
  <si>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</si>
  <si>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</si>
  <si>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</si>
  <si>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</si>
  <si>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</si>
  <si>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</si>
  <si>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</si>
  <si>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</si>
  <si>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</si>
  <si>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</si>
  <si>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</si>
  <si>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</si>
  <si>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</si>
  <si>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</si>
  <si>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</si>
  <si>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</si>
  <si>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</si>
  <si>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</si>
  <si>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</si>
  <si>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</si>
  <si>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</si>
  <si>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</si>
  <si>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</si>
  <si>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</si>
  <si>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</si>
  <si>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</si>
  <si>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</si>
  <si>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</si>
  <si>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</si>
  <si>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</si>
  <si>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</si>
  <si>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</si>
  <si>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</si>
  <si>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</si>
  <si>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</si>
  <si>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</si>
  <si>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</si>
  <si>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</si>
  <si>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</si>
  <si>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</si>
  <si>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</si>
  <si>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</si>
  <si>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</si>
  <si>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</si>
  <si>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</si>
  <si>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</si>
  <si>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</si>
  <si>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</si>
  <si>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</si>
  <si>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</si>
  <si>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</si>
  <si>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</si>
  <si>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</si>
  <si>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</si>
  <si>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</si>
  <si>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</si>
  <si>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</si>
  <si>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</si>
  <si>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</si>
  <si>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</si>
  <si>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</si>
  <si>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</si>
  <si>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</si>
  <si>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</si>
  <si>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</si>
  <si>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</si>
  <si>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</si>
  <si>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</si>
  <si>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</si>
  <si>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</si>
  <si>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</si>
  <si>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</si>
  <si>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</si>
  <si>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</si>
  <si>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</si>
  <si>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</si>
  <si>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</si>
  <si>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</si>
  <si>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</si>
  <si>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</si>
  <si>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</si>
  <si>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</si>
  <si>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</si>
  <si>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</si>
  <si>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</si>
  <si>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</si>
  <si>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</si>
  <si>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</si>
  <si>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</si>
  <si>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</si>
  <si>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</si>
  <si>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</si>
  <si>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</si>
  <si>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</si>
  <si>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</si>
  <si>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</si>
  <si>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</si>
  <si>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</si>
  <si>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</si>
  <si>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</si>
  <si>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</si>
  <si>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</si>
  <si>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</si>
  <si>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</si>
  <si>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</si>
  <si>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</si>
  <si>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</si>
  <si>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</si>
  <si>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</si>
  <si>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</si>
  <si>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</si>
  <si>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</si>
  <si>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</si>
  <si>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</si>
  <si>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</si>
  <si>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</si>
  <si>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</si>
  <si>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</si>
  <si>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</si>
  <si>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</si>
  <si>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</si>
  <si>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</si>
  <si>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</si>
  <si>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</si>
  <si>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</si>
  <si>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</si>
  <si>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</si>
  <si>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</si>
  <si>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</si>
  <si>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</si>
  <si>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</si>
  <si>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</si>
  <si>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</si>
  <si>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</si>
  <si>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</si>
  <si>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</si>
  <si>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</si>
  <si>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</si>
  <si>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</si>
  <si>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</si>
  <si>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</si>
  <si>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</si>
  <si>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</si>
  <si>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</si>
  <si>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</si>
  <si>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</si>
  <si>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</si>
  <si>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</si>
  <si>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</si>
  <si>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</si>
  <si>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</si>
  <si>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</si>
  <si>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</si>
  <si>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</si>
  <si>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</si>
  <si>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</si>
  <si>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</si>
  <si>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</si>
  <si>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</si>
  <si>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</si>
  <si>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</si>
  <si>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</si>
  <si>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</si>
  <si>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</si>
  <si>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</si>
  <si>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</si>
  <si>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</si>
  <si>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</si>
  <si>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</si>
  <si>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</si>
  <si>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</si>
  <si>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</si>
  <si>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</si>
  <si>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</si>
  <si>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</si>
  <si>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</si>
  <si>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</si>
  <si>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</si>
  <si>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</si>
  <si>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</si>
  <si>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</si>
  <si>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</si>
  <si>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</si>
  <si>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</si>
  <si>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</si>
  <si>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</si>
  <si>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</si>
  <si>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</si>
  <si>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</si>
  <si>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</si>
  <si>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</si>
  <si>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</si>
  <si>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</si>
  <si>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</si>
  <si>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</si>
  <si>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</si>
  <si>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</si>
  <si>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</si>
  <si>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</si>
  <si>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</si>
  <si>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</si>
  <si>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</si>
  <si>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</si>
  <si>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</si>
  <si>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</si>
  <si>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</si>
  <si>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</si>
  <si>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</si>
  <si>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</si>
  <si>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</si>
  <si>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</si>
  <si>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</si>
  <si>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</si>
  <si>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</si>
  <si>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</si>
  <si>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</si>
  <si>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</si>
  <si>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</si>
  <si>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</si>
  <si>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</si>
  <si>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</si>
  <si>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</si>
  <si>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</si>
  <si>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</si>
  <si>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</si>
  <si>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</si>
  <si>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</si>
  <si>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</si>
  <si>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</si>
  <si>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</si>
  <si>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</si>
  <si>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</si>
  <si>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</si>
  <si>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</si>
  <si>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</si>
  <si>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</si>
  <si>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</si>
  <si>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</si>
  <si>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</si>
  <si>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</si>
  <si>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</si>
  <si>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</si>
  <si>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</si>
  <si>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</si>
  <si>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</si>
  <si>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</si>
  <si>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</si>
  <si>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</si>
  <si>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</si>
  <si>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</si>
  <si>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</si>
  <si>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</si>
  <si>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</si>
  <si>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</si>
  <si>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</si>
  <si>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</si>
  <si>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</si>
  <si>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</si>
  <si>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</si>
  <si>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</si>
  <si>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</si>
  <si>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</si>
  <si>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</si>
  <si>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</si>
  <si>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</si>
  <si>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</si>
  <si>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</si>
  <si>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</si>
  <si>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</si>
  <si>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</si>
  <si>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</si>
  <si>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</si>
  <si>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</si>
  <si>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</si>
  <si>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</si>
  <si>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</si>
  <si>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</si>
  <si>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</si>
  <si>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</si>
  <si>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</si>
  <si>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</si>
  <si>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</si>
  <si>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</si>
  <si>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</si>
  <si>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</si>
  <si>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</si>
  <si>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</si>
  <si>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</si>
  <si>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</si>
  <si>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</si>
  <si>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</si>
  <si>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</si>
  <si>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</si>
  <si>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</si>
  <si>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</si>
  <si>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</si>
  <si>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</si>
  <si>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</si>
  <si>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</si>
  <si>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</si>
  <si>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</si>
  <si>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</si>
  <si>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</si>
  <si>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</si>
  <si>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</si>
  <si>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</si>
  <si>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</si>
  <si>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</si>
  <si>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</si>
  <si>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</si>
  <si>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</si>
  <si>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</si>
  <si>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</si>
  <si>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</si>
  <si>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</si>
  <si>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</si>
  <si>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</si>
  <si>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</si>
  <si>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</si>
  <si>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</si>
  <si>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</si>
  <si>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</si>
  <si>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</si>
  <si>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</si>
  <si>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</si>
  <si>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</si>
  <si>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</si>
  <si>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</si>
  <si>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</si>
  <si>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</si>
  <si>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</si>
  <si>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</si>
  <si>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</si>
  <si>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</si>
  <si>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</si>
  <si>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</si>
  <si>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</si>
  <si>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</si>
  <si>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</si>
  <si>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</si>
  <si>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</si>
  <si>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</si>
  <si>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</si>
  <si>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</si>
  <si>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</si>
  <si>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</si>
  <si>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</si>
  <si>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</si>
  <si>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</si>
  <si>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</si>
  <si>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</si>
  <si>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</si>
  <si>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</si>
  <si>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</si>
  <si>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</si>
  <si>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</si>
  <si>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</si>
  <si>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</si>
  <si>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</si>
  <si>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</si>
  <si>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</si>
  <si>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</si>
  <si>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</si>
  <si>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</si>
  <si>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</si>
  <si>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</si>
  <si>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</si>
  <si>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</si>
  <si>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</si>
  <si>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</si>
  <si>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</si>
  <si>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</si>
  <si>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</si>
  <si>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</si>
  <si>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</si>
  <si>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</si>
  <si>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</si>
  <si>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</si>
  <si>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</si>
  <si>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</si>
  <si>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</si>
  <si>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</si>
  <si>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</si>
  <si>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</si>
  <si>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</si>
  <si>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</si>
  <si>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</si>
  <si>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</si>
  <si>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</si>
  <si>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</si>
  <si>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</si>
  <si>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</si>
  <si>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</si>
  <si>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</si>
  <si>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</si>
  <si>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</si>
  <si>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</si>
  <si>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</si>
  <si>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</si>
  <si>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</si>
  <si>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</si>
  <si>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</si>
  <si>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</si>
  <si>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</si>
  <si>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</si>
  <si>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</si>
  <si>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</si>
  <si>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</si>
  <si>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</si>
  <si>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</si>
  <si>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</si>
  <si>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</si>
  <si>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</si>
  <si>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</si>
  <si>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</si>
  <si>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</si>
  <si>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</si>
  <si>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</si>
  <si>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</si>
  <si>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</si>
  <si>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</si>
  <si>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</si>
  <si>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</si>
  <si>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</si>
  <si>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</si>
  <si>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</si>
  <si>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</si>
  <si>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</si>
  <si>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</si>
  <si>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</si>
  <si>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</si>
  <si>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</si>
  <si>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</si>
  <si>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</si>
  <si>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</si>
  <si>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</si>
  <si>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</si>
  <si>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</si>
  <si>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</si>
  <si>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</si>
  <si>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</si>
  <si>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</si>
  <si>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</si>
  <si>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</si>
  <si>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</si>
  <si>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</si>
  <si>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</si>
  <si>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</si>
  <si>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</si>
  <si>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</si>
  <si>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</si>
  <si>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</si>
  <si>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</si>
  <si>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</si>
  <si>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</si>
  <si>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</si>
  <si>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</si>
  <si>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</si>
  <si>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</si>
  <si>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</si>
  <si>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</si>
  <si>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</si>
  <si>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</si>
  <si>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</si>
  <si>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</si>
  <si>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</si>
  <si>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</si>
  <si>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</si>
  <si>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</si>
  <si>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</si>
  <si>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</si>
  <si>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</si>
  <si>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</si>
  <si>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</si>
  <si>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</si>
  <si>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</si>
  <si>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</si>
  <si>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</si>
  <si>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</si>
  <si>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</si>
  <si>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</si>
  <si>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</si>
  <si>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</si>
  <si>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</si>
  <si>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</si>
  <si>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</si>
  <si>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</si>
  <si>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</si>
  <si>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</si>
  <si>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</si>
  <si>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</si>
  <si>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</si>
  <si>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</si>
  <si>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</si>
  <si>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</si>
  <si>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</si>
  <si>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</si>
  <si>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</si>
  <si>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</si>
  <si>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</si>
  <si>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</si>
  <si>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</si>
  <si>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</si>
  <si>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</si>
  <si>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</si>
  <si>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</si>
  <si>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</si>
  <si>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</si>
  <si>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</si>
  <si>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</si>
  <si>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</si>
  <si>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</si>
  <si>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</si>
  <si>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</si>
  <si>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</si>
  <si>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</si>
  <si>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</si>
  <si>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</si>
  <si>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</si>
  <si>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</si>
  <si>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</si>
  <si>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</si>
  <si>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</si>
  <si>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</si>
  <si>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</si>
  <si>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</si>
  <si>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</si>
  <si>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</si>
  <si>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</si>
  <si>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</si>
  <si>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</si>
  <si>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</si>
  <si>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</si>
  <si>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</si>
  <si>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</si>
  <si>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</si>
  <si>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</si>
  <si>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</si>
  <si>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</si>
  <si>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</si>
  <si>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</si>
  <si>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</si>
  <si>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</si>
  <si>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</si>
  <si>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</si>
  <si>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</si>
  <si>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</si>
  <si>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</si>
  <si>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</si>
  <si>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</si>
  <si>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</si>
  <si>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</si>
  <si>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</si>
  <si>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</si>
  <si>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</si>
  <si>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</si>
  <si>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</si>
  <si>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</si>
  <si>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</si>
  <si>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</si>
  <si>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</si>
  <si>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</si>
  <si>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</si>
  <si>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</si>
  <si>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</si>
  <si>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</si>
  <si>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</si>
  <si>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</si>
  <si>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</si>
  <si>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</si>
  <si>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</si>
  <si>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</si>
  <si>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</si>
  <si>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</si>
  <si>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</si>
  <si>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</si>
  <si>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</si>
  <si>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</si>
  <si>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</si>
  <si>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</si>
  <si>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</si>
  <si>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</si>
  <si>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</si>
  <si>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</si>
  <si>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</si>
  <si>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</si>
  <si>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</si>
  <si>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</si>
  <si>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</si>
  <si>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</si>
  <si>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</si>
  <si>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</si>
  <si>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</si>
  <si>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</si>
  <si>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</si>
  <si>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</si>
  <si>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</si>
  <si>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</si>
  <si>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</si>
  <si>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</si>
  <si>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</si>
  <si>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</si>
  <si>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</si>
  <si>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</si>
  <si>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</si>
  <si>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</si>
  <si>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</si>
  <si>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</si>
  <si>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</si>
  <si>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</si>
  <si>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</si>
  <si>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</si>
  <si>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</si>
  <si>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</si>
  <si>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</si>
  <si>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</si>
  <si>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</si>
  <si>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</si>
  <si>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</si>
  <si>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</si>
  <si>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</si>
  <si>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</si>
  <si>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</si>
  <si>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</si>
  <si>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</si>
  <si>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</si>
  <si>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</si>
  <si>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</si>
  <si>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</si>
  <si>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</si>
  <si>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</si>
  <si>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</si>
  <si>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</si>
  <si>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</si>
  <si>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</si>
  <si>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</si>
  <si>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</si>
  <si>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</si>
  <si>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</si>
  <si>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</si>
  <si>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</si>
  <si>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</si>
  <si>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</si>
  <si>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</si>
  <si>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</si>
  <si>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</si>
  <si>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</si>
  <si>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</si>
  <si>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</si>
  <si>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</si>
  <si>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</si>
  <si>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</si>
  <si>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</si>
  <si>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</si>
  <si>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</si>
  <si>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</si>
  <si>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</si>
  <si>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</si>
  <si>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</si>
  <si>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</si>
  <si>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</si>
  <si>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</si>
  <si>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</si>
  <si>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</si>
  <si>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</si>
  <si>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</si>
  <si>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</si>
  <si>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</si>
  <si>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</si>
  <si>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</si>
  <si>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</si>
  <si>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</si>
  <si>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</si>
  <si>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</si>
  <si>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</si>
  <si>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</si>
  <si>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</si>
  <si>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</si>
  <si>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</si>
  <si>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</si>
  <si>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</si>
  <si>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</si>
  <si>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</si>
  <si>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</si>
  <si>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</si>
  <si>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</si>
  <si>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</si>
  <si>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</si>
  <si>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</si>
  <si>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</si>
  <si>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</si>
  <si>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</si>
  <si>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</si>
  <si>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</si>
  <si>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</si>
  <si>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</si>
  <si>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</si>
  <si>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</si>
  <si>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</si>
  <si>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</si>
  <si>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</si>
  <si>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</si>
  <si>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</si>
  <si>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</si>
  <si>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</si>
  <si>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</si>
  <si>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</si>
  <si>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</si>
  <si>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</si>
  <si>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</si>
  <si>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</si>
  <si>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</si>
  <si>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</si>
  <si>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</si>
  <si>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</si>
  <si>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</si>
  <si>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</si>
  <si>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</si>
  <si>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</si>
  <si>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</si>
  <si>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</si>
  <si>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</si>
  <si>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</si>
  <si>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</si>
  <si>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</si>
  <si>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</si>
  <si>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</si>
  <si>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</si>
  <si>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</si>
  <si>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</si>
  <si>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</si>
  <si>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</si>
  <si>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</si>
  <si>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</si>
  <si>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</si>
  <si>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</si>
  <si>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</si>
  <si>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</si>
  <si>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</si>
  <si>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</si>
  <si>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</si>
  <si>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</si>
  <si>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</si>
  <si>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</si>
  <si>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</si>
  <si>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</si>
  <si>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</si>
  <si>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</si>
  <si>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</si>
  <si>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</si>
  <si>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</si>
  <si>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</si>
  <si>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</si>
  <si>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</si>
  <si>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</si>
  <si>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</si>
  <si>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</si>
  <si>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</si>
  <si>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</si>
  <si>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</si>
  <si>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</si>
  <si>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</si>
  <si>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</si>
  <si>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</si>
  <si>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</si>
  <si>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</si>
  <si>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</si>
  <si>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</si>
  <si>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</si>
  <si>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</si>
  <si>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</si>
  <si>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</si>
  <si>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</si>
  <si>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</si>
  <si>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</si>
  <si>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</si>
  <si>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</si>
  <si>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</si>
  <si>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</si>
  <si>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</si>
  <si>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</si>
  <si>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</si>
  <si>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</si>
  <si>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</si>
  <si>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</si>
  <si>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</si>
  <si>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</si>
  <si>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</si>
  <si>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</si>
  <si>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</si>
  <si>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</si>
  <si>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</si>
  <si>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</si>
  <si>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</si>
  <si>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</si>
  <si>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</si>
  <si>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</si>
  <si>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</si>
  <si>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</si>
  <si>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</si>
  <si>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</si>
  <si>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</si>
  <si>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</si>
  <si>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</si>
  <si>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</si>
  <si>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</si>
  <si>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</si>
  <si>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</si>
  <si>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</si>
  <si>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</si>
  <si>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</si>
  <si>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</si>
  <si>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</si>
  <si>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</si>
  <si>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</si>
  <si>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</si>
  <si>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</si>
  <si>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</si>
  <si>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</si>
  <si>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</si>
  <si>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</si>
  <si>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</si>
  <si>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</si>
  <si>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</si>
  <si>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</si>
  <si>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</si>
  <si>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</si>
  <si>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</si>
  <si>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</si>
  <si>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</si>
  <si>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</si>
  <si>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</si>
  <si>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</si>
  <si>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</si>
  <si>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</si>
  <si>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</si>
  <si>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</si>
  <si>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</si>
  <si>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</si>
  <si>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</si>
  <si>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</si>
  <si>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</si>
  <si>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</si>
  <si>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</si>
  <si>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</si>
  <si>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</si>
  <si>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</si>
  <si>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</si>
  <si>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</si>
  <si>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</si>
  <si>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</si>
  <si>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</si>
  <si>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</si>
  <si>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</si>
  <si>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</si>
  <si>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</si>
  <si>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</si>
  <si>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</si>
  <si>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</si>
  <si>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</si>
  <si>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</si>
  <si>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</si>
  <si>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</si>
  <si>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</si>
  <si>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</si>
  <si>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</si>
  <si>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</si>
  <si>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</si>
  <si>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</si>
  <si>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</si>
  <si>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</si>
  <si>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</si>
  <si>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</si>
  <si>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</si>
  <si>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</si>
  <si>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</si>
  <si>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</si>
  <si>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</si>
  <si>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</si>
  <si>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</si>
  <si>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</si>
  <si>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</si>
  <si>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</si>
  <si>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</si>
  <si>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</si>
  <si>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</si>
  <si>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</si>
  <si>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</si>
  <si>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</si>
  <si>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</si>
  <si>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</si>
  <si>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</si>
  <si>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</si>
  <si>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</si>
  <si>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</si>
  <si>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</si>
  <si>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</si>
  <si>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</si>
  <si>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</si>
  <si>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</si>
  <si>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</si>
  <si>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</si>
  <si>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</si>
  <si>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</si>
  <si>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</si>
  <si>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</si>
  <si>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</si>
  <si>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</si>
  <si>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</si>
  <si>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</si>
  <si>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</si>
  <si>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</si>
  <si>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</si>
  <si>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</si>
  <si>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</si>
  <si>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</si>
  <si>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</si>
  <si>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</si>
  <si>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</si>
  <si>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</si>
  <si>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</si>
  <si>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</si>
  <si>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</si>
  <si>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</si>
  <si>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</si>
  <si>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</si>
  <si>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</si>
  <si>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</si>
  <si>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</si>
  <si>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</si>
  <si>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</si>
  <si>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</si>
  <si>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</si>
  <si>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</si>
  <si>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</si>
  <si>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</si>
  <si>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</si>
  <si>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</si>
  <si>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</si>
  <si>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</si>
  <si>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</si>
  <si>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</si>
  <si>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</si>
  <si>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</si>
  <si>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</si>
  <si>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</si>
  <si>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</si>
  <si>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</si>
  <si>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</si>
  <si>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</si>
  <si>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</si>
  <si>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</si>
  <si>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</si>
  <si>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</si>
  <si>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</si>
  <si>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</si>
  <si>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</si>
  <si>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</si>
  <si>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</si>
  <si>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</si>
  <si>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</si>
  <si>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</si>
  <si>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</si>
  <si>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</si>
  <si>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</si>
  <si>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</si>
  <si>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</si>
  <si>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</si>
  <si>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</si>
  <si>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</si>
  <si>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</si>
  <si>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</si>
  <si>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</si>
  <si>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</si>
  <si>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</si>
  <si>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</si>
  <si>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</si>
  <si>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</si>
  <si>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</si>
  <si>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</si>
  <si>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</si>
  <si>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</si>
  <si>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</si>
  <si>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</si>
  <si>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</si>
  <si>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</si>
  <si>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</si>
  <si>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</si>
  <si>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</si>
  <si>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</si>
  <si>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</si>
  <si>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</si>
  <si>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</si>
  <si>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</si>
  <si>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</si>
  <si>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</si>
  <si>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</si>
  <si>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</si>
  <si>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</si>
  <si>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</si>
  <si>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</si>
  <si>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</si>
  <si>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</si>
  <si>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</si>
  <si>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</si>
  <si>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</si>
  <si>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</si>
  <si>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</si>
  <si>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</si>
  <si>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</si>
  <si>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</si>
  <si>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</si>
  <si>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</si>
  <si>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</si>
  <si>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</si>
  <si>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</si>
  <si>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</si>
  <si>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</si>
  <si>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</si>
  <si>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</si>
  <si>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</si>
  <si>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</si>
  <si>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</si>
  <si>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</si>
  <si>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</si>
  <si>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</si>
  <si>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</si>
  <si>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</si>
  <si>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</si>
  <si>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</si>
  <si>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</si>
  <si>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</si>
  <si>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</si>
  <si>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</si>
  <si>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</si>
  <si>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</si>
  <si>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</si>
  <si>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</si>
  <si>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</si>
  <si>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</si>
  <si>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</si>
  <si>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</si>
  <si>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</si>
  <si>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</si>
  <si>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</si>
  <si>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</si>
  <si>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</si>
  <si>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</si>
  <si>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</si>
  <si>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</si>
  <si>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</si>
  <si>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</si>
  <si>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</si>
  <si>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</si>
  <si>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</si>
  <si>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</si>
  <si>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</si>
  <si>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</si>
  <si>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</si>
  <si>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</si>
  <si>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</si>
  <si>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</si>
  <si>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</si>
  <si>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</si>
  <si>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</si>
  <si>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</si>
  <si>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</si>
  <si>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</si>
  <si>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</si>
  <si>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</si>
  <si>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</si>
  <si>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</si>
  <si>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</si>
  <si>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</si>
  <si>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</si>
  <si>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</si>
  <si>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</si>
  <si>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</si>
  <si>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</si>
  <si>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</si>
  <si>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</si>
  <si>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</si>
  <si>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</si>
  <si>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</si>
  <si>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</si>
  <si>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</si>
  <si>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</si>
  <si>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</si>
  <si>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</si>
  <si>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</si>
  <si>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</si>
  <si>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</si>
  <si>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</si>
  <si>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</si>
  <si>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</si>
  <si>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</si>
  <si>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</si>
  <si>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</si>
  <si>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</si>
  <si>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</si>
  <si>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</si>
  <si>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</si>
  <si>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</si>
  <si>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</si>
  <si>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</si>
  <si>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</si>
  <si>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</si>
  <si>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</si>
  <si>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</si>
  <si>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</si>
  <si>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</si>
  <si>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</si>
  <si>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</si>
  <si>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</si>
  <si>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</si>
  <si>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</si>
  <si>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</si>
  <si>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</si>
  <si>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</si>
  <si>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</si>
  <si>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</si>
  <si>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</si>
  <si>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</si>
  <si>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</si>
  <si>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</si>
  <si>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</si>
  <si>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</si>
  <si>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</si>
  <si>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</si>
  <si>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</si>
  <si>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</si>
  <si>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</si>
  <si>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</si>
  <si>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</si>
  <si>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</si>
  <si>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</si>
  <si>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</si>
  <si>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</si>
  <si>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</si>
  <si>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</si>
  <si>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</si>
  <si>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</si>
  <si>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</si>
  <si>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</si>
  <si>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</si>
  <si>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</si>
  <si>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</si>
  <si>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</si>
  <si>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</si>
  <si>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</si>
  <si>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</si>
  <si>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</si>
  <si>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</si>
  <si>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</si>
  <si>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</si>
  <si>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</si>
  <si>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</si>
  <si>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</si>
  <si>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</si>
  <si>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</si>
  <si>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</si>
  <si>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</si>
  <si>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</si>
  <si>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</si>
  <si>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</si>
  <si>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</si>
  <si>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</si>
  <si>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</si>
  <si>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</si>
  <si>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</si>
  <si>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</si>
  <si>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</si>
  <si>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</si>
  <si>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</si>
  <si>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</si>
  <si>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</si>
  <si>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</si>
  <si>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</si>
  <si>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</si>
  <si>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</si>
  <si>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</si>
  <si>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</si>
  <si>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</si>
  <si>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</si>
  <si>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</si>
  <si>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</si>
  <si>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</si>
  <si>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</si>
  <si>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</si>
  <si>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</si>
  <si>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</si>
  <si>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</si>
  <si>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</si>
  <si>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</si>
  <si>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</si>
  <si>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</si>
  <si>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</si>
  <si>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</si>
  <si>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</si>
  <si>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</si>
  <si>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</si>
  <si>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</si>
  <si>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</si>
  <si>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</si>
  <si>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</si>
  <si>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</si>
  <si>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</si>
  <si>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</si>
  <si>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</si>
  <si>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</si>
  <si>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</si>
  <si>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</si>
  <si>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</si>
  <si>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</si>
  <si>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</si>
  <si>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</si>
  <si>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</si>
  <si>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</si>
  <si>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</si>
  <si>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</si>
  <si>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</si>
  <si>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</si>
  <si>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</si>
  <si>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</si>
  <si>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</si>
  <si>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</si>
  <si>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</si>
  <si>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</si>
  <si>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</si>
  <si>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</si>
  <si>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</si>
  <si>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</si>
  <si>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</si>
  <si>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</si>
  <si>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</si>
  <si>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</si>
  <si>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</si>
  <si>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</si>
  <si>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</si>
  <si>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</si>
  <si>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</si>
  <si>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</si>
  <si>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</si>
  <si>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</si>
  <si>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</si>
  <si>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</si>
  <si>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</si>
  <si>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</si>
  <si>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</si>
  <si>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</si>
  <si>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</si>
  <si>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</si>
  <si>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</si>
  <si>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</si>
  <si>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</si>
  <si>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</si>
  <si>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</si>
  <si>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</si>
  <si>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</si>
  <si>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</si>
  <si>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</si>
  <si>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</si>
  <si>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</si>
  <si>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</si>
  <si>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</si>
  <si>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</si>
  <si>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</si>
  <si>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</si>
  <si>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</si>
  <si>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</si>
  <si>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</si>
  <si>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</si>
  <si>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</si>
  <si>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</si>
  <si>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</si>
  <si>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</si>
  <si>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</si>
  <si>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</si>
  <si>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</si>
  <si>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</si>
  <si>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</si>
  <si>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</si>
  <si>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</si>
  <si>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</si>
  <si>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</si>
  <si>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</si>
  <si>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</si>
  <si>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</si>
  <si>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</si>
  <si>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</si>
  <si>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</si>
  <si>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</si>
  <si>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</si>
  <si>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</si>
  <si>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</si>
  <si>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</si>
  <si>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</si>
  <si>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</si>
  <si>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</si>
  <si>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</si>
  <si>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</si>
  <si>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</si>
  <si>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</si>
  <si>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</si>
  <si>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</si>
  <si>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</si>
  <si>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</si>
  <si>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</si>
  <si>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</si>
  <si>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</si>
  <si>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</si>
  <si>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</si>
  <si>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</si>
  <si>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</si>
  <si>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</si>
  <si>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</si>
  <si>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</si>
  <si>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</si>
  <si>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</si>
  <si>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</si>
  <si>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</si>
  <si>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</si>
  <si>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</si>
  <si>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</si>
  <si>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</si>
  <si>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</si>
  <si>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</si>
  <si>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</si>
  <si>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</si>
  <si>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</si>
  <si>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</si>
  <si>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</si>
  <si>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</si>
  <si>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</si>
  <si>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</si>
  <si>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</si>
  <si>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</si>
  <si>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</si>
  <si>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</si>
  <si>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</si>
  <si>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</si>
  <si>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</si>
  <si>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</si>
  <si>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</si>
  <si>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</si>
  <si>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</si>
  <si>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</si>
  <si>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</si>
  <si>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</si>
  <si>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</si>
  <si>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</si>
  <si>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</si>
  <si>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</si>
  <si>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</si>
  <si>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</si>
  <si>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</si>
  <si>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</si>
  <si>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</si>
  <si>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</si>
  <si>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</si>
  <si>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</si>
  <si>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</si>
  <si>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</si>
  <si>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</si>
  <si>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</si>
  <si>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</si>
  <si>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</si>
  <si>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</si>
  <si>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</si>
  <si>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</si>
  <si>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</si>
  <si>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</si>
  <si>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</si>
  <si>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</si>
  <si>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</si>
  <si>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</si>
  <si>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</si>
  <si>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</si>
  <si>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</si>
  <si>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</si>
  <si>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</si>
  <si>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</si>
  <si>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</si>
  <si>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</si>
  <si>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</si>
  <si>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</si>
  <si>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</si>
  <si>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</si>
  <si>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</si>
  <si>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</si>
  <si>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</si>
  <si>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</si>
  <si>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</si>
  <si>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</si>
  <si>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</si>
  <si>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</si>
  <si>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</si>
  <si>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</si>
  <si>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</si>
  <si>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</si>
  <si>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</si>
  <si>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</si>
  <si>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</si>
  <si>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</si>
  <si>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</si>
  <si>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</si>
  <si>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</si>
  <si>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</si>
  <si>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</si>
  <si>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</si>
  <si>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</si>
  <si>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</si>
  <si>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</si>
  <si>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</si>
  <si>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</si>
  <si>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</si>
  <si>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</si>
  <si>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</si>
  <si>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</si>
  <si>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</si>
  <si>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</si>
  <si>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</si>
  <si>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</si>
  <si>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</si>
  <si>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</si>
  <si>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</si>
  <si>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</si>
  <si>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</si>
  <si>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</si>
  <si>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</si>
  <si>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</si>
  <si>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</si>
  <si>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</si>
  <si>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</si>
  <si>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</si>
  <si>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</si>
  <si>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</si>
  <si>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</si>
  <si>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</si>
  <si>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</si>
  <si>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</si>
  <si>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</si>
  <si>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</si>
  <si>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</si>
  <si>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</si>
  <si>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</si>
  <si>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</si>
  <si>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</si>
  <si>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</si>
  <si>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</si>
  <si>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</si>
  <si>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</si>
  <si>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</si>
  <si>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</si>
  <si>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</si>
  <si>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</si>
  <si>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</si>
  <si>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</si>
  <si>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</si>
  <si>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</si>
  <si>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</si>
  <si>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</si>
  <si>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</si>
  <si>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</si>
  <si>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</si>
  <si>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</si>
  <si>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</si>
  <si>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</si>
  <si>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</si>
  <si>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</si>
  <si>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</si>
  <si>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</si>
  <si>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</si>
  <si>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</si>
  <si>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</si>
  <si>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</si>
  <si>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</si>
  <si>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</si>
  <si>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</si>
  <si>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</si>
  <si>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</si>
  <si>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</si>
  <si>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</si>
  <si>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</si>
  <si>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</si>
  <si>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</si>
  <si>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</si>
  <si>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</si>
  <si>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</si>
  <si>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</si>
  <si>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</si>
  <si>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</si>
  <si>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</si>
  <si>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</si>
  <si>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</si>
  <si>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</si>
  <si>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</si>
  <si>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</si>
  <si>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</si>
  <si>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</si>
  <si>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</si>
  <si>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</si>
  <si>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</si>
  <si>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</si>
  <si>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</si>
  <si>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</si>
  <si>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</si>
  <si>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</si>
  <si>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</si>
  <si>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</si>
  <si>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</si>
  <si>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</si>
  <si>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</si>
  <si>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</si>
  <si>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</si>
  <si>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</si>
  <si>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</si>
  <si>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</si>
  <si>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</si>
  <si>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</si>
  <si>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</si>
  <si>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</si>
  <si>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</si>
  <si>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</si>
  <si>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</si>
  <si>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</si>
  <si>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</si>
  <si>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</si>
  <si>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</si>
  <si>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</si>
  <si>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</si>
  <si>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</si>
  <si>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</si>
  <si>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</si>
  <si>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</si>
  <si>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</si>
  <si>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</si>
  <si>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</si>
  <si>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</si>
  <si>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</si>
  <si>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</si>
  <si>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</si>
  <si>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</si>
  <si>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</si>
  <si>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</si>
  <si>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</si>
  <si>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</si>
  <si>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</si>
  <si>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</si>
  <si>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</si>
  <si>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</si>
  <si>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</si>
  <si>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</si>
  <si>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</si>
  <si>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</si>
  <si>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</si>
  <si>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</si>
  <si>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</si>
  <si>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</si>
  <si>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</si>
  <si>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</si>
  <si>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</si>
  <si>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</si>
  <si>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</si>
  <si>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</si>
  <si>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</si>
  <si>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</si>
  <si>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</si>
  <si>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</si>
  <si>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</si>
  <si>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</si>
  <si>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</si>
  <si>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</si>
  <si>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</si>
  <si>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</si>
  <si>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</si>
  <si>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</si>
  <si>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</si>
  <si>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</si>
  <si>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</si>
  <si>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</si>
  <si>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</si>
  <si>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</si>
  <si>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</si>
  <si>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</si>
  <si>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</si>
  <si>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</si>
  <si>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</si>
  <si>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</si>
  <si>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</si>
  <si>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</si>
  <si>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</si>
  <si>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</si>
  <si>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</si>
  <si>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</si>
  <si>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</si>
  <si>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</si>
  <si>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</si>
  <si>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</si>
  <si>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</si>
  <si>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</si>
  <si>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</si>
  <si>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</si>
  <si>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</si>
  <si>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</si>
  <si>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</si>
  <si>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</si>
  <si>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</si>
  <si>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</si>
  <si>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</si>
  <si>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</si>
  <si>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</si>
  <si>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</si>
  <si>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</si>
  <si>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</si>
  <si>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</si>
  <si>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</si>
  <si>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</si>
  <si>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</si>
  <si>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</si>
  <si>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</si>
  <si>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</si>
  <si>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</si>
  <si>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</si>
  <si>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</si>
  <si>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</si>
  <si>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</si>
  <si>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</si>
  <si>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</si>
  <si>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</si>
  <si>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</si>
  <si>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</si>
  <si>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</si>
  <si>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</si>
  <si>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</si>
  <si>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</si>
  <si>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</si>
  <si>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</si>
  <si>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</si>
  <si>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</si>
  <si>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</si>
  <si>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</si>
  <si>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</si>
  <si>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</si>
  <si>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</si>
  <si>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</si>
  <si>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</si>
  <si>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</si>
  <si>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</si>
  <si>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</si>
  <si>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</si>
  <si>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</si>
  <si>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</si>
  <si>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</si>
  <si>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</si>
  <si>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</si>
  <si>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</si>
  <si>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</si>
  <si>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</si>
  <si>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</si>
  <si>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</si>
  <si>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</si>
  <si>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</si>
  <si>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</si>
  <si>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LOS NANOS 1</t>
  </si>
  <si>
    <t>1|2-1</t>
  </si>
  <si>
    <t>2|0-1</t>
  </si>
  <si>
    <t>X|1-1</t>
  </si>
  <si>
    <t>2|0-3</t>
  </si>
  <si>
    <t>X|2-2</t>
  </si>
  <si>
    <t>2|0-2</t>
  </si>
  <si>
    <t>1|3-0</t>
  </si>
  <si>
    <t>1|3-2</t>
  </si>
  <si>
    <t>1|2-0</t>
  </si>
  <si>
    <t>1|1-0</t>
  </si>
  <si>
    <t>2|1-2</t>
  </si>
  <si>
    <t>1|4-0</t>
  </si>
  <si>
    <t>1|3-1</t>
  </si>
  <si>
    <t>1|5-0</t>
  </si>
  <si>
    <t>2|1-3</t>
  </si>
  <si>
    <t>2|2-3</t>
  </si>
  <si>
    <t>2|1-4</t>
  </si>
  <si>
    <t>JUANCHO</t>
  </si>
  <si>
    <t>X|0-0</t>
  </si>
  <si>
    <t>1|6-0</t>
  </si>
  <si>
    <t>2|0-4</t>
  </si>
  <si>
    <t>1|5-1</t>
  </si>
  <si>
    <t>2|0-5</t>
  </si>
  <si>
    <t>LARRY</t>
  </si>
  <si>
    <t>X|4-4</t>
  </si>
  <si>
    <t>X|3-3</t>
  </si>
  <si>
    <t>LUIS/VIR</t>
  </si>
  <si>
    <t>MEDINA</t>
  </si>
  <si>
    <t>VICTOR</t>
  </si>
  <si>
    <t>Sudáfrica-Canadá·2|1-3</t>
  </si>
  <si>
    <t>Brasil-Japón·1|2-1</t>
  </si>
  <si>
    <t>Alemania-Paraguay·1|3-0</t>
  </si>
  <si>
    <t>Países Bajos-Marruecos·2|0-1</t>
  </si>
  <si>
    <t>Costa de Marfil-Noruega·2|0-1</t>
  </si>
  <si>
    <t>Francia-Suecia·1|3-1</t>
  </si>
  <si>
    <t>México-Ecuador·1|2-1</t>
  </si>
  <si>
    <t>Inglaterra-RD Congo·1|2-0</t>
  </si>
  <si>
    <t>Bélgica-Senegal·1|2-1</t>
  </si>
  <si>
    <t>Estados Unidos-Bosnia y Herzegovina·1|2-1</t>
  </si>
  <si>
    <t>España-Austria·1|2-0</t>
  </si>
  <si>
    <t>Portugal-Croacia·X|1-1</t>
  </si>
  <si>
    <t>Suiza-Argelia·1|1-0</t>
  </si>
  <si>
    <t>Australia-Egipto·X|2-2</t>
  </si>
  <si>
    <t>Argentina-Cabo Verde·1|2-0</t>
  </si>
  <si>
    <t>Colombia-Ghana·1|2-1</t>
  </si>
  <si>
    <t>Canadá-Marruecos·2|1-2</t>
  </si>
  <si>
    <t>Alemania-Francia·2|1-2</t>
  </si>
  <si>
    <t>Brasil-Noruega·1|2-1</t>
  </si>
  <si>
    <t>México-Inglaterra·2|1-2</t>
  </si>
  <si>
    <t>Portugal-España·2|1-2</t>
  </si>
  <si>
    <t>Estados Unidos-Bélgica·1|2-1</t>
  </si>
  <si>
    <t>Argentina-Egipto·1|2-0</t>
  </si>
  <si>
    <t>Suiza-Colombia·2|0-1</t>
  </si>
  <si>
    <t>Francia-Marruecos·1|3-1</t>
  </si>
  <si>
    <t>España-Estados Unidos·1|2-0</t>
  </si>
  <si>
    <t>Brasil-Inglaterra·2|1-2</t>
  </si>
  <si>
    <t>Argentina-Colombia·1|2-1</t>
  </si>
  <si>
    <t>Francia-España·1|2-1</t>
  </si>
  <si>
    <t>Inglaterra-Argentina·1|2-1</t>
  </si>
  <si>
    <t>España-Argentina·1|2-1</t>
  </si>
  <si>
    <t>Francia-Inglaterra·1|2-0</t>
  </si>
  <si>
    <t>Sudáfrica-Canadá·2|0-2</t>
  </si>
  <si>
    <t>Brasil-Japón·X|2-2</t>
  </si>
  <si>
    <t>Alemania-Paraguay·1|3-1</t>
  </si>
  <si>
    <t>Países Bajos-Marruecos·X|1-1</t>
  </si>
  <si>
    <t>Costa de Marfil-Noruega·2|1-2</t>
  </si>
  <si>
    <t>México-Ecuador·2|1-2</t>
  </si>
  <si>
    <t>Inglaterra-RD Congo·1|3-1</t>
  </si>
  <si>
    <t>Bélgica-Senegal·X|1-1</t>
  </si>
  <si>
    <t>España-Austria·1|3-0</t>
  </si>
  <si>
    <t>Portugal-Croacia·X|0-0</t>
  </si>
  <si>
    <t>Suiza-Argelia·1|2-0</t>
  </si>
  <si>
    <t>Australia-Egipto·2|0-1</t>
  </si>
  <si>
    <t>Colombia-Ghana·1|1-0</t>
  </si>
  <si>
    <t>Canadá-Países Bajos·2|1-2</t>
  </si>
  <si>
    <t>Alemania-Francia·1|2-1</t>
  </si>
  <si>
    <t>Japón-Noruega·X|2-2</t>
  </si>
  <si>
    <t>Ecuador-Inglaterra·2|1-3</t>
  </si>
  <si>
    <t>Croacia-España·2|0-1</t>
  </si>
  <si>
    <t>Estados Unidos-Senegal·X|1-1</t>
  </si>
  <si>
    <t>Argentina-Egipto·1|2-1</t>
  </si>
  <si>
    <t>Suiza-Colombia·1|1-0</t>
  </si>
  <si>
    <t>Alemania-Países Bajos·1|1-0</t>
  </si>
  <si>
    <t>Japón-Inglaterra·2|0-2</t>
  </si>
  <si>
    <t>Argentina-Suiza·1|1-0</t>
  </si>
  <si>
    <t>Alemania-España·2|1-2</t>
  </si>
  <si>
    <t>Inglaterra-Argentina·1|3-1</t>
  </si>
  <si>
    <t>Alemania-Argentina·1|2-1</t>
  </si>
  <si>
    <t>España-Inglaterra·1|3-2</t>
  </si>
  <si>
    <t>Sudáfrica-Canadá·X|1-1</t>
  </si>
  <si>
    <t>Países Bajos-Marruecos·1|2-1</t>
  </si>
  <si>
    <t>México-Ecuador·1|2-0</t>
  </si>
  <si>
    <t>Inglaterra-RD Congo·1|4-1</t>
  </si>
  <si>
    <t>Estados Unidos-Bosnia y Herzegovina·X|2-2</t>
  </si>
  <si>
    <t>Portugal-Croacia·1|3-2</t>
  </si>
  <si>
    <t>Argentina-Cabo Verde·1|4-0</t>
  </si>
  <si>
    <t>Canadá-Países Bajos·2|0-3</t>
  </si>
  <si>
    <t>Alemania-Francia·X|2-2</t>
  </si>
  <si>
    <t>México-Inglaterra·X|2-2</t>
  </si>
  <si>
    <t>Estados Unidos-Bélgica·2|0-2</t>
  </si>
  <si>
    <t>Suiza-Colombia·2|1-2</t>
  </si>
  <si>
    <t>Francia-Países Bajos·1|3-2</t>
  </si>
  <si>
    <t>España-Bélgica·X|1-1</t>
  </si>
  <si>
    <t>Brasil-Inglaterra·1|2-1</t>
  </si>
  <si>
    <t>Argentina-Colombia·X|1-1</t>
  </si>
  <si>
    <t>Francia-España·1|3-2</t>
  </si>
  <si>
    <t>Brasil-Argentina·X|1-1</t>
  </si>
  <si>
    <t>España-Brasil·1|2-1</t>
  </si>
  <si>
    <t>Francia-Argentina·1|3-1</t>
  </si>
  <si>
    <t>Brasil-Japón·1|2-0</t>
  </si>
  <si>
    <t>Francia-Suecia·1|3-0</t>
  </si>
  <si>
    <t>Inglaterra-RD Congo·1|3-0</t>
  </si>
  <si>
    <t>Estados Unidos-Bosnia y Herzegovina·1|2-0</t>
  </si>
  <si>
    <t>Portugal-Croacia·1|2-1</t>
  </si>
  <si>
    <t>Suiza-Argelia·1|2-1</t>
  </si>
  <si>
    <t>Australia-Egipto·X|1-1</t>
  </si>
  <si>
    <t>Argentina-Cabo Verde·1|3-0</t>
  </si>
  <si>
    <t>Colombia-Ghana·1|2-0</t>
  </si>
  <si>
    <t>Francia-Países Bajos·1|2-1</t>
  </si>
  <si>
    <t>Inglaterra-Argentina·2|1-2</t>
  </si>
  <si>
    <t>España-Inglaterra·1|2-1</t>
  </si>
  <si>
    <t>Francia-Argentina·1|2-1</t>
  </si>
  <si>
    <t>Sudáfrica-Canadá·2|1-2</t>
  </si>
  <si>
    <t>Alemania-Paraguay·1|2-0</t>
  </si>
  <si>
    <t>Costa de Marfil-Noruega·2|1-3</t>
  </si>
  <si>
    <t>Francia-Suecia·1|2-0</t>
  </si>
  <si>
    <t>México-Ecuador·2|0-1</t>
  </si>
  <si>
    <t>Portugal-Croacia·1|1-0</t>
  </si>
  <si>
    <t>Canadá-Países Bajos·2|0-1</t>
  </si>
  <si>
    <t>Alemania-Francia·2|0-1</t>
  </si>
  <si>
    <t>Ecuador-Inglaterra·2|0-1</t>
  </si>
  <si>
    <t>Portugal-España·X|1-1</t>
  </si>
  <si>
    <t>Estados Unidos-Bélgica·2|1-2</t>
  </si>
  <si>
    <t>Suiza-Colombia·1|2-1</t>
  </si>
  <si>
    <t>Francia-Países Bajos·1|1-0</t>
  </si>
  <si>
    <t>España-Bélgica·1|2-1</t>
  </si>
  <si>
    <t>Argentina-Suiza·1|2-1</t>
  </si>
  <si>
    <t>Francia-España·1|1-0</t>
  </si>
  <si>
    <t>Francia-Inglaterra·1|1-0</t>
  </si>
  <si>
    <t>Mbappe</t>
  </si>
  <si>
    <t>CR7</t>
  </si>
  <si>
    <t>Vini</t>
  </si>
  <si>
    <t>Pedri</t>
  </si>
  <si>
    <t>Vitinha</t>
  </si>
  <si>
    <t>Courtois</t>
  </si>
  <si>
    <t>H. Kane</t>
  </si>
  <si>
    <t>Lamine Yamal</t>
  </si>
  <si>
    <t>Musiala</t>
  </si>
  <si>
    <t>Kane</t>
  </si>
  <si>
    <t>Haaland</t>
  </si>
  <si>
    <t>Bellingham</t>
  </si>
  <si>
    <t>Harry Kane</t>
  </si>
  <si>
    <t>Oyarzabal</t>
  </si>
  <si>
    <t>Mbappé</t>
  </si>
  <si>
    <t>Messi</t>
  </si>
  <si>
    <t>Rodri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</si>
</sst>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3"/>
                <c:pt idx="0">
                  <c:v>1|2-1</c:v>
                </c:pt>
                <c:pt idx="1">
                  <c:v>1|1-0</c:v>
                </c:pt>
                <c:pt idx="2">
                  <c:v>1|2-0</c:v>
                </c:pt>
              </c:strCache>
            </c:strRef>
          </c:cat>
          <c:val>
            <c:numRef>
              <c:f>Stats!$I$8:$I$31</c:f>
              <c:numCache>
                <c:formatCode>General</c:formatCode>
                <c:ptCount val="24"/>
                <c:pt idx="0">
                  <c:v>3</c:v>
                </c:pt>
                <c:pt idx="1">
                  <c:v>1</c:v>
                </c:pt>
                <c:pt idx="2">
                  <c:v>1</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3"/>
                <c:pt idx="0">
                  <c:v>1|2-1</c:v>
                </c:pt>
                <c:pt idx="1">
                  <c:v>1|1-0</c:v>
                </c:pt>
                <c:pt idx="2">
                  <c:v>1|2-0</c:v>
                </c:pt>
              </c:strCache>
            </c:strRef>
          </c:cat>
          <c:val>
            <c:numRef>
              <c:f>Stats!$J$8:$J$31</c:f>
              <c:numCache>
                <c:formatCode>General</c:formatCode>
                <c:ptCount val="24"/>
                <c:pt idx="0">
                  <c:v>0</c:v>
                </c:pt>
                <c:pt idx="1">
                  <c:v>0</c:v>
                </c:pt>
                <c:pt idx="2">
                  <c:v>1</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3"/>
                <c:pt idx="0">
                  <c:v>1|2-1</c:v>
                </c:pt>
                <c:pt idx="1">
                  <c:v>1|1-0</c:v>
                </c:pt>
                <c:pt idx="2">
                  <c:v>1|2-0</c:v>
                </c:pt>
              </c:strCache>
            </c:strRef>
          </c:cat>
          <c:val>
            <c:numRef>
              <c:f>Stats!$K$8:$K$31</c:f>
              <c:numCache>
                <c:formatCode>General</c:formatCode>
                <c:ptCount val="24"/>
                <c:pt idx="0">
                  <c:v>0</c:v>
                </c:pt>
                <c:pt idx="1">
                  <c:v>0</c:v>
                </c:pt>
                <c:pt idx="2">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1</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62"/>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4">
  <rv s="0">
    <v>0</v>
    <v>8</v>
    <v>1</v>
    <v>1</v>
  </rv>
  <rv s="0">
    <v>0</v>
    <v>8</v>
    <v>2</v>
    <v>1</v>
  </rv>
  <rv s="1">
    <v>0</v>
    <v>5</v>
  </rv>
  <rv s="1">
    <v>1</v>
    <v>6</v>
  </rv>
  <rv s="1">
    <v>2</v>
    <v>5</v>
  </rv>
  <rv s="1">
    <v>3</v>
    <v>5</v>
  </rv>
  <rv s="1">
    <v>4</v>
    <v>6</v>
  </rv>
  <rv s="1">
    <v>5</v>
    <v>5</v>
  </rv>
  <rv s="1">
    <v>6</v>
    <v>6</v>
  </rv>
  <rv s="1">
    <v>7</v>
    <v>6</v>
  </rv>
  <rv s="1">
    <v>8</v>
    <v>6</v>
  </rv>
  <rv s="1">
    <v>9</v>
    <v>6</v>
  </rv>
  <rv s="1">
    <v>10</v>
    <v>6</v>
  </rv>
  <rv s="1">
    <v>11</v>
    <v>6</v>
  </rv>
  <rv s="1">
    <v>12</v>
    <v>6</v>
  </rv>
  <rv s="1">
    <v>13</v>
    <v>6</v>
  </rv>
  <rv s="1">
    <v>14</v>
    <v>6</v>
  </rv>
  <rv s="1">
    <v>15</v>
    <v>6</v>
  </rv>
  <rv s="1">
    <v>16</v>
    <v>6</v>
  </rv>
  <rv s="1">
    <v>17</v>
    <v>6</v>
  </rv>
  <rv s="1">
    <v>18</v>
    <v>6</v>
  </rv>
  <rv s="1">
    <v>19</v>
    <v>6</v>
  </rv>
  <rv s="1">
    <v>20</v>
    <v>6</v>
  </rv>
  <rv s="1">
    <v>21</v>
    <v>5</v>
  </rv>
  <rv s="1">
    <v>22</v>
    <v>6</v>
  </rv>
  <rv s="1">
    <v>23</v>
    <v>6</v>
  </rv>
  <rv s="1">
    <v>24</v>
    <v>6</v>
  </rv>
  <rv s="1">
    <v>25</v>
    <v>6</v>
  </rv>
  <rv s="1">
    <v>26</v>
    <v>6</v>
  </rv>
  <rv s="1">
    <v>27</v>
    <v>6</v>
  </rv>
  <rv s="1">
    <v>28</v>
    <v>6</v>
  </rv>
  <rv s="1">
    <v>0</v>
    <v>4</v>
  </rv>
  <rv s="1">
    <v>29</v>
    <v>6</v>
  </rv>
  <rv s="1">
    <v>30</v>
    <v>6</v>
  </rv>
  <rv s="1">
    <v>31</v>
    <v>6</v>
  </rv>
  <rv s="1">
    <v>32</v>
    <v>6</v>
  </rv>
  <rv s="1">
    <v>33</v>
    <v>6</v>
  </rv>
  <rv s="1">
    <v>34</v>
    <v>6</v>
  </rv>
  <rv s="1">
    <v>35</v>
    <v>6</v>
  </rv>
  <rv s="1">
    <v>36</v>
    <v>6</v>
  </rv>
  <rv s="1">
    <v>37</v>
    <v>6</v>
  </rv>
  <rv s="1">
    <v>38</v>
    <v>6</v>
  </rv>
  <rv s="1">
    <v>39</v>
    <v>6</v>
  </rv>
  <rv s="1">
    <v>40</v>
    <v>6</v>
  </rv>
  <rv s="1">
    <v>41</v>
    <v>6</v>
  </rv>
  <rv s="1">
    <v>42</v>
    <v>6</v>
  </rv>
  <rv s="1">
    <v>43</v>
    <v>6</v>
  </rv>
  <rv s="1">
    <v>44</v>
    <v>6</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11" sqref="C11"/>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83203125" customWidth="1"/>
    <col min="2" max="2" width="6.83203125" customWidth="1"/>
    <col min="3" max="3" width="25.83203125" customWidth="1"/>
    <col min="4" max="4" width="5.83203125" customWidth="1"/>
    <col min="5" max="9" width="10.83203125" customWidth="1"/>
    <col min="10" max="10" width="5.83203125" customWidth="1"/>
    <col min="11" max="11" width="25.83203125" customWidth="1"/>
    <col min="12" max="12" width="15.83203125" customWidth="1"/>
    <col min="13" max="13" width="10.5" customWidth="1"/>
    <col min="14" max="15" width="10.83203125" customWidth="1"/>
    <col min="16" max="16" width="12.1640625" customWidth="1"/>
    <col min="17" max="17" width="6.1640625" customWidth="1"/>
    <col min="18" max="16380" width="10.83203125" customWidth="1"/>
  </cols>
  <sheetData>
    <row r="1" spans="1:31" x14ac:dyDescent="0.2">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x14ac:dyDescent="0.2">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 customHeight="1" x14ac:dyDescent="0.2">
      <c r="A3" s="390"/>
      <c r="B3" s="801" t="str">
        <f>Idiomas!D8</f>
        <v>XXIII Mundial USA/MEX/CAN 2026</v>
      </c>
      <c r="C3" s="801"/>
      <c r="D3" s="801"/>
      <c r="E3" s="801"/>
      <c r="F3" s="801"/>
      <c r="G3" s="801"/>
      <c r="H3" s="801"/>
      <c r="I3" s="801"/>
      <c r="J3" s="801"/>
      <c r="K3" s="801"/>
      <c r="L3" s="801"/>
      <c r="M3" s="390"/>
      <c r="N3" s="390"/>
      <c r="O3" s="390"/>
      <c r="P3" s="390"/>
      <c r="Q3" s="390"/>
      <c r="R3" s="390"/>
      <c r="S3" s="390"/>
      <c r="T3" s="390"/>
      <c r="U3" s="390"/>
      <c r="V3" s="390"/>
      <c r="W3" s="390"/>
      <c r="X3" s="390"/>
      <c r="Y3" s="390"/>
      <c r="Z3" s="390"/>
      <c r="AA3" s="390"/>
      <c r="AB3" s="390"/>
      <c r="AC3" s="390"/>
      <c r="AD3" s="390"/>
      <c r="AE3" s="390"/>
    </row>
    <row r="4" spans="1:31" ht="15" customHeight="1" x14ac:dyDescent="0.2">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 customHeight="1" thickBot="1" x14ac:dyDescent="0.25">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 customHeight="1" thickBot="1" x14ac:dyDescent="0.25">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 customHeight="1" thickBot="1" x14ac:dyDescent="0.25">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 customHeight="1" thickBot="1" x14ac:dyDescent="0.25">
      <c r="A8" s="390"/>
      <c r="B8" s="398"/>
      <c r="C8" s="41" t="s">
        <v>38</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 customHeight="1" thickBot="1" x14ac:dyDescent="0.25">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 customHeight="1" thickBot="1" x14ac:dyDescent="0.25">
      <c r="A10" s="390"/>
      <c r="B10" s="398"/>
      <c r="C10" s="41" t="s">
        <v>1940</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 customHeight="1" thickBot="1" x14ac:dyDescent="0.25">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 customHeight="1" thickBot="1" x14ac:dyDescent="0.25">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 customHeight="1" thickBot="1" x14ac:dyDescent="0.25">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 customHeight="1" thickBot="1" x14ac:dyDescent="0.25">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x14ac:dyDescent="0.2">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 customHeight="1" thickBot="1" x14ac:dyDescent="0.25">
      <c r="A16" s="390"/>
      <c r="B16" s="390"/>
      <c r="C16" s="390"/>
      <c r="D16" s="390"/>
      <c r="E16" s="799" t="str">
        <f>HYPERLINK(Idiomas!D10,Idiomas!D5)</f>
        <v>Esta versión es para un maximo de 5 participantes. Puedes descargar versiones para más participantes desde el enlace de abajo</v>
      </c>
      <c r="F16" s="800"/>
      <c r="G16" s="800"/>
      <c r="H16" s="800"/>
      <c r="I16" s="800"/>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 customHeight="1" thickBot="1" x14ac:dyDescent="0.25">
      <c r="A17" s="390"/>
      <c r="B17" s="390"/>
      <c r="C17" s="390"/>
      <c r="D17" s="390"/>
      <c r="E17" s="796" t="str">
        <f>HYPERLINK(Idiomas!D10,Idiomas!D9)</f>
        <v>Versiones para más participantes</v>
      </c>
      <c r="F17" s="797"/>
      <c r="G17" s="797"/>
      <c r="H17" s="797"/>
      <c r="I17" s="798"/>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x14ac:dyDescent="0.2">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x14ac:dyDescent="0.2">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 xml:space="preserve">  </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x14ac:dyDescent="0.2">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x14ac:dyDescent="0.25">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 customHeight="1" thickBot="1" x14ac:dyDescent="0.25">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 customHeight="1" thickBot="1" x14ac:dyDescent="0.25">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x14ac:dyDescent="0.2">
      <c r="A24" s="390"/>
      <c r="B24" s="802"/>
      <c r="C24" s="803"/>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x14ac:dyDescent="0.2">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x14ac:dyDescent="0.2">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x14ac:dyDescent="0.2">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x14ac:dyDescent="0.2">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x14ac:dyDescent="0.2">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x14ac:dyDescent="0.2">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x14ac:dyDescent="0.2">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x14ac:dyDescent="0.2">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x14ac:dyDescent="0.2">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x14ac:dyDescent="0.2">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x14ac:dyDescent="0.2">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x14ac:dyDescent="0.2">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x14ac:dyDescent="0.2">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x14ac:dyDescent="0.2">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x14ac:dyDescent="0.2">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x14ac:dyDescent="0.2">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x14ac:dyDescent="0.2">
      <c r="A41" s="390"/>
      <c r="B41" s="390"/>
      <c r="C41" s="390"/>
      <c r="D41" s="390"/>
      <c r="E41" s="715">
        <f ca="1">TODAY()</f>
        <v>46223</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x14ac:dyDescent="0.2">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x14ac:dyDescent="0.2">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x14ac:dyDescent="0.2">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x14ac:dyDescent="0.2">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x14ac:dyDescent="0.2">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x14ac:dyDescent="0.2">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x14ac:dyDescent="0.2">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x14ac:dyDescent="0.2">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x14ac:dyDescent="0.2">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60" zoomScaleNormal="100" workbookViewId="0">
      <selection activeCell="AA158" sqref="AA158:AA160"/>
    </sheetView>
  </sheetViews>
  <sheetFormatPr baseColWidth="10" defaultColWidth="0" defaultRowHeight="15" x14ac:dyDescent="0.2"/>
  <cols>
    <col min="1" max="2" width="10.83203125" style="5" hidden="1" customWidth="1"/>
    <col min="3" max="3" width="2.1640625" style="9" hidden="1" customWidth="1"/>
    <col min="4" max="10" width="8.83203125" style="9" hidden="1" customWidth="1"/>
    <col min="11" max="11" width="12.83203125" style="9" hidden="1" customWidth="1"/>
    <col min="12" max="21" width="8.83203125" style="9" hidden="1" customWidth="1"/>
    <col min="22" max="22" width="3.5" customWidth="1"/>
    <col min="23" max="23" width="6.6640625" customWidth="1"/>
    <col min="24" max="24" width="12.83203125" customWidth="1"/>
    <col min="25" max="25" width="6.83203125" customWidth="1"/>
    <col min="26" max="26" width="4.5" customWidth="1"/>
    <col min="27" max="27" width="20.83203125" customWidth="1"/>
    <col min="28" max="28" width="3.83203125" customWidth="1"/>
    <col min="29" max="30" width="5.33203125" customWidth="1"/>
    <col min="31" max="31" width="3.83203125" customWidth="1"/>
    <col min="32" max="32" width="20.83203125" customWidth="1"/>
    <col min="33" max="33" width="3.5" customWidth="1"/>
    <col min="34" max="34" width="3.83203125" style="21" customWidth="1"/>
    <col min="35" max="35" width="3.33203125" style="21" customWidth="1"/>
    <col min="36" max="36" width="4.33203125" customWidth="1"/>
    <col min="37" max="37" width="3.33203125" customWidth="1"/>
    <col min="38" max="38" width="20.83203125" customWidth="1"/>
    <col min="39" max="39" width="5.83203125" customWidth="1"/>
    <col min="40" max="43" width="4.33203125" customWidth="1"/>
    <col min="44" max="45" width="5.5" customWidth="1"/>
    <col min="46" max="46" width="6" customWidth="1"/>
    <col min="47" max="47" width="3.33203125" style="23" customWidth="1"/>
    <col min="48" max="48" width="18.5" style="24" customWidth="1"/>
    <col min="49" max="49" width="3.5" style="6" customWidth="1"/>
    <col min="50" max="50" width="3.5" style="2" customWidth="1"/>
    <col min="51" max="51" width="17" style="10" customWidth="1"/>
    <col min="52" max="52" width="15.83203125" style="6" customWidth="1"/>
    <col min="53" max="53" width="3" customWidth="1"/>
    <col min="54" max="54" width="10.83203125" style="5" hidden="1" customWidth="1"/>
    <col min="55" max="55" width="6" style="5" hidden="1" customWidth="1"/>
    <col min="56" max="56" width="17" style="5" hidden="1" customWidth="1"/>
    <col min="57" max="57" width="3.5" style="5" hidden="1" customWidth="1"/>
    <col min="58" max="58" width="2.1640625" style="5" hidden="1" customWidth="1"/>
    <col min="59" max="59" width="7.83203125" style="5" hidden="1" customWidth="1"/>
    <col min="60" max="61" width="2.1640625" style="5" hidden="1" customWidth="1"/>
    <col min="62" max="63" width="4.164062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640625" style="5" hidden="1" customWidth="1"/>
    <col min="70" max="71" width="7.33203125" style="5" hidden="1" customWidth="1"/>
    <col min="72" max="100" width="8" style="5" hidden="1" customWidth="1"/>
    <col min="101" max="101" width="4.1640625" style="5" hidden="1" customWidth="1"/>
    <col min="102" max="102" width="7.33203125" style="5" hidden="1" customWidth="1"/>
    <col min="103" max="103" width="10.83203125" style="5" hidden="1" customWidth="1"/>
    <col min="104" max="104" width="3.1640625" style="5" hidden="1" customWidth="1"/>
    <col min="105" max="105" width="8.6640625" style="5" hidden="1" customWidth="1"/>
    <col min="106" max="106" width="8" style="5" hidden="1" customWidth="1"/>
    <col min="107" max="107" width="15.83203125" style="5" hidden="1" customWidth="1"/>
    <col min="108" max="108" width="10.83203125" style="5" hidden="1" customWidth="1"/>
    <col min="109" max="109" width="2.6640625" style="5" hidden="1" customWidth="1"/>
    <col min="110" max="126" width="10.83203125" style="5" hidden="1" customWidth="1"/>
    <col min="127" max="127" width="10.83203125" style="1" hidden="1" customWidth="1"/>
    <col min="128" max="16384" width="10.83203125" hidden="1"/>
  </cols>
  <sheetData>
    <row r="1" spans="1:127" ht="30" customHeight="1" thickBot="1" x14ac:dyDescent="0.25">
      <c r="A1" s="751"/>
      <c r="B1" s="751"/>
      <c r="C1" s="751"/>
      <c r="D1" s="751"/>
      <c r="E1" s="751"/>
      <c r="F1" s="751"/>
      <c r="G1" s="751"/>
      <c r="H1" s="751"/>
      <c r="I1" s="751"/>
      <c r="J1" s="751"/>
      <c r="K1" s="751"/>
      <c r="L1" s="751"/>
      <c r="M1" s="751"/>
      <c r="N1" s="751"/>
      <c r="O1" s="751"/>
      <c r="P1" s="751"/>
      <c r="Q1" s="751"/>
      <c r="R1" s="751"/>
      <c r="S1" s="751"/>
      <c r="T1" s="751"/>
      <c r="U1" s="751"/>
      <c r="V1" s="176"/>
      <c r="W1" s="808" t="str">
        <f>Idiomas!D8</f>
        <v>XXIII Mundial USA/MEX/CAN 2026</v>
      </c>
      <c r="X1" s="808"/>
      <c r="Y1" s="808"/>
      <c r="Z1" s="808"/>
      <c r="AA1" s="808"/>
      <c r="AB1" s="808"/>
      <c r="AC1" s="808"/>
      <c r="AD1" s="808"/>
      <c r="AE1" s="808"/>
      <c r="AF1" s="808"/>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 customHeight="1" thickBot="1" x14ac:dyDescent="0.25">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6" thickBot="1" x14ac:dyDescent="0.25">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x14ac:dyDescent="0.25">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04" t="s">
        <v>0</v>
      </c>
      <c r="X4" s="195">
        <f ca="1">Horarios!C4</f>
        <v>46184.875</v>
      </c>
      <c r="Y4" s="196">
        <f ca="1">Horarios!C4</f>
        <v>46184.875</v>
      </c>
      <c r="Z4" s="197" t="str">
        <f>Idiomas!D63</f>
        <v>J1</v>
      </c>
      <c r="AA4" s="198" t="str">
        <f ca="1">+A5</f>
        <v>México</v>
      </c>
      <c r="AB4" s="488" t="str" cm="1">
        <f t="array" aca="1" ref="AB4" ca="1">Ver_flag_local</f>
        <v>🇲🇽</v>
      </c>
      <c r="AC4" s="199">
        <v>2</v>
      </c>
      <c r="AD4" s="200">
        <v>0</v>
      </c>
      <c r="AE4" s="491" t="str" cm="1">
        <f t="array" aca="1" ref="AE4" ca="1">Ver_flag_visit</f>
        <v>🇿🇦</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 customHeight="1" x14ac:dyDescent="0.2">
      <c r="A5" s="757" t="str">
        <f ca="1">+Equipos!B2</f>
        <v>México</v>
      </c>
      <c r="B5" s="754"/>
      <c r="C5" s="754"/>
      <c r="D5" s="756" t="str">
        <f t="shared" si="0"/>
        <v>Local</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804"/>
      <c r="X5" s="195">
        <f ca="1">Horarios!C5</f>
        <v>46185.166666666664</v>
      </c>
      <c r="Y5" s="196">
        <f ca="1">Horarios!C5</f>
        <v>46185.166666666664</v>
      </c>
      <c r="Z5" s="197" t="str">
        <f>$Z$4</f>
        <v>J1</v>
      </c>
      <c r="AA5" s="198" t="str">
        <f ca="1">A7</f>
        <v>Corea del Sur</v>
      </c>
      <c r="AB5" s="488" t="str" cm="1">
        <f t="array" aca="1" ref="AB5" ca="1">Ver_flag_local</f>
        <v>🇰🇷</v>
      </c>
      <c r="AC5" s="199">
        <v>2</v>
      </c>
      <c r="AD5" s="200">
        <v>1</v>
      </c>
      <c r="AE5" s="491" t="str" cm="1">
        <f t="array" aca="1" ref="AE5" ca="1">Ver_flag_visit</f>
        <v>🇨🇿</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 customHeight="1" x14ac:dyDescent="0.2">
      <c r="A6" s="757" t="str">
        <f ca="1">+Equipos!B3</f>
        <v>Sudáfrica</v>
      </c>
      <c r="B6" s="754"/>
      <c r="C6" s="758"/>
      <c r="D6" s="756" t="str">
        <f t="shared" si="0"/>
        <v>Empate</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04"/>
      <c r="X6" s="195">
        <f ca="1">Horarios!C6</f>
        <v>46191.75</v>
      </c>
      <c r="Y6" s="196">
        <f ca="1">Horarios!C6</f>
        <v>46191.75</v>
      </c>
      <c r="Z6" s="197" t="str">
        <f>Idiomas!D64</f>
        <v>J2</v>
      </c>
      <c r="AA6" s="198" t="str">
        <f ca="1">A8</f>
        <v>República Checa</v>
      </c>
      <c r="AB6" s="488" t="str" cm="1">
        <f t="array" aca="1" ref="AB6" ca="1">Ver_flag_local</f>
        <v>🇨🇿</v>
      </c>
      <c r="AC6" s="199">
        <v>1</v>
      </c>
      <c r="AD6" s="200">
        <v>1</v>
      </c>
      <c r="AE6" s="491" t="str" cm="1">
        <f t="array" aca="1" ref="AE6" ca="1">Ver_flag_visit</f>
        <v>🇿🇦</v>
      </c>
      <c r="AF6" s="201" t="str">
        <f ca="1">A6</f>
        <v>Sudáfrica</v>
      </c>
      <c r="AG6" s="421">
        <f t="shared" si="13"/>
        <v>1</v>
      </c>
      <c r="AH6" s="202">
        <v>25</v>
      </c>
      <c r="AI6" s="19" t="str">
        <f>AJ6&amp;$B$4</f>
        <v>1A</v>
      </c>
      <c r="AJ6" s="217">
        <v>1</v>
      </c>
      <c r="AK6" s="498" t="str" cm="1">
        <f t="array" aca="1" ref="AK6" ca="1">Ver_flag_visit</f>
        <v>🇲🇽</v>
      </c>
      <c r="AL6" s="218" t="str">
        <f ca="1">IFERROR(INDEX($BD$6:$BD$53,MATCH(AI6,$BN$6:$BN$53,0)),"")</f>
        <v>México</v>
      </c>
      <c r="AM6" s="219">
        <f t="shared" ref="AM6:AT9" ca="1" si="16">INDEX($BE$6:$BN$53,MATCH($AL6,$BD$6:$BD$53,0),MATCH(AM$5,$BE$5:$BN$5,0))</f>
        <v>9</v>
      </c>
      <c r="AN6" s="220">
        <f t="shared" ca="1" si="16"/>
        <v>3</v>
      </c>
      <c r="AO6" s="220">
        <f t="shared" ca="1" si="16"/>
        <v>3</v>
      </c>
      <c r="AP6" s="220">
        <f t="shared" ca="1" si="16"/>
        <v>0</v>
      </c>
      <c r="AQ6" s="220">
        <f t="shared" ca="1" si="16"/>
        <v>0</v>
      </c>
      <c r="AR6" s="220">
        <f t="shared" ca="1" si="16"/>
        <v>6</v>
      </c>
      <c r="AS6" s="220">
        <f t="shared" ca="1" si="16"/>
        <v>0</v>
      </c>
      <c r="AT6" s="221">
        <f t="shared" ca="1" si="16"/>
        <v>6</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9</v>
      </c>
      <c r="BF6" s="760">
        <f ca="1">+BG6+BH6+BI6</f>
        <v>3</v>
      </c>
      <c r="BG6" s="760">
        <f t="shared" ref="BG6:BG53" ca="1" si="17">+COUNTIFS(FGLocal,BD6,Ganador,"Local")+COUNTIFS(FGVisitante,BD6,Ganador,"Visitante")</f>
        <v>3</v>
      </c>
      <c r="BH6" s="760">
        <f t="shared" ref="BH6:BH53" ca="1" si="18">+COUNTIFS(FGLocal,BD6,Ganador,"Empate")+COUNTIFS(FGVisitante,BD6,Ganador,"Empate")</f>
        <v>0</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6</v>
      </c>
      <c r="BK6" s="760">
        <f t="shared" ref="BK6:BK53" ca="1" si="21">+SUMIFS(FG_GolesLocal,FGVisitante,BD6,Ganador,"&lt;&gt;"&amp;"Pendiente",FG_GolesLocal,"&lt;&gt;"&amp;"",FG_GolesVisitante,"&lt;&gt;"&amp;"")+SUMIFS(FG_GolesVisitante,FGLocal,BD6,Ganador,"&lt;&gt;"&amp;"Pendiente",FG_GolesLocal,"&lt;&gt;"&amp;"",FG_GolesVisitante,"&lt;&gt;"&amp;"")</f>
        <v>0</v>
      </c>
      <c r="BL6" s="760">
        <f ca="1">+BJ6-BK6</f>
        <v>6</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9</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 customHeight="1" x14ac:dyDescent="0.2">
      <c r="A7" s="757" t="str">
        <f ca="1">+Equipos!B4</f>
        <v>Corea del Sur</v>
      </c>
      <c r="B7" s="754"/>
      <c r="C7" s="756"/>
      <c r="D7" s="756" t="str">
        <f t="shared" si="0"/>
        <v>Local</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804"/>
      <c r="X7" s="195">
        <f ca="1">Horarios!C7</f>
        <v>46192.125</v>
      </c>
      <c r="Y7" s="196">
        <f ca="1">Horarios!C7</f>
        <v>46192.125</v>
      </c>
      <c r="Z7" s="197" t="str">
        <f>$Z$6</f>
        <v>J2</v>
      </c>
      <c r="AA7" s="198" t="str">
        <f ca="1">A5</f>
        <v>México</v>
      </c>
      <c r="AB7" s="488" t="str" cm="1">
        <f t="array" aca="1" ref="AB7" ca="1">Ver_flag_local</f>
        <v>🇲🇽</v>
      </c>
      <c r="AC7" s="199">
        <v>1</v>
      </c>
      <c r="AD7" s="200">
        <v>0</v>
      </c>
      <c r="AE7" s="491" t="str" cm="1">
        <f t="array" aca="1" ref="AE7" ca="1">Ver_flag_visit</f>
        <v>🇰🇷</v>
      </c>
      <c r="AF7" s="201" t="str">
        <f ca="1">A7</f>
        <v>Corea del Sur</v>
      </c>
      <c r="AG7" s="421">
        <f t="shared" si="13"/>
        <v>1</v>
      </c>
      <c r="AH7" s="202">
        <v>28</v>
      </c>
      <c r="AI7" s="19" t="str">
        <f>AJ7&amp;$B$4</f>
        <v>2A</v>
      </c>
      <c r="AJ7" s="227">
        <v>2</v>
      </c>
      <c r="AK7" s="499" t="str" cm="1">
        <f t="array" aca="1" ref="AK7" ca="1">Ver_flag_visit</f>
        <v>🇿🇦</v>
      </c>
      <c r="AL7" s="228" t="str">
        <f ca="1">IFERROR(INDEX($BD$6:$BD$53,MATCH(AI7,$BN$6:$BN$53,0)),"")</f>
        <v>Sudáfrica</v>
      </c>
      <c r="AM7" s="229">
        <f t="shared" ca="1" si="16"/>
        <v>4</v>
      </c>
      <c r="AN7" s="230">
        <f t="shared" ca="1" si="16"/>
        <v>3</v>
      </c>
      <c r="AO7" s="230">
        <f t="shared" ca="1" si="16"/>
        <v>1</v>
      </c>
      <c r="AP7" s="230">
        <f t="shared" ca="1" si="16"/>
        <v>1</v>
      </c>
      <c r="AQ7" s="230">
        <f t="shared" ca="1" si="16"/>
        <v>1</v>
      </c>
      <c r="AR7" s="230">
        <f t="shared" ca="1" si="16"/>
        <v>2</v>
      </c>
      <c r="AS7" s="230">
        <f t="shared" ca="1" si="16"/>
        <v>3</v>
      </c>
      <c r="AT7" s="231">
        <f t="shared" ca="1" si="16"/>
        <v>-1</v>
      </c>
      <c r="AU7" s="428">
        <f ca="1">INDEX($DL$6:$DL$53,MATCH(AI7,$DP$6:$DP$53,0))</f>
        <v>1</v>
      </c>
      <c r="AV7" s="223" t="str">
        <f ca="1">INDEX($BD$6:$BD$53,MATCH(AI7,$BM$6:$BM$53,0))</f>
        <v>Sudáfrica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4</v>
      </c>
      <c r="BF7" s="760">
        <f t="shared" ref="BF7:BF53" ca="1" si="26">+BG7+BH7+BI7</f>
        <v>3</v>
      </c>
      <c r="BG7" s="760">
        <f t="shared" ca="1" si="17"/>
        <v>1</v>
      </c>
      <c r="BH7" s="760">
        <f t="shared" ca="1" si="18"/>
        <v>1</v>
      </c>
      <c r="BI7" s="760">
        <f t="shared" ca="1" si="19"/>
        <v>1</v>
      </c>
      <c r="BJ7" s="760">
        <f t="shared" ca="1" si="20"/>
        <v>2</v>
      </c>
      <c r="BK7" s="760">
        <f t="shared" ca="1" si="21"/>
        <v>3</v>
      </c>
      <c r="BL7" s="760">
        <f t="shared" ref="BL7:BL53" ca="1" si="27">+BJ7-BK7</f>
        <v>-1</v>
      </c>
      <c r="BM7" s="760" t="str">
        <f t="shared" ca="1" si="22"/>
        <v>2A</v>
      </c>
      <c r="BN7" s="760" t="str">
        <f t="shared" ca="1" si="23"/>
        <v>2A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4</v>
      </c>
      <c r="BS7" s="769">
        <f ca="1">BP7+COUNTIFS($BQ$6:$BQ$53,BQ7,$BR$6:BR$53,"&gt;"&amp;BR7,$BC$6:$BC$53,INDEX(T_Equipos[Grupo],MATCH(BD7,T_Equipos[NombreEquipo],0)))</f>
        <v>2</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2</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2</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2</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2</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2</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2</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2</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2</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2</v>
      </c>
      <c r="DE7" s="768"/>
      <c r="DF7" s="768">
        <f t="shared" ref="DF7:DF9" ca="1" si="32">IF(OR(INDEX($AW$6:$AW$97,MATCH($BD7,$AV$6:$AV$97,0))="",DB7="-"),DD7,INDEX($AW$6:$AW$97,MATCH($BD7,$AV$6:$AV$97,0))+DD7/1000)</f>
        <v>2</v>
      </c>
      <c r="DG7" s="768" t="str">
        <f ca="1">IF(DB7="-","-",COUNTIFS(DF$6:DF$53,"&lt;"&amp;DF7,$BC$6:$BC$53,INDEX(T_Equipos[Grupo],MATCH(BD7,T_Equipos[NombreEquipo],0))))</f>
        <v>-</v>
      </c>
      <c r="DH7" s="768">
        <f ca="1">DA7+COUNTIFS(DB$6:DB$53,DB7,DG$6:DG$53,"&lt;"&amp;DG7,$BC$6:$BC$53,INDEX(T_Equipos[Grupo],MATCH(BD7,T_Equipos[NombreEquipo],0)))</f>
        <v>2</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Sudáfrica</v>
      </c>
      <c r="DR7" s="756"/>
      <c r="DS7" s="756"/>
      <c r="DT7" s="756" t="str">
        <f t="shared" ca="1" si="15"/>
        <v>México-Corea del Sur</v>
      </c>
      <c r="DU7" s="756"/>
      <c r="DV7" s="756"/>
      <c r="DW7" s="8"/>
    </row>
    <row r="8" spans="1:127" ht="17" customHeight="1" x14ac:dyDescent="0.2">
      <c r="A8" s="757" t="str">
        <f ca="1">+Equipos!B5</f>
        <v>República Checa</v>
      </c>
      <c r="B8" s="754"/>
      <c r="C8" s="756"/>
      <c r="D8" s="756" t="str">
        <f t="shared" si="0"/>
        <v>Visitante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804"/>
      <c r="X8" s="195">
        <f ca="1">Horarios!C8</f>
        <v>46198.125</v>
      </c>
      <c r="Y8" s="196">
        <f ca="1">Horarios!C8</f>
        <v>46198.125</v>
      </c>
      <c r="Z8" s="197" t="str">
        <f>Idiomas!D65</f>
        <v>J3</v>
      </c>
      <c r="AA8" s="198" t="str">
        <f ca="1">A8</f>
        <v>República Checa</v>
      </c>
      <c r="AB8" s="488" t="str" cm="1">
        <f t="array" aca="1" ref="AB8" ca="1">Ver_flag_local</f>
        <v>🇨🇿</v>
      </c>
      <c r="AC8" s="199">
        <v>0</v>
      </c>
      <c r="AD8" s="200">
        <v>3</v>
      </c>
      <c r="AE8" s="491" t="str" cm="1">
        <f t="array" aca="1" ref="AE8" ca="1">Ver_flag_visit</f>
        <v>🇲🇽</v>
      </c>
      <c r="AF8" s="201" t="str">
        <f ca="1">A5</f>
        <v>México</v>
      </c>
      <c r="AG8" s="421">
        <f t="shared" si="13"/>
        <v>1</v>
      </c>
      <c r="AH8" s="202">
        <v>53</v>
      </c>
      <c r="AI8" s="19" t="str">
        <f>AJ8&amp;$B$4</f>
        <v>3A</v>
      </c>
      <c r="AJ8" s="227">
        <v>3</v>
      </c>
      <c r="AK8" s="499" t="str" cm="1">
        <f t="array" aca="1" ref="AK8" ca="1">Ver_flag_visit</f>
        <v>🇰🇷</v>
      </c>
      <c r="AL8" s="228" t="str">
        <f ca="1">IFERROR(INDEX($BD$6:$BD$53,MATCH(AI8,$BN$6:$BN$53,0)),"")</f>
        <v>Corea del Sur</v>
      </c>
      <c r="AM8" s="229">
        <f t="shared" ca="1" si="16"/>
        <v>3</v>
      </c>
      <c r="AN8" s="230">
        <f t="shared" ca="1" si="16"/>
        <v>3</v>
      </c>
      <c r="AO8" s="230">
        <f t="shared" ca="1" si="16"/>
        <v>1</v>
      </c>
      <c r="AP8" s="230">
        <f t="shared" ca="1" si="16"/>
        <v>0</v>
      </c>
      <c r="AQ8" s="230">
        <f t="shared" ca="1" si="16"/>
        <v>2</v>
      </c>
      <c r="AR8" s="230">
        <f t="shared" ca="1" si="16"/>
        <v>2</v>
      </c>
      <c r="AS8" s="230">
        <f t="shared" ca="1" si="16"/>
        <v>3</v>
      </c>
      <c r="AT8" s="231">
        <f t="shared" ca="1" si="16"/>
        <v>-1</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3</v>
      </c>
      <c r="BF8" s="760">
        <f t="shared" ca="1" si="26"/>
        <v>3</v>
      </c>
      <c r="BG8" s="760">
        <f t="shared" ca="1" si="17"/>
        <v>1</v>
      </c>
      <c r="BH8" s="760">
        <f t="shared" ca="1" si="18"/>
        <v>0</v>
      </c>
      <c r="BI8" s="760">
        <f t="shared" ca="1" si="19"/>
        <v>2</v>
      </c>
      <c r="BJ8" s="760">
        <f t="shared" ca="1" si="20"/>
        <v>2</v>
      </c>
      <c r="BK8" s="760">
        <f t="shared" ca="1" si="21"/>
        <v>3</v>
      </c>
      <c r="BL8" s="760">
        <f t="shared" ca="1" si="27"/>
        <v>-1</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3</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3</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3</v>
      </c>
      <c r="DE8" s="768"/>
      <c r="DF8" s="768">
        <f t="shared" ca="1" si="32"/>
        <v>3</v>
      </c>
      <c r="DG8" s="768" t="str">
        <f ca="1">IF(DB8="-","-",COUNTIFS(DF$6:DF$53,"&lt;"&amp;DF8,$BC$6:$BC$53,INDEX(T_Equipos[Grupo],MATCH(BD8,T_Equipos[NombreEquipo],0))))</f>
        <v>-</v>
      </c>
      <c r="DH8" s="768">
        <f ca="1">DA8+COUNTIFS(DB$6:DB$53,DB8,DG$6:DG$53,"&lt;"&amp;DG8,$BC$6:$BC$53,INDEX(T_Equipos[Grupo],MATCH(BD8,T_Equipos[NombreEquipo],0)))</f>
        <v>3</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Corea del Sur</v>
      </c>
      <c r="DR8" s="756"/>
      <c r="DS8" s="756"/>
      <c r="DT8" s="756" t="str">
        <f t="shared" ca="1" si="15"/>
        <v>República Checa-México</v>
      </c>
      <c r="DU8" s="756"/>
      <c r="DV8" s="756"/>
      <c r="DW8" s="8"/>
    </row>
    <row r="9" spans="1:127" ht="18" customHeight="1" thickBot="1" x14ac:dyDescent="0.25">
      <c r="A9" s="751"/>
      <c r="B9" s="754"/>
      <c r="C9" s="751"/>
      <c r="D9" s="756" t="str">
        <f t="shared" si="0"/>
        <v>Local</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805"/>
      <c r="X9" s="234">
        <f ca="1">Horarios!C9</f>
        <v>46198.125</v>
      </c>
      <c r="Y9" s="235">
        <f ca="1">Horarios!C9</f>
        <v>46198.125</v>
      </c>
      <c r="Z9" s="236" t="str">
        <f>$Z$8</f>
        <v>J3</v>
      </c>
      <c r="AA9" s="237" t="str">
        <f ca="1">A6</f>
        <v>Sudáfrica</v>
      </c>
      <c r="AB9" s="489" t="str" cm="1">
        <f t="array" aca="1" ref="AB9" ca="1">Ver_flag_local</f>
        <v>🇿🇦</v>
      </c>
      <c r="AC9" s="238">
        <v>1</v>
      </c>
      <c r="AD9" s="239">
        <v>0</v>
      </c>
      <c r="AE9" s="492" t="str" cm="1">
        <f t="array" aca="1" ref="AE9" ca="1">Ver_flag_visit</f>
        <v>🇰🇷</v>
      </c>
      <c r="AF9" s="240" t="str">
        <f ca="1">A7</f>
        <v>Corea del Sur</v>
      </c>
      <c r="AG9" s="421">
        <f t="shared" si="13"/>
        <v>1</v>
      </c>
      <c r="AH9" s="202">
        <v>54</v>
      </c>
      <c r="AI9" s="19" t="str">
        <f>AJ9&amp;$B$4</f>
        <v>4A</v>
      </c>
      <c r="AJ9" s="241">
        <v>4</v>
      </c>
      <c r="AK9" s="500" t="str" cm="1">
        <f t="array" aca="1" ref="AK9" ca="1">Ver_flag_visit</f>
        <v>🇨🇿</v>
      </c>
      <c r="AL9" s="242" t="str">
        <f ca="1">IFERROR(INDEX($BD$6:$BD$53,MATCH(AI9,$BN$6:$BN$53,0)),"")</f>
        <v>República Checa</v>
      </c>
      <c r="AM9" s="243">
        <f t="shared" ca="1" si="16"/>
        <v>1</v>
      </c>
      <c r="AN9" s="244">
        <f t="shared" ca="1" si="16"/>
        <v>3</v>
      </c>
      <c r="AO9" s="244">
        <f t="shared" ca="1" si="16"/>
        <v>0</v>
      </c>
      <c r="AP9" s="244">
        <f t="shared" ca="1" si="16"/>
        <v>1</v>
      </c>
      <c r="AQ9" s="244">
        <f t="shared" ca="1" si="16"/>
        <v>2</v>
      </c>
      <c r="AR9" s="244">
        <f t="shared" ca="1" si="16"/>
        <v>2</v>
      </c>
      <c r="AS9" s="244">
        <f t="shared" ca="1" si="16"/>
        <v>6</v>
      </c>
      <c r="AT9" s="245">
        <f t="shared" ca="1" si="16"/>
        <v>-4</v>
      </c>
      <c r="AU9" s="428">
        <f ca="1">INDEX($DL$6:$DL$53,MATCH(AI9,$DP$6:$DP$53,0))</f>
        <v>1</v>
      </c>
      <c r="AV9" s="223" t="str">
        <f ca="1">INDEX($BD$6:$BD$53,MATCH(AI9,$BM$6:$BM$53,0))</f>
        <v>República Checa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1</v>
      </c>
      <c r="BF9" s="760">
        <f t="shared" ca="1" si="26"/>
        <v>3</v>
      </c>
      <c r="BG9" s="760">
        <f t="shared" ca="1" si="17"/>
        <v>0</v>
      </c>
      <c r="BH9" s="760">
        <f t="shared" ca="1" si="18"/>
        <v>1</v>
      </c>
      <c r="BI9" s="760">
        <f t="shared" ca="1" si="19"/>
        <v>2</v>
      </c>
      <c r="BJ9" s="760">
        <f t="shared" ca="1" si="20"/>
        <v>2</v>
      </c>
      <c r="BK9" s="760">
        <f t="shared" ca="1" si="21"/>
        <v>6</v>
      </c>
      <c r="BL9" s="760">
        <f t="shared" ca="1" si="27"/>
        <v>-4</v>
      </c>
      <c r="BM9" s="760" t="str">
        <f t="shared" ca="1" si="22"/>
        <v>4A</v>
      </c>
      <c r="BN9" s="760" t="str">
        <f t="shared" ca="1" si="23"/>
        <v>4A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1</v>
      </c>
      <c r="BS9" s="769">
        <f ca="1">BP9+COUNTIFS($BQ$6:$BQ$53,BQ9,$BR$6:BR$53,"&gt;"&amp;BR9,$BC$6:$BC$53,INDEX(T_Equipos[Grupo],MATCH(BD9,T_Equipos[NombreEquipo],0)))</f>
        <v>4</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4</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4</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4</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4</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4</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4</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4</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4</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4</v>
      </c>
      <c r="DE9" s="768"/>
      <c r="DF9" s="768">
        <f t="shared" ca="1" si="32"/>
        <v>4</v>
      </c>
      <c r="DG9" s="768" t="str">
        <f ca="1">IF(DB9="-","-",COUNTIFS(DF$6:DF$53,"&lt;"&amp;DF9,$BC$6:$BC$53,INDEX(T_Equipos[Grupo],MATCH(BD9,T_Equipos[NombreEquipo],0))))</f>
        <v>-</v>
      </c>
      <c r="DH9" s="768">
        <f ca="1">DA9+COUNTIFS(DB$6:DB$53,DB9,DG$6:DG$53,"&lt;"&amp;DG9,$BC$6:$BC$53,INDEX(T_Equipos[Grupo],MATCH(BD9,T_Equipos[NombreEquipo],0)))</f>
        <v>4</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República Checa</v>
      </c>
      <c r="DR9" s="756"/>
      <c r="DS9" s="756"/>
      <c r="DT9" s="756" t="str">
        <f t="shared" ca="1" si="15"/>
        <v>Sudáfrica-Corea del Sur</v>
      </c>
      <c r="DU9" s="756"/>
      <c r="DV9" s="756"/>
      <c r="DW9" s="8"/>
    </row>
    <row r="10" spans="1:127" ht="15" customHeight="1" thickBot="1" x14ac:dyDescent="0.25">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4</v>
      </c>
      <c r="BF10" s="760">
        <f t="shared" ca="1" si="26"/>
        <v>3</v>
      </c>
      <c r="BG10" s="760">
        <f t="shared" ca="1" si="17"/>
        <v>1</v>
      </c>
      <c r="BH10" s="760">
        <f t="shared" ca="1" si="18"/>
        <v>1</v>
      </c>
      <c r="BI10" s="760">
        <f t="shared" ca="1" si="19"/>
        <v>1</v>
      </c>
      <c r="BJ10" s="760">
        <f t="shared" ca="1" si="20"/>
        <v>8</v>
      </c>
      <c r="BK10" s="760">
        <f t="shared" ca="1" si="21"/>
        <v>3</v>
      </c>
      <c r="BL10" s="760">
        <f t="shared" ca="1" si="27"/>
        <v>5</v>
      </c>
      <c r="BM10" s="760" t="str">
        <f t="shared" ca="1" si="22"/>
        <v>2B</v>
      </c>
      <c r="BN10" s="760" t="str">
        <f t="shared" ca="1" si="23"/>
        <v>2B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4</v>
      </c>
      <c r="BS10" s="769">
        <f ca="1">BP10+COUNTIFS($BQ$6:$BQ$53,BQ10,$BR$6:BR$53,"&gt;"&amp;BR10,$BC$6:$BC$53,INDEX(T_Equipos[Grupo],MATCH(BD10,T_Equipos[NombreEquipo],0)))</f>
        <v>2</v>
      </c>
      <c r="BT10" s="769" t="str">
        <f ca="1">IF(COUNTIFS($BS$6:$BS$53,BS10,$BC$6:$BC$53,INDEX(T_Equipos[Grupo],MATCH(BD10,T_Equipos[NombreEquipo],0)))=1,"-","P."&amp;BS10&amp;" ("&amp;COUNTIFS($BS$6:$BS$53,BS10,$BC$6:$BC$53,INDEX(T_Equipos[Grupo],MATCH(BD10,T_Equipos[NombreEquipo],0)))&amp;")")</f>
        <v>P.2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2</v>
      </c>
      <c r="BZ10" s="769" t="str">
        <f ca="1">IF(COUNTIFS($BY$6:$BY$53,BY10,$BC$6:$BC$53,INDEX(T_Equipos[Grupo],MATCH(BD10,T_Equipos[NombreEquipo],0)))=1,"-","P."&amp;BY10&amp;" ("&amp;COUNTIFS($BY$6:$BY$53,BY10,$BC$6:$BC$53,INDEX(T_Equipos[Grupo],MATCH(BD10,T_Equipos[NombreEquipo],0)))&amp;")")</f>
        <v>P.2 (2)</v>
      </c>
      <c r="CA10" s="770">
        <f t="shared" ref="CA10:CA53" ca="1" si="40">IF($BZ10="-","-",SUMIFS(FG_GolesLocal,FGLocal,$BD10,Part1Empate2V,$BZ10)+SUMIFS(FG_GolesVisitante,FGVisitante,$BD10,Part1Empate2L,$BZ10))</f>
        <v>1</v>
      </c>
      <c r="CB10" s="770">
        <f t="shared" ref="CB10:CB53" ca="1" si="41">IF($BZ10="-","-",SUMIFS(FG_GolesVisitante,FGLocal,$BD10,Part1Empate2V,$BZ10)+SUMIFS(FG_GolesLocal,FGVisitante,$BD10,Part1Empate2L,$BZ10))</f>
        <v>1</v>
      </c>
      <c r="CC10" s="770">
        <f t="shared" ref="CC10:CC53" ca="1" si="42">IF($BZ10="-","-",CA10-CB10)</f>
        <v>0</v>
      </c>
      <c r="CD10" s="770">
        <f ca="1">BY10+COUNTIFS($BZ$6:$BZ$53,BZ10,$CC$6:CC$53,"&gt;"&amp;CC10,$BC$6:$BC$53,INDEX(T_Equipos[Grupo],MATCH(BD10,T_Equipos[NombreEquipo],0)))</f>
        <v>2</v>
      </c>
      <c r="CE10" s="769" t="str">
        <f ca="1">IF(COUNTIFS($CD$6:$CD$53,CD10,$BC$6:$BC$53,INDEX(T_Equipos[Grupo],MATCH(BD10,T_Equipos[NombreEquipo],0)))=1,"-","P."&amp;CD10&amp;" ("&amp;COUNTIFS($CD$6:$CD$53,CD10,$BC$6:$BC$53,INDEX(T_Equipos[Grupo],MATCH(BD10,T_Equipos[NombreEquipo],0)))&amp;")")</f>
        <v>P.2 (2)</v>
      </c>
      <c r="CF10" s="770">
        <f t="shared" ref="CF10:CF53" ca="1" si="43">IF($CE10="-","-",SUMIFS(FG_GolesLocal,FGLocal,$BD10,Part1Empate3V,$CE10)+SUMIFS(FG_GolesVisitante,FGVisitante,$BD10,Part1Empate3L,$CE10))</f>
        <v>1</v>
      </c>
      <c r="CG10" s="770">
        <f ca="1">CD10+COUNTIFS($CE$6:$CE$53,CE10,$CF$6:CF$53,"&gt;"&amp;CF10,$BC$6:$BC$53,INDEX(T_Equipos[Grupo],MATCH(BD10,T_Equipos[NombreEquipo],0)))</f>
        <v>2</v>
      </c>
      <c r="CH10" s="769" t="str">
        <f ca="1">IF(COUNTIFS($CG$6:$CG$53,CG10,$BC$6:$BC$53,INDEX(T_Equipos[Grupo],MATCH(BD10,T_Equipos[NombreEquipo],0)))=1,"-","P."&amp;CG10&amp;" ("&amp;COUNTIFS($CG$6:$CG$53,CG10,$BC$6:$BC$53,INDEX(T_Equipos[Grupo],MATCH(BD10,T_Equipos[NombreEquipo],0)))&amp;")")</f>
        <v>P.2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2</v>
      </c>
      <c r="CN10" s="769" t="str">
        <f ca="1">IF(COUNTIFS($CM$6:$CM$53,CM10,$BC$6:$BC$53,INDEX(T_Equipos[Grupo],MATCH(BD10,T_Equipos[NombreEquipo],0)))=1,"-","P."&amp;CM10&amp;" ("&amp;COUNTIFS($CM$6:$CM$53,CM10,$BC$6:$BC$53,INDEX(T_Equipos[Grupo],MATCH(BD10,T_Equipos[NombreEquipo],0)))&amp;")")</f>
        <v>P.2 (2)</v>
      </c>
      <c r="CO10" s="770">
        <f t="shared" ref="CO10:CO53" ca="1" si="48">IF($CN10="-","-",SUMIFS(FG_GolesLocal,FGLocal,$BD10,Part2Empate5V,$CN10)+SUMIFS(FG_GolesVisitante,FGVisitante,$BD10,Part2Empate5L,$CN10))</f>
        <v>1</v>
      </c>
      <c r="CP10" s="770">
        <f t="shared" ref="CP10:CP53" ca="1" si="49">IF($CN10="-","-",SUMIFS(FG_GolesVisitante,FGLocal,$BD10,Part2Empate5V,$CN10)+SUMIFS(FG_GolesLocal,FGVisitante,$BD10,Part2Empate5L,$CN10))</f>
        <v>1</v>
      </c>
      <c r="CQ10" s="770">
        <f t="shared" ref="CQ10:CQ53" ca="1" si="50">IF($CN10="-","-",CO10-CP10)</f>
        <v>0</v>
      </c>
      <c r="CR10" s="770">
        <f ca="1">CM10+COUNTIFS($CN$6:$CN$53,CN10,$CQ$6:CQ$53,"&gt;"&amp;CQ10,$BC$6:$BC$53,INDEX(T_Equipos[Grupo],MATCH(BD10,T_Equipos[NombreEquipo],0)))</f>
        <v>2</v>
      </c>
      <c r="CS10" s="769" t="str">
        <f ca="1">IF(COUNTIFS($CR$6:$CR$53,CR10,$BC$6:$BC$53,INDEX(T_Equipos[Grupo],MATCH(BD10,T_Equipos[NombreEquipo],0)))=1,"-","P."&amp;CR10&amp;" ("&amp;COUNTIFS($CR$6:$CR$53,CR10,$BC$6:$BC$53,INDEX(T_Equipos[Grupo],MATCH(BD10,T_Equipos[NombreEquipo],0)))&amp;")")</f>
        <v>P.2 (2)</v>
      </c>
      <c r="CT10" s="770">
        <f t="shared" ref="CT10:CT53" ca="1" si="51">IF($CS10="-","-",SUMIFS(FG_GolesLocal,FGLocal,$BD10,Part2Empate6V,$CS10)+SUMIFS(FG_GolesVisitante,FGVisitante,$BD10,Part2Empate6L,$CS10))</f>
        <v>1</v>
      </c>
      <c r="CU10" s="770">
        <f ca="1">CR10+COUNTIFS($CS$6:$CS$53,CS10,$CT$6:CT$53,"&gt;"&amp;CT10,$BC$6:$BC$53,INDEX(T_Equipos[Grupo],MATCH(BD10,T_Equipos[NombreEquipo],0)))</f>
        <v>2</v>
      </c>
      <c r="CV10" s="769" t="str">
        <f ca="1">IF(COUNTIFS($CU$6:$CU$53,CU10,$BC$6:$BC$53,INDEX(T_Equipos[Grupo],MATCH(BD10,T_Equipos[NombreEquipo],0)))=1,"-","P."&amp;CU10&amp;" ("&amp;COUNTIFS($CU$6:$CU$53,CU10,$BC$6:$BC$53,INDEX(T_Equipos[Grupo],MATCH(BD10,T_Equipos[NombreEquipo],0)))&amp;")")</f>
        <v>P.2 (2)</v>
      </c>
      <c r="CW10" s="769">
        <f t="shared" ca="1" si="30"/>
        <v>5</v>
      </c>
      <c r="CX10" s="769">
        <f ca="1">CU10+COUNTIFS($CV$6:$CV$53,CV10,$CW$6:CW$53,"&gt;"&amp;CW10,$BC$6:$BC$53,INDEX(T_Equipos[Grupo],MATCH(BD10,T_Equipos[NombreEquipo],0)))</f>
        <v>2</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2</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2</v>
      </c>
      <c r="DE10" s="768"/>
      <c r="DF10" s="768">
        <f t="shared" ref="DF10:DF53" ca="1" si="52">IF(OR(INDEX($AW$6:$AW$97,MATCH($BD10,$AV$6:$AV$97,0))="",DB10="-"),DD10,INDEX($AW$6:$AW$97,MATCH($BD10,$AV$6:$AV$97,0))+DD10/1000)</f>
        <v>2</v>
      </c>
      <c r="DG10" s="768" t="str">
        <f ca="1">IF(DB10="-","-",COUNTIFS(DF$6:DF$53,"&lt;"&amp;DF10,$BC$6:$BC$53,INDEX(T_Equipos[Grupo],MATCH(BD10,T_Equipos[NombreEquipo],0))))</f>
        <v>-</v>
      </c>
      <c r="DH10" s="768">
        <f ca="1">DA10+COUNTIFS(DB$6:DB$53,DB10,DG$6:DG$53,"&lt;"&amp;DG10,$BC$6:$BC$53,INDEX(T_Equipos[Grupo],MATCH(BD10,T_Equipos[NombreEquipo],0)))</f>
        <v>2</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6" customHeight="1" thickBot="1" x14ac:dyDescent="0.25">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4</v>
      </c>
      <c r="BF11" s="760">
        <f t="shared" ca="1" si="26"/>
        <v>3</v>
      </c>
      <c r="BG11" s="760">
        <f t="shared" ca="1" si="17"/>
        <v>1</v>
      </c>
      <c r="BH11" s="760">
        <f t="shared" ca="1" si="18"/>
        <v>1</v>
      </c>
      <c r="BI11" s="760">
        <f t="shared" ca="1" si="19"/>
        <v>1</v>
      </c>
      <c r="BJ11" s="760">
        <f t="shared" ca="1" si="20"/>
        <v>5</v>
      </c>
      <c r="BK11" s="760">
        <f t="shared" ca="1" si="21"/>
        <v>6</v>
      </c>
      <c r="BL11" s="760">
        <f t="shared" ca="1" si="27"/>
        <v>-1</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4</v>
      </c>
      <c r="BS11" s="769">
        <f ca="1">BP11+COUNTIFS($BQ$6:$BQ$53,BQ11,$BR$6:BR$53,"&gt;"&amp;BR11,$BC$6:$BC$53,INDEX(T_Equipos[Grupo],MATCH(BD11,T_Equipos[NombreEquipo],0)))</f>
        <v>2</v>
      </c>
      <c r="BT11" s="769" t="str">
        <f ca="1">IF(COUNTIFS($BS$6:$BS$53,BS11,$BC$6:$BC$53,INDEX(T_Equipos[Grupo],MATCH(BD11,T_Equipos[NombreEquipo],0)))=1,"-","P."&amp;BS11&amp;" ("&amp;COUNTIFS($BS$6:$BS$53,BS11,$BC$6:$BC$53,INDEX(T_Equipos[Grupo],MATCH(BD11,T_Equipos[NombreEquipo],0)))&amp;")")</f>
        <v>P.2 (2)</v>
      </c>
      <c r="BU11" s="770">
        <f t="shared" ca="1" si="36"/>
        <v>0</v>
      </c>
      <c r="BV11" s="770">
        <f t="shared" ca="1" si="37"/>
        <v>1</v>
      </c>
      <c r="BW11" s="770">
        <f t="shared" ca="1" si="38"/>
        <v>0</v>
      </c>
      <c r="BX11" s="770">
        <f t="shared" ca="1" si="39"/>
        <v>1</v>
      </c>
      <c r="BY11" s="770">
        <f ca="1">BS11+COUNTIFS($BT$6:$BT$53,BT11,$BX$6:BX$53,"&gt;"&amp;BX11,$BC$6:$BC$53,INDEX(T_Equipos[Grupo],MATCH(BD11,T_Equipos[NombreEquipo],0)))</f>
        <v>2</v>
      </c>
      <c r="BZ11" s="769" t="str">
        <f ca="1">IF(COUNTIFS($BY$6:$BY$53,BY11,$BC$6:$BC$53,INDEX(T_Equipos[Grupo],MATCH(BD11,T_Equipos[NombreEquipo],0)))=1,"-","P."&amp;BY11&amp;" ("&amp;COUNTIFS($BY$6:$BY$53,BY11,$BC$6:$BC$53,INDEX(T_Equipos[Grupo],MATCH(BD11,T_Equipos[NombreEquipo],0)))&amp;")")</f>
        <v>P.2 (2)</v>
      </c>
      <c r="CA11" s="770">
        <f t="shared" ca="1" si="40"/>
        <v>1</v>
      </c>
      <c r="CB11" s="770">
        <f t="shared" ca="1" si="41"/>
        <v>1</v>
      </c>
      <c r="CC11" s="770">
        <f t="shared" ca="1" si="42"/>
        <v>0</v>
      </c>
      <c r="CD11" s="770">
        <f ca="1">BY11+COUNTIFS($BZ$6:$BZ$53,BZ11,$CC$6:CC$53,"&gt;"&amp;CC11,$BC$6:$BC$53,INDEX(T_Equipos[Grupo],MATCH(BD11,T_Equipos[NombreEquipo],0)))</f>
        <v>2</v>
      </c>
      <c r="CE11" s="769" t="str">
        <f ca="1">IF(COUNTIFS($CD$6:$CD$53,CD11,$BC$6:$BC$53,INDEX(T_Equipos[Grupo],MATCH(BD11,T_Equipos[NombreEquipo],0)))=1,"-","P."&amp;CD11&amp;" ("&amp;COUNTIFS($CD$6:$CD$53,CD11,$BC$6:$BC$53,INDEX(T_Equipos[Grupo],MATCH(BD11,T_Equipos[NombreEquipo],0)))&amp;")")</f>
        <v>P.2 (2)</v>
      </c>
      <c r="CF11" s="770">
        <f t="shared" ca="1" si="43"/>
        <v>1</v>
      </c>
      <c r="CG11" s="770">
        <f ca="1">CD11+COUNTIFS($CE$6:$CE$53,CE11,$CF$6:CF$53,"&gt;"&amp;CF11,$BC$6:$BC$53,INDEX(T_Equipos[Grupo],MATCH(BD11,T_Equipos[NombreEquipo],0)))</f>
        <v>2</v>
      </c>
      <c r="CH11" s="769" t="str">
        <f ca="1">IF(COUNTIFS($CG$6:$CG$53,CG11,$BC$6:$BC$53,INDEX(T_Equipos[Grupo],MATCH(BD11,T_Equipos[NombreEquipo],0)))=1,"-","P."&amp;CG11&amp;" ("&amp;COUNTIFS($CG$6:$CG$53,CG11,$BC$6:$BC$53,INDEX(T_Equipos[Grupo],MATCH(BD11,T_Equipos[NombreEquipo],0)))&amp;")")</f>
        <v>P.2 (2)</v>
      </c>
      <c r="CI11" s="770">
        <f t="shared" ca="1" si="44"/>
        <v>0</v>
      </c>
      <c r="CJ11" s="770">
        <f t="shared" ca="1" si="45"/>
        <v>1</v>
      </c>
      <c r="CK11" s="770">
        <f t="shared" ca="1" si="46"/>
        <v>0</v>
      </c>
      <c r="CL11" s="770">
        <f t="shared" ca="1" si="47"/>
        <v>1</v>
      </c>
      <c r="CM11" s="770">
        <f ca="1">CG11+COUNTIFS($CH$6:$CH$53,CH11,$CL$6:CL$53,"&gt;"&amp;CL11,$BC$6:$BC$53,INDEX(T_Equipos[Grupo],MATCH(BD11,T_Equipos[NombreEquipo],0)))</f>
        <v>2</v>
      </c>
      <c r="CN11" s="769" t="str">
        <f ca="1">IF(COUNTIFS($CM$6:$CM$53,CM11,$BC$6:$BC$53,INDEX(T_Equipos[Grupo],MATCH(BD11,T_Equipos[NombreEquipo],0)))=1,"-","P."&amp;CM11&amp;" ("&amp;COUNTIFS($CM$6:$CM$53,CM11,$BC$6:$BC$53,INDEX(T_Equipos[Grupo],MATCH(BD11,T_Equipos[NombreEquipo],0)))&amp;")")</f>
        <v>P.2 (2)</v>
      </c>
      <c r="CO11" s="770">
        <f t="shared" ca="1" si="48"/>
        <v>1</v>
      </c>
      <c r="CP11" s="770">
        <f t="shared" ca="1" si="49"/>
        <v>1</v>
      </c>
      <c r="CQ11" s="770">
        <f t="shared" ca="1" si="50"/>
        <v>0</v>
      </c>
      <c r="CR11" s="770">
        <f ca="1">CM11+COUNTIFS($CN$6:$CN$53,CN11,$CQ$6:CQ$53,"&gt;"&amp;CQ11,$BC$6:$BC$53,INDEX(T_Equipos[Grupo],MATCH(BD11,T_Equipos[NombreEquipo],0)))</f>
        <v>2</v>
      </c>
      <c r="CS11" s="769" t="str">
        <f ca="1">IF(COUNTIFS($CR$6:$CR$53,CR11,$BC$6:$BC$53,INDEX(T_Equipos[Grupo],MATCH(BD11,T_Equipos[NombreEquipo],0)))=1,"-","P."&amp;CR11&amp;" ("&amp;COUNTIFS($CR$6:$CR$53,CR11,$BC$6:$BC$53,INDEX(T_Equipos[Grupo],MATCH(BD11,T_Equipos[NombreEquipo],0)))&amp;")")</f>
        <v>P.2 (2)</v>
      </c>
      <c r="CT11" s="770">
        <f t="shared" ca="1" si="51"/>
        <v>1</v>
      </c>
      <c r="CU11" s="770">
        <f ca="1">CR11+COUNTIFS($CS$6:$CS$53,CS11,$CT$6:CT$53,"&gt;"&amp;CT11,$BC$6:$BC$53,INDEX(T_Equipos[Grupo],MATCH(BD11,T_Equipos[NombreEquipo],0)))</f>
        <v>2</v>
      </c>
      <c r="CV11" s="769" t="str">
        <f ca="1">IF(COUNTIFS($CU$6:$CU$53,CU11,$BC$6:$BC$53,INDEX(T_Equipos[Grupo],MATCH(BD11,T_Equipos[NombreEquipo],0)))=1,"-","P."&amp;CU11&amp;" ("&amp;COUNTIFS($CU$6:$CU$53,CU11,$BC$6:$BC$53,INDEX(T_Equipos[Grupo],MATCH(BD11,T_Equipos[NombreEquipo],0)))&amp;")")</f>
        <v>P.2 (2)</v>
      </c>
      <c r="CW11" s="769">
        <f t="shared" ca="1" si="30"/>
        <v>-1</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Canadá</v>
      </c>
      <c r="DR11" s="756"/>
      <c r="DS11" s="756"/>
      <c r="DT11" s="756" t="str">
        <f t="shared" si="15"/>
        <v>Casa-Fuera</v>
      </c>
      <c r="DU11" s="756"/>
      <c r="DV11" s="756"/>
      <c r="DW11" s="8"/>
    </row>
    <row r="12" spans="1:127" ht="15" customHeight="1" thickBot="1" x14ac:dyDescent="0.25">
      <c r="A12" s="753" t="s">
        <v>30</v>
      </c>
      <c r="B12" s="754" t="s">
        <v>1</v>
      </c>
      <c r="C12" s="755">
        <f>COUNTIF(Equipos!$C$2:$C$49,WORLDCUP!B12)</f>
        <v>4</v>
      </c>
      <c r="D12" s="756" t="str">
        <f t="shared" ref="D12:D17" si="54">IF(OR(AC12="",AD12=""),"Pendiente",IF(AC12&gt;AD12,"Local",IF(AC12&lt;AD12,"Visitante","Empate")))</f>
        <v>Empate</v>
      </c>
      <c r="E12" s="756" t="str">
        <f t="shared" ref="E12:E17" ca="1" si="55">IF(D12="Pendiente","-",INDEX($BT$6:$BT$53,MATCH($AA12,$BD$6:$BD$53,0)))</f>
        <v>P.2 (2)</v>
      </c>
      <c r="F12" s="756" t="str">
        <f t="shared" ref="F12:F17" ca="1" si="56">IF(D12="Pendiente","-",INDEX($BT$6:$BT$53,MATCH($AF12,$BD$6:$BD$53,0)))</f>
        <v>P.2 (2)</v>
      </c>
      <c r="G12" s="756"/>
      <c r="H12" s="756" t="str">
        <f t="shared" ref="H12:H17" ca="1" si="57">IF(D12="Pendiente","-",INDEX($BZ$6:$BZ$53,MATCH($AA12,$BD$6:$BD$53,0)))</f>
        <v>P.2 (2)</v>
      </c>
      <c r="I12" s="756" t="str">
        <f t="shared" ref="I12:I17" ca="1" si="58">IF(D12="Pendiente","-",INDEX($BZ$6:$BZ$53,MATCH($AF12,$BD$6:$BD$53,0)))</f>
        <v>P.2 (2)</v>
      </c>
      <c r="J12" s="756"/>
      <c r="K12" s="756" t="str">
        <f t="shared" ref="K12:K17" ca="1" si="59">IF(D12="Pendiente","-",INDEX($CE$6:$CE$53,MATCH($AA12,$BD$6:$BD$53,0)))</f>
        <v>P.2 (2)</v>
      </c>
      <c r="L12" s="756" t="str">
        <f t="shared" ref="L12:L17" ca="1" si="60">IF(D12="Pendiente","-",INDEX($CE$6:$CE$53,MATCH($AF12,$BD$6:$BD$53,0)))</f>
        <v>P.2 (2)</v>
      </c>
      <c r="M12" s="756"/>
      <c r="N12" s="756" t="str">
        <f t="shared" ref="N12:N17" ca="1" si="61">IF(D12="Pendiente","-",INDEX($CH$6:$CH$53,MATCH($AA12,$BD$6:$BD$53,0)))</f>
        <v>P.2 (2)</v>
      </c>
      <c r="O12" s="756" t="str">
        <f t="shared" ref="O12:O17" ca="1" si="62">IF(D12="Pendiente","-",INDEX($CH$6:$CH$53,MATCH($AF12,$BD$6:$BD$53,0)))</f>
        <v>P.2 (2)</v>
      </c>
      <c r="P12" s="756"/>
      <c r="Q12" s="756" t="str">
        <f t="shared" ref="Q12:Q17" ca="1" si="63">IF(D12="Pendiente","-",INDEX($CN$6:$CN$53,MATCH($AA12,$BD$6:$BD$53,0)))</f>
        <v>P.2 (2)</v>
      </c>
      <c r="R12" s="756" t="str">
        <f t="shared" ref="R12:R17" ca="1" si="64">IF(D12="Pendiente","-",INDEX($CN$6:$CN$53,MATCH($AF12,$BD$6:$BD$53,0)))</f>
        <v>P.2 (2)</v>
      </c>
      <c r="S12" s="756"/>
      <c r="T12" s="756" t="str">
        <f t="shared" ref="T12:T17" ca="1" si="65">IF(D12="Pendiente","-",INDEX($CS$6:$CS$53,MATCH($AA12,$BD$6:$BD$53,0)))</f>
        <v>P.2 (2)</v>
      </c>
      <c r="U12" s="756" t="str">
        <f t="shared" ref="U12:U17" ca="1" si="66">IF(D12="Pendiente","-",INDEX($CS$6:$CS$53,MATCH($AF12,$BD$6:$BD$53,0)))</f>
        <v>P.2 (2)</v>
      </c>
      <c r="V12" s="178"/>
      <c r="W12" s="806" t="s">
        <v>1</v>
      </c>
      <c r="X12" s="195">
        <f ca="1">Horarios!C12</f>
        <v>46185.875</v>
      </c>
      <c r="Y12" s="196">
        <f ca="1">Horarios!C12</f>
        <v>46185.875</v>
      </c>
      <c r="Z12" s="197" t="str">
        <f>$Z$4</f>
        <v>J1</v>
      </c>
      <c r="AA12" s="198" t="str">
        <f ca="1">A13</f>
        <v>Canadá</v>
      </c>
      <c r="AB12" s="486" t="str" cm="1">
        <f t="array" aca="1" ref="AB12" ca="1">Ver_flag_local</f>
        <v>🇨🇦</v>
      </c>
      <c r="AC12" s="199">
        <v>1</v>
      </c>
      <c r="AD12" s="200">
        <v>1</v>
      </c>
      <c r="AE12" s="491" t="str" cm="1">
        <f t="array" aca="1" ref="AE12" ca="1">Ver_flag_visit</f>
        <v>🇧🇦</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1</v>
      </c>
      <c r="BF12" s="760">
        <f t="shared" ca="1" si="26"/>
        <v>3</v>
      </c>
      <c r="BG12" s="760">
        <f t="shared" ca="1" si="17"/>
        <v>0</v>
      </c>
      <c r="BH12" s="760">
        <f t="shared" ca="1" si="18"/>
        <v>1</v>
      </c>
      <c r="BI12" s="760">
        <f t="shared" ca="1" si="19"/>
        <v>2</v>
      </c>
      <c r="BJ12" s="760">
        <f t="shared" ca="1" si="20"/>
        <v>2</v>
      </c>
      <c r="BK12" s="760">
        <f t="shared" ca="1" si="21"/>
        <v>10</v>
      </c>
      <c r="BL12" s="760">
        <f t="shared" ca="1" si="27"/>
        <v>-8</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1</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Bosnia y Herzegovina</v>
      </c>
      <c r="DR12" s="756"/>
      <c r="DS12" s="756"/>
      <c r="DT12" s="756" t="str">
        <f t="shared" ca="1" si="15"/>
        <v>Canadá-Bosnia y Herzegovina</v>
      </c>
      <c r="DU12" s="756"/>
      <c r="DV12" s="756"/>
      <c r="DW12" s="8"/>
    </row>
    <row r="13" spans="1:127" ht="16" customHeight="1" x14ac:dyDescent="0.2">
      <c r="A13" s="757" t="str">
        <f ca="1">+Equipos!B6</f>
        <v>Canadá</v>
      </c>
      <c r="B13" s="754"/>
      <c r="C13" s="754"/>
      <c r="D13" s="756" t="str">
        <f t="shared" si="54"/>
        <v>Empate</v>
      </c>
      <c r="E13" s="756" t="str">
        <f t="shared" ca="1" si="55"/>
        <v>-</v>
      </c>
      <c r="F13" s="756" t="str">
        <f t="shared" ca="1" si="56"/>
        <v>-</v>
      </c>
      <c r="G13" s="756"/>
      <c r="H13" s="756" t="str">
        <f t="shared" ca="1" si="57"/>
        <v>-</v>
      </c>
      <c r="I13" s="756" t="str">
        <f t="shared" ca="1" si="58"/>
        <v>-</v>
      </c>
      <c r="J13" s="756"/>
      <c r="K13" s="756" t="str">
        <f t="shared" ca="1" si="59"/>
        <v>-</v>
      </c>
      <c r="L13" s="756" t="str">
        <f t="shared" ca="1" si="60"/>
        <v>-</v>
      </c>
      <c r="M13" s="756"/>
      <c r="N13" s="756" t="str">
        <f t="shared" ca="1" si="61"/>
        <v>-</v>
      </c>
      <c r="O13" s="756" t="str">
        <f t="shared" ca="1" si="62"/>
        <v>-</v>
      </c>
      <c r="P13" s="756"/>
      <c r="Q13" s="756" t="str">
        <f t="shared" ca="1" si="63"/>
        <v>-</v>
      </c>
      <c r="R13" s="756" t="str">
        <f t="shared" ca="1" si="64"/>
        <v>-</v>
      </c>
      <c r="S13" s="756"/>
      <c r="T13" s="756" t="str">
        <f t="shared" ca="1" si="65"/>
        <v>-</v>
      </c>
      <c r="U13" s="756" t="str">
        <f t="shared" ca="1" si="66"/>
        <v>-</v>
      </c>
      <c r="V13" s="178"/>
      <c r="W13" s="806"/>
      <c r="X13" s="195">
        <f ca="1">Horarios!C13</f>
        <v>46186.875</v>
      </c>
      <c r="Y13" s="196">
        <f ca="1">Horarios!C13</f>
        <v>46186.875</v>
      </c>
      <c r="Z13" s="197" t="str">
        <f>$Z$4</f>
        <v>J1</v>
      </c>
      <c r="AA13" s="198" t="str">
        <f ca="1">A15</f>
        <v>Catar</v>
      </c>
      <c r="AB13" s="486" t="str" cm="1">
        <f t="array" aca="1" ref="AB13" ca="1">Ver_flag_local</f>
        <v>🇶🇦</v>
      </c>
      <c r="AC13" s="199">
        <v>1</v>
      </c>
      <c r="AD13" s="200">
        <v>1</v>
      </c>
      <c r="AE13" s="491" t="str" cm="1">
        <f t="array" aca="1" ref="AE13" ca="1">Ver_flag_visit</f>
        <v>🇨🇭</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7</v>
      </c>
      <c r="BK13" s="760">
        <f t="shared" ca="1" si="21"/>
        <v>3</v>
      </c>
      <c r="BL13" s="760">
        <f t="shared" ca="1" si="27"/>
        <v>4</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v>
      </c>
      <c r="BU13" s="770" t="str">
        <f t="shared" ca="1" si="36"/>
        <v>-</v>
      </c>
      <c r="BV13" s="770" t="str">
        <f t="shared" ca="1" si="37"/>
        <v>-</v>
      </c>
      <c r="BW13" s="770" t="str">
        <f t="shared" ca="1" si="38"/>
        <v>-</v>
      </c>
      <c r="BX13" s="770" t="str">
        <f t="shared" ca="1" si="39"/>
        <v>-</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v>
      </c>
      <c r="CA13" s="770" t="str">
        <f t="shared" ca="1" si="40"/>
        <v>-</v>
      </c>
      <c r="CB13" s="770" t="str">
        <f t="shared" ca="1" si="41"/>
        <v>-</v>
      </c>
      <c r="CC13" s="770" t="str">
        <f t="shared" ca="1" si="42"/>
        <v>-</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v>
      </c>
      <c r="CF13" s="770" t="str">
        <f t="shared" ca="1" si="43"/>
        <v>-</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v>
      </c>
      <c r="CI13" s="770" t="str">
        <f t="shared" ca="1" si="44"/>
        <v>-</v>
      </c>
      <c r="CJ13" s="770" t="str">
        <f t="shared" ca="1" si="45"/>
        <v>-</v>
      </c>
      <c r="CK13" s="770" t="str">
        <f t="shared" ca="1" si="46"/>
        <v>-</v>
      </c>
      <c r="CL13" s="770" t="str">
        <f t="shared" ca="1" si="47"/>
        <v>-</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v>
      </c>
      <c r="CO13" s="770" t="str">
        <f t="shared" ca="1" si="48"/>
        <v>-</v>
      </c>
      <c r="CP13" s="770" t="str">
        <f t="shared" ca="1" si="49"/>
        <v>-</v>
      </c>
      <c r="CQ13" s="770" t="str">
        <f t="shared" ca="1" si="50"/>
        <v>-</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v>
      </c>
      <c r="CT13" s="770" t="str">
        <f t="shared" ca="1" si="51"/>
        <v>-</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v>
      </c>
      <c r="CW13" s="769" t="str">
        <f t="shared" ca="1" si="30"/>
        <v>-</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 customHeight="1" x14ac:dyDescent="0.2">
      <c r="A14" s="757" t="str">
        <f ca="1">+Equipos!B7</f>
        <v>Bosnia y Herzegovina</v>
      </c>
      <c r="B14" s="754"/>
      <c r="C14" s="758"/>
      <c r="D14" s="756" t="str">
        <f t="shared" si="54"/>
        <v>Local</v>
      </c>
      <c r="E14" s="756" t="str">
        <f t="shared" ca="1" si="55"/>
        <v>-</v>
      </c>
      <c r="F14" s="756" t="str">
        <f t="shared" ca="1" si="56"/>
        <v>P.2 (2)</v>
      </c>
      <c r="G14" s="756"/>
      <c r="H14" s="756" t="str">
        <f t="shared" ca="1" si="57"/>
        <v>-</v>
      </c>
      <c r="I14" s="756" t="str">
        <f t="shared" ca="1" si="58"/>
        <v>P.2 (2)</v>
      </c>
      <c r="J14" s="756"/>
      <c r="K14" s="756" t="str">
        <f t="shared" ca="1" si="59"/>
        <v>-</v>
      </c>
      <c r="L14" s="756" t="str">
        <f t="shared" ca="1" si="60"/>
        <v>P.2 (2)</v>
      </c>
      <c r="M14" s="756"/>
      <c r="N14" s="756" t="str">
        <f t="shared" ca="1" si="61"/>
        <v>-</v>
      </c>
      <c r="O14" s="756" t="str">
        <f t="shared" ca="1" si="62"/>
        <v>P.2 (2)</v>
      </c>
      <c r="P14" s="756"/>
      <c r="Q14" s="756" t="str">
        <f t="shared" ca="1" si="63"/>
        <v>-</v>
      </c>
      <c r="R14" s="756" t="str">
        <f t="shared" ca="1" si="64"/>
        <v>P.2 (2)</v>
      </c>
      <c r="S14" s="756"/>
      <c r="T14" s="756" t="str">
        <f t="shared" ca="1" si="65"/>
        <v>-</v>
      </c>
      <c r="U14" s="756" t="str">
        <f t="shared" ca="1" si="66"/>
        <v>P.2 (2)</v>
      </c>
      <c r="V14" s="178"/>
      <c r="W14" s="806"/>
      <c r="X14" s="195">
        <f ca="1">Horarios!C14</f>
        <v>46191.875</v>
      </c>
      <c r="Y14" s="196">
        <f ca="1">Horarios!C14</f>
        <v>46191.875</v>
      </c>
      <c r="Z14" s="197" t="str">
        <f>$Z$6</f>
        <v>J2</v>
      </c>
      <c r="AA14" s="198" t="str">
        <f ca="1">A16</f>
        <v>Suiza</v>
      </c>
      <c r="AB14" s="486" t="str" cm="1">
        <f t="array" aca="1" ref="AB14" ca="1">Ver_flag_local</f>
        <v>🇨🇭</v>
      </c>
      <c r="AC14" s="199">
        <v>4</v>
      </c>
      <c r="AD14" s="200">
        <v>1</v>
      </c>
      <c r="AE14" s="491" t="str" cm="1">
        <f t="array" aca="1" ref="AE14" ca="1">Ver_flag_visit</f>
        <v>🇧🇦</v>
      </c>
      <c r="AF14" s="201" t="str">
        <f ca="1">A14</f>
        <v>Bosnia y Herzegovina</v>
      </c>
      <c r="AG14" s="421">
        <f t="shared" si="67"/>
        <v>1</v>
      </c>
      <c r="AH14" s="202">
        <v>26</v>
      </c>
      <c r="AI14" s="19" t="str">
        <f>AJ14&amp;$B$12</f>
        <v>1B</v>
      </c>
      <c r="AJ14" s="262">
        <v>1</v>
      </c>
      <c r="AK14" s="496" t="str" cm="1">
        <f t="array" aca="1" ref="AK14" ca="1">Ver_flag_visit</f>
        <v>🇨🇭</v>
      </c>
      <c r="AL14" s="218" t="str">
        <f ca="1">IFERROR(INDEX($BD$6:$BD$53,MATCH(AI14,$BN$6:$BN$53,0)),"")</f>
        <v>Suiza</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7</v>
      </c>
      <c r="AS14" s="220">
        <f t="shared" ca="1" si="71"/>
        <v>3</v>
      </c>
      <c r="AT14" s="263">
        <f t="shared" ca="1" si="71"/>
        <v>4</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7</v>
      </c>
      <c r="BF14" s="760">
        <f t="shared" ca="1" si="26"/>
        <v>3</v>
      </c>
      <c r="BG14" s="760">
        <f t="shared" ca="1" si="17"/>
        <v>2</v>
      </c>
      <c r="BH14" s="760">
        <f t="shared" ca="1" si="18"/>
        <v>1</v>
      </c>
      <c r="BI14" s="760">
        <f t="shared" ca="1" si="19"/>
        <v>0</v>
      </c>
      <c r="BJ14" s="760">
        <f t="shared" ca="1" si="20"/>
        <v>7</v>
      </c>
      <c r="BK14" s="760">
        <f t="shared" ca="1" si="21"/>
        <v>1</v>
      </c>
      <c r="BL14" s="760">
        <f t="shared" ca="1" si="27"/>
        <v>6</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7</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P.1 (2)</v>
      </c>
      <c r="BU14" s="770">
        <f t="shared" ca="1" si="36"/>
        <v>0</v>
      </c>
      <c r="BV14" s="770">
        <f t="shared" ca="1" si="37"/>
        <v>1</v>
      </c>
      <c r="BW14" s="770">
        <f t="shared" ca="1" si="38"/>
        <v>0</v>
      </c>
      <c r="BX14" s="770">
        <f t="shared" ca="1" si="39"/>
        <v>1</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P.1 (2)</v>
      </c>
      <c r="CA14" s="770">
        <f t="shared" ca="1" si="40"/>
        <v>1</v>
      </c>
      <c r="CB14" s="770">
        <f t="shared" ca="1" si="41"/>
        <v>1</v>
      </c>
      <c r="CC14" s="770">
        <f t="shared" ca="1" si="42"/>
        <v>0</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P.1 (2)</v>
      </c>
      <c r="CF14" s="770">
        <f t="shared" ca="1" si="43"/>
        <v>1</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P.1 (2)</v>
      </c>
      <c r="CI14" s="770">
        <f t="shared" ca="1" si="44"/>
        <v>0</v>
      </c>
      <c r="CJ14" s="770">
        <f t="shared" ca="1" si="45"/>
        <v>1</v>
      </c>
      <c r="CK14" s="770">
        <f t="shared" ca="1" si="46"/>
        <v>0</v>
      </c>
      <c r="CL14" s="770">
        <f t="shared" ca="1" si="47"/>
        <v>1</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P.1 (2)</v>
      </c>
      <c r="CO14" s="770">
        <f t="shared" ca="1" si="48"/>
        <v>1</v>
      </c>
      <c r="CP14" s="770">
        <f t="shared" ca="1" si="49"/>
        <v>1</v>
      </c>
      <c r="CQ14" s="770">
        <f t="shared" ca="1" si="50"/>
        <v>0</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P.1 (2)</v>
      </c>
      <c r="CT14" s="770">
        <f t="shared" ca="1" si="51"/>
        <v>1</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P.1 (2)</v>
      </c>
      <c r="CW14" s="769">
        <f t="shared" ca="1" si="30"/>
        <v>6</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ht="16" x14ac:dyDescent="0.2">
      <c r="A15" s="757" t="str">
        <f ca="1">+Equipos!B8</f>
        <v>Catar</v>
      </c>
      <c r="B15" s="754"/>
      <c r="C15" s="756"/>
      <c r="D15" s="756" t="str">
        <f t="shared" si="54"/>
        <v>Local</v>
      </c>
      <c r="E15" s="756" t="str">
        <f t="shared" ca="1" si="55"/>
        <v>P.2 (2)</v>
      </c>
      <c r="F15" s="756" t="str">
        <f t="shared" ca="1" si="56"/>
        <v>-</v>
      </c>
      <c r="G15" s="756"/>
      <c r="H15" s="756" t="str">
        <f t="shared" ca="1" si="57"/>
        <v>P.2 (2)</v>
      </c>
      <c r="I15" s="756" t="str">
        <f t="shared" ca="1" si="58"/>
        <v>-</v>
      </c>
      <c r="J15" s="756"/>
      <c r="K15" s="756" t="str">
        <f t="shared" ca="1" si="59"/>
        <v>P.2 (2)</v>
      </c>
      <c r="L15" s="756" t="str">
        <f t="shared" ca="1" si="60"/>
        <v>-</v>
      </c>
      <c r="M15" s="756"/>
      <c r="N15" s="756" t="str">
        <f t="shared" ca="1" si="61"/>
        <v>P.2 (2)</v>
      </c>
      <c r="O15" s="756" t="str">
        <f t="shared" ca="1" si="62"/>
        <v>-</v>
      </c>
      <c r="P15" s="756"/>
      <c r="Q15" s="756" t="str">
        <f t="shared" ca="1" si="63"/>
        <v>P.2 (2)</v>
      </c>
      <c r="R15" s="756" t="str">
        <f t="shared" ca="1" si="64"/>
        <v>-</v>
      </c>
      <c r="S15" s="756"/>
      <c r="T15" s="756" t="str">
        <f t="shared" ca="1" si="65"/>
        <v>P.2 (2)</v>
      </c>
      <c r="U15" s="756" t="str">
        <f t="shared" ca="1" si="66"/>
        <v>-</v>
      </c>
      <c r="V15" s="178"/>
      <c r="W15" s="806"/>
      <c r="X15" s="195">
        <f ca="1">Horarios!C15</f>
        <v>46192</v>
      </c>
      <c r="Y15" s="196">
        <f ca="1">Horarios!C15</f>
        <v>46192</v>
      </c>
      <c r="Z15" s="197" t="str">
        <f>$Z$6</f>
        <v>J2</v>
      </c>
      <c r="AA15" s="198" t="str">
        <f ca="1">A13</f>
        <v>Canadá</v>
      </c>
      <c r="AB15" s="486" t="str" cm="1">
        <f t="array" aca="1" ref="AB15" ca="1">Ver_flag_local</f>
        <v>🇨🇦</v>
      </c>
      <c r="AC15" s="199">
        <v>6</v>
      </c>
      <c r="AD15" s="200">
        <v>0</v>
      </c>
      <c r="AE15" s="491" t="str" cm="1">
        <f t="array" aca="1" ref="AE15" ca="1">Ver_flag_visit</f>
        <v>🇶🇦</v>
      </c>
      <c r="AF15" s="201" t="str">
        <f ca="1">A15</f>
        <v>Catar</v>
      </c>
      <c r="AG15" s="421">
        <f t="shared" si="67"/>
        <v>1</v>
      </c>
      <c r="AH15" s="202">
        <v>27</v>
      </c>
      <c r="AI15" s="19" t="str">
        <f t="shared" ref="AI15:AI17" si="72">AJ15&amp;$B$12</f>
        <v>2B</v>
      </c>
      <c r="AJ15" s="264">
        <v>2</v>
      </c>
      <c r="AK15" s="494" t="str" cm="1">
        <f t="array" aca="1" ref="AK15" ca="1">Ver_flag_visit</f>
        <v>🇨🇦</v>
      </c>
      <c r="AL15" s="228" t="str">
        <f ca="1">IFERROR(INDEX($BD$6:$BD$53,MATCH(AI15,$BN$6:$BN$53,0)),"")</f>
        <v>Canadá</v>
      </c>
      <c r="AM15" s="229">
        <f t="shared" ca="1" si="71"/>
        <v>4</v>
      </c>
      <c r="AN15" s="230">
        <f t="shared" ca="1" si="71"/>
        <v>3</v>
      </c>
      <c r="AO15" s="230">
        <f t="shared" ca="1" si="71"/>
        <v>1</v>
      </c>
      <c r="AP15" s="230">
        <f t="shared" ca="1" si="71"/>
        <v>1</v>
      </c>
      <c r="AQ15" s="230">
        <f t="shared" ca="1" si="71"/>
        <v>1</v>
      </c>
      <c r="AR15" s="230">
        <f t="shared" ca="1" si="71"/>
        <v>8</v>
      </c>
      <c r="AS15" s="230">
        <f t="shared" ca="1" si="71"/>
        <v>3</v>
      </c>
      <c r="AT15" s="265">
        <f t="shared" ca="1" si="71"/>
        <v>5</v>
      </c>
      <c r="AU15" s="428">
        <f ca="1">INDEX($DL$6:$DL$53,MATCH(AI15,$DP$6:$DP$53,0))</f>
        <v>1</v>
      </c>
      <c r="AV15" s="223" t="str">
        <f ca="1">INDEX($BD$6:$BD$53,MATCH(AI15,$BM$6:$BM$53,0))</f>
        <v>Canadá</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7</v>
      </c>
      <c r="BF15" s="760">
        <f t="shared" ca="1" si="26"/>
        <v>3</v>
      </c>
      <c r="BG15" s="760">
        <f t="shared" ca="1" si="17"/>
        <v>2</v>
      </c>
      <c r="BH15" s="760">
        <f t="shared" ca="1" si="18"/>
        <v>1</v>
      </c>
      <c r="BI15" s="760">
        <f t="shared" ca="1" si="19"/>
        <v>0</v>
      </c>
      <c r="BJ15" s="760">
        <f t="shared" ca="1" si="20"/>
        <v>6</v>
      </c>
      <c r="BK15" s="760">
        <f t="shared" ca="1" si="21"/>
        <v>3</v>
      </c>
      <c r="BL15" s="760">
        <f t="shared" ca="1" si="27"/>
        <v>3</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7</v>
      </c>
      <c r="BS15" s="769">
        <f ca="1">BP15+COUNTIFS($BQ$6:$BQ$53,BQ15,$BR$6:BR$53,"&gt;"&amp;BR15,$BC$6:$BC$53,INDEX(T_Equipos[Grupo],MATCH(BD15,T_Equipos[NombreEquipo],0)))</f>
        <v>1</v>
      </c>
      <c r="BT15" s="769" t="str">
        <f ca="1">IF(COUNTIFS($BS$6:$BS$53,BS15,$BC$6:$BC$53,INDEX(T_Equipos[Grupo],MATCH(BD15,T_Equipos[NombreEquipo],0)))=1,"-","P."&amp;BS15&amp;" ("&amp;COUNTIFS($BS$6:$BS$53,BS15,$BC$6:$BC$53,INDEX(T_Equipos[Grupo],MATCH(BD15,T_Equipos[NombreEquipo],0)))&amp;")")</f>
        <v>P.1 (2)</v>
      </c>
      <c r="BU15" s="770">
        <f t="shared" ca="1" si="36"/>
        <v>0</v>
      </c>
      <c r="BV15" s="770">
        <f t="shared" ca="1" si="37"/>
        <v>1</v>
      </c>
      <c r="BW15" s="770">
        <f t="shared" ca="1" si="38"/>
        <v>0</v>
      </c>
      <c r="BX15" s="770">
        <f t="shared" ca="1" si="39"/>
        <v>1</v>
      </c>
      <c r="BY15" s="770">
        <f ca="1">BS15+COUNTIFS($BT$6:$BT$53,BT15,$BX$6:BX$53,"&gt;"&amp;BX15,$BC$6:$BC$53,INDEX(T_Equipos[Grupo],MATCH(BD15,T_Equipos[NombreEquipo],0)))</f>
        <v>1</v>
      </c>
      <c r="BZ15" s="769" t="str">
        <f ca="1">IF(COUNTIFS($BY$6:$BY$53,BY15,$BC$6:$BC$53,INDEX(T_Equipos[Grupo],MATCH(BD15,T_Equipos[NombreEquipo],0)))=1,"-","P."&amp;BY15&amp;" ("&amp;COUNTIFS($BY$6:$BY$53,BY15,$BC$6:$BC$53,INDEX(T_Equipos[Grupo],MATCH(BD15,T_Equipos[NombreEquipo],0)))&amp;")")</f>
        <v>P.1 (2)</v>
      </c>
      <c r="CA15" s="770">
        <f t="shared" ca="1" si="40"/>
        <v>1</v>
      </c>
      <c r="CB15" s="770">
        <f t="shared" ca="1" si="41"/>
        <v>1</v>
      </c>
      <c r="CC15" s="770">
        <f t="shared" ca="1" si="42"/>
        <v>0</v>
      </c>
      <c r="CD15" s="770">
        <f ca="1">BY15+COUNTIFS($BZ$6:$BZ$53,BZ15,$CC$6:CC$53,"&gt;"&amp;CC15,$BC$6:$BC$53,INDEX(T_Equipos[Grupo],MATCH(BD15,T_Equipos[NombreEquipo],0)))</f>
        <v>1</v>
      </c>
      <c r="CE15" s="769" t="str">
        <f ca="1">IF(COUNTIFS($CD$6:$CD$53,CD15,$BC$6:$BC$53,INDEX(T_Equipos[Grupo],MATCH(BD15,T_Equipos[NombreEquipo],0)))=1,"-","P."&amp;CD15&amp;" ("&amp;COUNTIFS($CD$6:$CD$53,CD15,$BC$6:$BC$53,INDEX(T_Equipos[Grupo],MATCH(BD15,T_Equipos[NombreEquipo],0)))&amp;")")</f>
        <v>P.1 (2)</v>
      </c>
      <c r="CF15" s="770">
        <f t="shared" ca="1" si="43"/>
        <v>1</v>
      </c>
      <c r="CG15" s="770">
        <f ca="1">CD15+COUNTIFS($CE$6:$CE$53,CE15,$CF$6:CF$53,"&gt;"&amp;CF15,$BC$6:$BC$53,INDEX(T_Equipos[Grupo],MATCH(BD15,T_Equipos[NombreEquipo],0)))</f>
        <v>1</v>
      </c>
      <c r="CH15" s="769" t="str">
        <f ca="1">IF(COUNTIFS($CG$6:$CG$53,CG15,$BC$6:$BC$53,INDEX(T_Equipos[Grupo],MATCH(BD15,T_Equipos[NombreEquipo],0)))=1,"-","P."&amp;CG15&amp;" ("&amp;COUNTIFS($CG$6:$CG$53,CG15,$BC$6:$BC$53,INDEX(T_Equipos[Grupo],MATCH(BD15,T_Equipos[NombreEquipo],0)))&amp;")")</f>
        <v>P.1 (2)</v>
      </c>
      <c r="CI15" s="770">
        <f t="shared" ca="1" si="44"/>
        <v>0</v>
      </c>
      <c r="CJ15" s="770">
        <f t="shared" ca="1" si="45"/>
        <v>1</v>
      </c>
      <c r="CK15" s="770">
        <f t="shared" ca="1" si="46"/>
        <v>0</v>
      </c>
      <c r="CL15" s="770">
        <f t="shared" ca="1" si="47"/>
        <v>1</v>
      </c>
      <c r="CM15" s="770">
        <f ca="1">CG15+COUNTIFS($CH$6:$CH$53,CH15,$CL$6:CL$53,"&gt;"&amp;CL15,$BC$6:$BC$53,INDEX(T_Equipos[Grupo],MATCH(BD15,T_Equipos[NombreEquipo],0)))</f>
        <v>1</v>
      </c>
      <c r="CN15" s="769" t="str">
        <f ca="1">IF(COUNTIFS($CM$6:$CM$53,CM15,$BC$6:$BC$53,INDEX(T_Equipos[Grupo],MATCH(BD15,T_Equipos[NombreEquipo],0)))=1,"-","P."&amp;CM15&amp;" ("&amp;COUNTIFS($CM$6:$CM$53,CM15,$BC$6:$BC$53,INDEX(T_Equipos[Grupo],MATCH(BD15,T_Equipos[NombreEquipo],0)))&amp;")")</f>
        <v>P.1 (2)</v>
      </c>
      <c r="CO15" s="770">
        <f t="shared" ca="1" si="48"/>
        <v>1</v>
      </c>
      <c r="CP15" s="770">
        <f t="shared" ca="1" si="49"/>
        <v>1</v>
      </c>
      <c r="CQ15" s="770">
        <f t="shared" ca="1" si="50"/>
        <v>0</v>
      </c>
      <c r="CR15" s="770">
        <f ca="1">CM15+COUNTIFS($CN$6:$CN$53,CN15,$CQ$6:CQ$53,"&gt;"&amp;CQ15,$BC$6:$BC$53,INDEX(T_Equipos[Grupo],MATCH(BD15,T_Equipos[NombreEquipo],0)))</f>
        <v>1</v>
      </c>
      <c r="CS15" s="769" t="str">
        <f ca="1">IF(COUNTIFS($CR$6:$CR$53,CR15,$BC$6:$BC$53,INDEX(T_Equipos[Grupo],MATCH(BD15,T_Equipos[NombreEquipo],0)))=1,"-","P."&amp;CR15&amp;" ("&amp;COUNTIFS($CR$6:$CR$53,CR15,$BC$6:$BC$53,INDEX(T_Equipos[Grupo],MATCH(BD15,T_Equipos[NombreEquipo],0)))&amp;")")</f>
        <v>P.1 (2)</v>
      </c>
      <c r="CT15" s="770">
        <f t="shared" ca="1" si="51"/>
        <v>1</v>
      </c>
      <c r="CU15" s="770">
        <f ca="1">CR15+COUNTIFS($CS$6:$CS$53,CS15,$CT$6:CT$53,"&gt;"&amp;CT15,$BC$6:$BC$53,INDEX(T_Equipos[Grupo],MATCH(BD15,T_Equipos[NombreEquipo],0)))</f>
        <v>1</v>
      </c>
      <c r="CV15" s="769" t="str">
        <f ca="1">IF(COUNTIFS($CU$6:$CU$53,CU15,$BC$6:$BC$53,INDEX(T_Equipos[Grupo],MATCH(BD15,T_Equipos[NombreEquipo],0)))=1,"-","P."&amp;CU15&amp;" ("&amp;COUNTIFS($CU$6:$CU$53,CU15,$BC$6:$BC$53,INDEX(T_Equipos[Grupo],MATCH(BD15,T_Equipos[NombreEquipo],0)))&amp;")")</f>
        <v>P.1 (2)</v>
      </c>
      <c r="CW15" s="769">
        <f t="shared" ca="1" si="30"/>
        <v>3</v>
      </c>
      <c r="CX15" s="769">
        <f ca="1">CU15+COUNTIFS($CV$6:$CV$53,CV15,$CW$6:CW$53,"&gt;"&amp;CW15,$BC$6:$BC$53,INDEX(T_Equipos[Grupo],MATCH(BD15,T_Equipos[NombreEquipo],0)))</f>
        <v>2</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ht="16" x14ac:dyDescent="0.2">
      <c r="A16" s="757" t="str">
        <f ca="1">+Equipos!B9</f>
        <v>Suiza</v>
      </c>
      <c r="B16" s="754"/>
      <c r="C16" s="756"/>
      <c r="D16" s="756" t="str">
        <f t="shared" si="54"/>
        <v>Local</v>
      </c>
      <c r="E16" s="756" t="str">
        <f t="shared" ca="1" si="55"/>
        <v>-</v>
      </c>
      <c r="F16" s="756" t="str">
        <f t="shared" ca="1" si="56"/>
        <v>P.2 (2)</v>
      </c>
      <c r="G16" s="756"/>
      <c r="H16" s="756" t="str">
        <f t="shared" ca="1" si="57"/>
        <v>-</v>
      </c>
      <c r="I16" s="756" t="str">
        <f t="shared" ca="1" si="58"/>
        <v>P.2 (2)</v>
      </c>
      <c r="J16" s="756"/>
      <c r="K16" s="756" t="str">
        <f t="shared" ca="1" si="59"/>
        <v>-</v>
      </c>
      <c r="L16" s="756" t="str">
        <f t="shared" ca="1" si="60"/>
        <v>P.2 (2)</v>
      </c>
      <c r="M16" s="756"/>
      <c r="N16" s="756" t="str">
        <f t="shared" ca="1" si="61"/>
        <v>-</v>
      </c>
      <c r="O16" s="756" t="str">
        <f t="shared" ca="1" si="62"/>
        <v>P.2 (2)</v>
      </c>
      <c r="P16" s="756"/>
      <c r="Q16" s="756" t="str">
        <f t="shared" ca="1" si="63"/>
        <v>-</v>
      </c>
      <c r="R16" s="756" t="str">
        <f t="shared" ca="1" si="64"/>
        <v>P.2 (2)</v>
      </c>
      <c r="S16" s="756"/>
      <c r="T16" s="756" t="str">
        <f t="shared" ca="1" si="65"/>
        <v>-</v>
      </c>
      <c r="U16" s="756" t="str">
        <f t="shared" ca="1" si="66"/>
        <v>P.2 (2)</v>
      </c>
      <c r="V16" s="178"/>
      <c r="W16" s="806"/>
      <c r="X16" s="195">
        <f ca="1">Horarios!C16</f>
        <v>46197.875</v>
      </c>
      <c r="Y16" s="196">
        <f ca="1">Horarios!C16</f>
        <v>46197.875</v>
      </c>
      <c r="Z16" s="197" t="str">
        <f>$Z$8</f>
        <v>J3</v>
      </c>
      <c r="AA16" s="198" t="str">
        <f ca="1">A16</f>
        <v>Suiza</v>
      </c>
      <c r="AB16" s="486" t="str" cm="1">
        <f t="array" aca="1" ref="AB16" ca="1">Ver_flag_local</f>
        <v>🇨🇭</v>
      </c>
      <c r="AC16" s="199">
        <v>2</v>
      </c>
      <c r="AD16" s="200">
        <v>1</v>
      </c>
      <c r="AE16" s="491" t="str" cm="1">
        <f t="array" aca="1" ref="AE16" ca="1">Ver_flag_visit</f>
        <v>🇨🇦</v>
      </c>
      <c r="AF16" s="201" t="str">
        <f ca="1">A13</f>
        <v>Canadá</v>
      </c>
      <c r="AG16" s="421">
        <f t="shared" si="67"/>
        <v>1</v>
      </c>
      <c r="AH16" s="202">
        <v>51</v>
      </c>
      <c r="AI16" s="19" t="str">
        <f t="shared" si="72"/>
        <v>3B</v>
      </c>
      <c r="AJ16" s="264">
        <v>3</v>
      </c>
      <c r="AK16" s="494" t="str" cm="1">
        <f t="array" aca="1" ref="AK16" ca="1">Ver_flag_visit</f>
        <v>🇧🇦</v>
      </c>
      <c r="AL16" s="228" t="str">
        <f ca="1">IFERROR(INDEX($BD$6:$BD$53,MATCH(AI16,$BN$6:$BN$53,0)),"")</f>
        <v>Bosnia y Herzegovina</v>
      </c>
      <c r="AM16" s="229">
        <f t="shared" ca="1" si="71"/>
        <v>4</v>
      </c>
      <c r="AN16" s="230">
        <f t="shared" ca="1" si="71"/>
        <v>3</v>
      </c>
      <c r="AO16" s="230">
        <f t="shared" ca="1" si="71"/>
        <v>1</v>
      </c>
      <c r="AP16" s="230">
        <f t="shared" ca="1" si="71"/>
        <v>1</v>
      </c>
      <c r="AQ16" s="230">
        <f t="shared" ca="1" si="71"/>
        <v>1</v>
      </c>
      <c r="AR16" s="230">
        <f t="shared" ca="1" si="71"/>
        <v>5</v>
      </c>
      <c r="AS16" s="230">
        <f t="shared" ca="1" si="71"/>
        <v>6</v>
      </c>
      <c r="AT16" s="265">
        <f t="shared" ca="1" si="71"/>
        <v>-1</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2</v>
      </c>
      <c r="BK16" s="760">
        <f t="shared" ca="1" si="21"/>
        <v>8</v>
      </c>
      <c r="BL16" s="760">
        <f t="shared" ca="1" si="27"/>
        <v>-6</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7" thickBot="1" x14ac:dyDescent="0.25">
      <c r="A17" s="751"/>
      <c r="B17" s="754"/>
      <c r="C17" s="751"/>
      <c r="D17" s="756" t="str">
        <f t="shared" si="54"/>
        <v>Local</v>
      </c>
      <c r="E17" s="756" t="str">
        <f t="shared" ca="1" si="55"/>
        <v>P.2 (2)</v>
      </c>
      <c r="F17" s="756" t="str">
        <f t="shared" ca="1" si="56"/>
        <v>-</v>
      </c>
      <c r="G17" s="756"/>
      <c r="H17" s="756" t="str">
        <f t="shared" ca="1" si="57"/>
        <v>P.2 (2)</v>
      </c>
      <c r="I17" s="756" t="str">
        <f t="shared" ca="1" si="58"/>
        <v>-</v>
      </c>
      <c r="J17" s="756"/>
      <c r="K17" s="756" t="str">
        <f t="shared" ca="1" si="59"/>
        <v>P.2 (2)</v>
      </c>
      <c r="L17" s="756" t="str">
        <f t="shared" ca="1" si="60"/>
        <v>-</v>
      </c>
      <c r="M17" s="756"/>
      <c r="N17" s="756" t="str">
        <f t="shared" ca="1" si="61"/>
        <v>P.2 (2)</v>
      </c>
      <c r="O17" s="756" t="str">
        <f t="shared" ca="1" si="62"/>
        <v>-</v>
      </c>
      <c r="P17" s="756"/>
      <c r="Q17" s="756" t="str">
        <f t="shared" ca="1" si="63"/>
        <v>P.2 (2)</v>
      </c>
      <c r="R17" s="756" t="str">
        <f t="shared" ca="1" si="64"/>
        <v>-</v>
      </c>
      <c r="S17" s="756"/>
      <c r="T17" s="756" t="str">
        <f t="shared" ca="1" si="65"/>
        <v>P.2 (2)</v>
      </c>
      <c r="U17" s="756" t="str">
        <f t="shared" ca="1" si="66"/>
        <v>-</v>
      </c>
      <c r="V17" s="178"/>
      <c r="W17" s="807"/>
      <c r="X17" s="234">
        <f ca="1">Horarios!C17</f>
        <v>46197.875</v>
      </c>
      <c r="Y17" s="235">
        <f ca="1">Horarios!C17</f>
        <v>46197.875</v>
      </c>
      <c r="Z17" s="236" t="str">
        <f>$Z$8</f>
        <v>J3</v>
      </c>
      <c r="AA17" s="237" t="str">
        <f ca="1">A14</f>
        <v>Bosnia y Herzegovina</v>
      </c>
      <c r="AB17" s="487" t="str" cm="1">
        <f t="array" aca="1" ref="AB17" ca="1">Ver_flag_local</f>
        <v>🇧🇦</v>
      </c>
      <c r="AC17" s="238">
        <v>3</v>
      </c>
      <c r="AD17" s="239">
        <v>1</v>
      </c>
      <c r="AE17" s="492" t="str" cm="1">
        <f t="array" aca="1" ref="AE17" ca="1">Ver_flag_visit</f>
        <v>🇶🇦</v>
      </c>
      <c r="AF17" s="240" t="str">
        <f ca="1">A15</f>
        <v>Catar</v>
      </c>
      <c r="AG17" s="421">
        <f t="shared" si="67"/>
        <v>1</v>
      </c>
      <c r="AH17" s="202">
        <v>52</v>
      </c>
      <c r="AI17" s="19" t="str">
        <f t="shared" si="72"/>
        <v>4B</v>
      </c>
      <c r="AJ17" s="266">
        <v>4</v>
      </c>
      <c r="AK17" s="497" t="str" cm="1">
        <f t="array" aca="1" ref="AK17" ca="1">Ver_flag_visit</f>
        <v>🇶🇦</v>
      </c>
      <c r="AL17" s="267" t="str">
        <f ca="1">IFERROR(INDEX($BD$6:$BD$53,MATCH(AI17,$BN$6:$BN$53,0)),"")</f>
        <v>Catar</v>
      </c>
      <c r="AM17" s="268">
        <f t="shared" ca="1" si="71"/>
        <v>1</v>
      </c>
      <c r="AN17" s="269">
        <f t="shared" ca="1" si="71"/>
        <v>3</v>
      </c>
      <c r="AO17" s="269">
        <f t="shared" ca="1" si="71"/>
        <v>0</v>
      </c>
      <c r="AP17" s="269">
        <f t="shared" ca="1" si="71"/>
        <v>1</v>
      </c>
      <c r="AQ17" s="269">
        <f t="shared" ca="1" si="71"/>
        <v>2</v>
      </c>
      <c r="AR17" s="269">
        <f t="shared" ca="1" si="71"/>
        <v>2</v>
      </c>
      <c r="AS17" s="269">
        <f t="shared" ca="1" si="71"/>
        <v>10</v>
      </c>
      <c r="AT17" s="270">
        <f t="shared" ca="1" si="71"/>
        <v>-8</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1</v>
      </c>
      <c r="BK17" s="760">
        <f t="shared" ca="1" si="21"/>
        <v>4</v>
      </c>
      <c r="BL17" s="760">
        <f t="shared" ca="1" si="27"/>
        <v>-3</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6" thickBot="1" x14ac:dyDescent="0.25">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6</v>
      </c>
      <c r="BF18" s="760">
        <f t="shared" ca="1" si="26"/>
        <v>3</v>
      </c>
      <c r="BG18" s="760">
        <f t="shared" ca="1" si="17"/>
        <v>2</v>
      </c>
      <c r="BH18" s="760">
        <f t="shared" ca="1" si="18"/>
        <v>0</v>
      </c>
      <c r="BI18" s="760">
        <f t="shared" ca="1" si="19"/>
        <v>1</v>
      </c>
      <c r="BJ18" s="760">
        <f t="shared" ca="1" si="20"/>
        <v>8</v>
      </c>
      <c r="BK18" s="760">
        <f t="shared" ca="1" si="21"/>
        <v>4</v>
      </c>
      <c r="BL18" s="760">
        <f t="shared" ca="1" si="27"/>
        <v>4</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6</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v>
      </c>
      <c r="BU18" s="770" t="str">
        <f t="shared" ca="1" si="36"/>
        <v>-</v>
      </c>
      <c r="BV18" s="770" t="str">
        <f t="shared" ca="1" si="37"/>
        <v>-</v>
      </c>
      <c r="BW18" s="770" t="str">
        <f t="shared" ca="1" si="38"/>
        <v>-</v>
      </c>
      <c r="BX18" s="770" t="str">
        <f t="shared" ca="1" si="39"/>
        <v>-</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v>
      </c>
      <c r="CA18" s="770" t="str">
        <f t="shared" ca="1" si="40"/>
        <v>-</v>
      </c>
      <c r="CB18" s="770" t="str">
        <f t="shared" ca="1" si="41"/>
        <v>-</v>
      </c>
      <c r="CC18" s="770" t="str">
        <f t="shared" ca="1" si="42"/>
        <v>-</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v>
      </c>
      <c r="CF18" s="770" t="str">
        <f t="shared" ca="1" si="43"/>
        <v>-</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v>
      </c>
      <c r="CI18" s="770" t="str">
        <f t="shared" ca="1" si="44"/>
        <v>-</v>
      </c>
      <c r="CJ18" s="770" t="str">
        <f t="shared" ca="1" si="45"/>
        <v>-</v>
      </c>
      <c r="CK18" s="770" t="str">
        <f t="shared" ca="1" si="46"/>
        <v>-</v>
      </c>
      <c r="CL18" s="770" t="str">
        <f t="shared" ca="1" si="47"/>
        <v>-</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v>
      </c>
      <c r="CO18" s="770" t="str">
        <f t="shared" ca="1" si="48"/>
        <v>-</v>
      </c>
      <c r="CP18" s="770" t="str">
        <f t="shared" ca="1" si="49"/>
        <v>-</v>
      </c>
      <c r="CQ18" s="770" t="str">
        <f t="shared" ca="1" si="50"/>
        <v>-</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v>
      </c>
      <c r="CT18" s="770" t="str">
        <f t="shared" ca="1" si="51"/>
        <v>-</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v>
      </c>
      <c r="CW18" s="769" t="str">
        <f t="shared" ca="1" si="30"/>
        <v>-</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1</v>
      </c>
      <c r="DE18" s="768"/>
      <c r="DF18" s="768">
        <f t="shared" ca="1" si="52"/>
        <v>1</v>
      </c>
      <c r="DG18" s="768" t="str">
        <f ca="1">IF(DB18="-","-",COUNTIFS(DF$6:DF$53,"&lt;"&amp;DF18,$BC$6:$BC$53,INDEX(T_Equipos[Grupo],MATCH(BD18,T_Equipos[NombreEquipo],0))))</f>
        <v>-</v>
      </c>
      <c r="DH18" s="768">
        <f ca="1">DA18+COUNTIFS(DB$6:DB$53,DB18,DG$6:DG$53,"&lt;"&amp;DG18,$BC$6:$BC$53,INDEX(T_Equipos[Grupo],MATCH(BD18,T_Equipos[NombreEquipo],0)))</f>
        <v>1</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6" thickBot="1" x14ac:dyDescent="0.25">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4</v>
      </c>
      <c r="BF19" s="760">
        <f t="shared" ca="1" si="26"/>
        <v>3</v>
      </c>
      <c r="BG19" s="760">
        <f t="shared" ca="1" si="17"/>
        <v>1</v>
      </c>
      <c r="BH19" s="760">
        <f t="shared" ca="1" si="18"/>
        <v>1</v>
      </c>
      <c r="BI19" s="760">
        <f t="shared" ca="1" si="19"/>
        <v>1</v>
      </c>
      <c r="BJ19" s="760">
        <f t="shared" ca="1" si="20"/>
        <v>2</v>
      </c>
      <c r="BK19" s="760">
        <f t="shared" ca="1" si="21"/>
        <v>4</v>
      </c>
      <c r="BL19" s="760">
        <f t="shared" ca="1" si="27"/>
        <v>-2</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4</v>
      </c>
      <c r="BS19" s="769">
        <f ca="1">BP19+COUNTIFS($BQ$6:$BQ$53,BQ19,$BR$6:BR$53,"&gt;"&amp;BR19,$BC$6:$BC$53,INDEX(T_Equipos[Grupo],MATCH(BD19,T_Equipos[NombreEquipo],0)))</f>
        <v>2</v>
      </c>
      <c r="BT19" s="769" t="str">
        <f ca="1">IF(COUNTIFS($BS$6:$BS$53,BS19,$BC$6:$BC$53,INDEX(T_Equipos[Grupo],MATCH(BD19,T_Equipos[NombreEquipo],0)))=1,"-","P."&amp;BS19&amp;" ("&amp;COUNTIFS($BS$6:$BS$53,BS19,$BC$6:$BC$53,INDEX(T_Equipos[Grupo],MATCH(BD19,T_Equipos[NombreEquipo],0)))&amp;")")</f>
        <v>P.2 (2)</v>
      </c>
      <c r="BU19" s="770">
        <f t="shared" ca="1" si="36"/>
        <v>0</v>
      </c>
      <c r="BV19" s="770">
        <f t="shared" ca="1" si="37"/>
        <v>1</v>
      </c>
      <c r="BW19" s="770">
        <f t="shared" ca="1" si="38"/>
        <v>0</v>
      </c>
      <c r="BX19" s="770">
        <f t="shared" ca="1" si="39"/>
        <v>1</v>
      </c>
      <c r="BY19" s="770">
        <f ca="1">BS19+COUNTIFS($BT$6:$BT$53,BT19,$BX$6:BX$53,"&gt;"&amp;BX19,$BC$6:$BC$53,INDEX(T_Equipos[Grupo],MATCH(BD19,T_Equipos[NombreEquipo],0)))</f>
        <v>2</v>
      </c>
      <c r="BZ19" s="769" t="str">
        <f ca="1">IF(COUNTIFS($BY$6:$BY$53,BY19,$BC$6:$BC$53,INDEX(T_Equipos[Grupo],MATCH(BD19,T_Equipos[NombreEquipo],0)))=1,"-","P."&amp;BY19&amp;" ("&amp;COUNTIFS($BY$6:$BY$53,BY19,$BC$6:$BC$53,INDEX(T_Equipos[Grupo],MATCH(BD19,T_Equipos[NombreEquipo],0)))&amp;")")</f>
        <v>P.2 (2)</v>
      </c>
      <c r="CA19" s="770">
        <f t="shared" ca="1" si="40"/>
        <v>0</v>
      </c>
      <c r="CB19" s="770">
        <f t="shared" ca="1" si="41"/>
        <v>0</v>
      </c>
      <c r="CC19" s="770">
        <f t="shared" ca="1" si="42"/>
        <v>0</v>
      </c>
      <c r="CD19" s="770">
        <f ca="1">BY19+COUNTIFS($BZ$6:$BZ$53,BZ19,$CC$6:CC$53,"&gt;"&amp;CC19,$BC$6:$BC$53,INDEX(T_Equipos[Grupo],MATCH(BD19,T_Equipos[NombreEquipo],0)))</f>
        <v>2</v>
      </c>
      <c r="CE19" s="769" t="str">
        <f ca="1">IF(COUNTIFS($CD$6:$CD$53,CD19,$BC$6:$BC$53,INDEX(T_Equipos[Grupo],MATCH(BD19,T_Equipos[NombreEquipo],0)))=1,"-","P."&amp;CD19&amp;" ("&amp;COUNTIFS($CD$6:$CD$53,CD19,$BC$6:$BC$53,INDEX(T_Equipos[Grupo],MATCH(BD19,T_Equipos[NombreEquipo],0)))&amp;")")</f>
        <v>P.2 (2)</v>
      </c>
      <c r="CF19" s="770">
        <f t="shared" ca="1" si="43"/>
        <v>0</v>
      </c>
      <c r="CG19" s="770">
        <f ca="1">CD19+COUNTIFS($CE$6:$CE$53,CE19,$CF$6:CF$53,"&gt;"&amp;CF19,$BC$6:$BC$53,INDEX(T_Equipos[Grupo],MATCH(BD19,T_Equipos[NombreEquipo],0)))</f>
        <v>2</v>
      </c>
      <c r="CH19" s="769" t="str">
        <f ca="1">IF(COUNTIFS($CG$6:$CG$53,CG19,$BC$6:$BC$53,INDEX(T_Equipos[Grupo],MATCH(BD19,T_Equipos[NombreEquipo],0)))=1,"-","P."&amp;CG19&amp;" ("&amp;COUNTIFS($CG$6:$CG$53,CG19,$BC$6:$BC$53,INDEX(T_Equipos[Grupo],MATCH(BD19,T_Equipos[NombreEquipo],0)))&amp;")")</f>
        <v>P.2 (2)</v>
      </c>
      <c r="CI19" s="770">
        <f t="shared" ca="1" si="44"/>
        <v>0</v>
      </c>
      <c r="CJ19" s="770">
        <f t="shared" ca="1" si="45"/>
        <v>1</v>
      </c>
      <c r="CK19" s="770">
        <f t="shared" ca="1" si="46"/>
        <v>0</v>
      </c>
      <c r="CL19" s="770">
        <f t="shared" ca="1" si="47"/>
        <v>1</v>
      </c>
      <c r="CM19" s="770">
        <f ca="1">CG19+COUNTIFS($CH$6:$CH$53,CH19,$CL$6:CL$53,"&gt;"&amp;CL19,$BC$6:$BC$53,INDEX(T_Equipos[Grupo],MATCH(BD19,T_Equipos[NombreEquipo],0)))</f>
        <v>2</v>
      </c>
      <c r="CN19" s="769" t="str">
        <f ca="1">IF(COUNTIFS($CM$6:$CM$53,CM19,$BC$6:$BC$53,INDEX(T_Equipos[Grupo],MATCH(BD19,T_Equipos[NombreEquipo],0)))=1,"-","P."&amp;CM19&amp;" ("&amp;COUNTIFS($CM$6:$CM$53,CM19,$BC$6:$BC$53,INDEX(T_Equipos[Grupo],MATCH(BD19,T_Equipos[NombreEquipo],0)))&amp;")")</f>
        <v>P.2 (2)</v>
      </c>
      <c r="CO19" s="770">
        <f t="shared" ca="1" si="48"/>
        <v>0</v>
      </c>
      <c r="CP19" s="770">
        <f t="shared" ca="1" si="49"/>
        <v>0</v>
      </c>
      <c r="CQ19" s="770">
        <f t="shared" ca="1" si="50"/>
        <v>0</v>
      </c>
      <c r="CR19" s="770">
        <f ca="1">CM19+COUNTIFS($CN$6:$CN$53,CN19,$CQ$6:CQ$53,"&gt;"&amp;CQ19,$BC$6:$BC$53,INDEX(T_Equipos[Grupo],MATCH(BD19,T_Equipos[NombreEquipo],0)))</f>
        <v>2</v>
      </c>
      <c r="CS19" s="769" t="str">
        <f ca="1">IF(COUNTIFS($CR$6:$CR$53,CR19,$BC$6:$BC$53,INDEX(T_Equipos[Grupo],MATCH(BD19,T_Equipos[NombreEquipo],0)))=1,"-","P."&amp;CR19&amp;" ("&amp;COUNTIFS($CR$6:$CR$53,CR19,$BC$6:$BC$53,INDEX(T_Equipos[Grupo],MATCH(BD19,T_Equipos[NombreEquipo],0)))&amp;")")</f>
        <v>P.2 (2)</v>
      </c>
      <c r="CT19" s="770">
        <f t="shared" ca="1" si="51"/>
        <v>0</v>
      </c>
      <c r="CU19" s="770">
        <f ca="1">CR19+COUNTIFS($CS$6:$CS$53,CS19,$CT$6:CT$53,"&gt;"&amp;CT19,$BC$6:$BC$53,INDEX(T_Equipos[Grupo],MATCH(BD19,T_Equipos[NombreEquipo],0)))</f>
        <v>2</v>
      </c>
      <c r="CV19" s="769" t="str">
        <f ca="1">IF(COUNTIFS($CU$6:$CU$53,CU19,$BC$6:$BC$53,INDEX(T_Equipos[Grupo],MATCH(BD19,T_Equipos[NombreEquipo],0)))=1,"-","P."&amp;CU19&amp;" ("&amp;COUNTIFS($CU$6:$CU$53,CU19,$BC$6:$BC$53,INDEX(T_Equipos[Grupo],MATCH(BD19,T_Equipos[NombreEquipo],0)))&amp;")")</f>
        <v>P.2 (2)</v>
      </c>
      <c r="CW19" s="769">
        <f t="shared" ca="1" si="30"/>
        <v>-2</v>
      </c>
      <c r="CX19" s="769">
        <f ca="1">CU19+COUNTIFS($CV$6:$CV$53,CV19,$CW$6:CW$53,"&gt;"&amp;CW19,$BC$6:$BC$53,INDEX(T_Equipos[Grupo],MATCH(BD19,T_Equipos[NombreEquipo],0)))</f>
        <v>3</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Australia</v>
      </c>
      <c r="DR19" s="756"/>
      <c r="DS19" s="756"/>
      <c r="DT19" s="756" t="str">
        <f t="shared" si="15"/>
        <v>Casa-Fuera</v>
      </c>
      <c r="DU19" s="756"/>
      <c r="DV19" s="756"/>
      <c r="DW19" s="8"/>
    </row>
    <row r="20" spans="1:127" ht="15" customHeight="1" thickBot="1" x14ac:dyDescent="0.25">
      <c r="A20" s="753" t="s">
        <v>30</v>
      </c>
      <c r="B20" s="754" t="s">
        <v>2</v>
      </c>
      <c r="C20" s="755">
        <f>COUNTIF(Equipos!$C$2:$C$49,WORLDCUP!B20)</f>
        <v>4</v>
      </c>
      <c r="D20" s="756" t="str">
        <f t="shared" ref="D20:D25" si="73">IF(OR(AC20="",AD20=""),"Pendiente",IF(AC20&gt;AD20,"Local",IF(AC20&lt;AD20,"Visitante","Empate")))</f>
        <v>Empate</v>
      </c>
      <c r="E20" s="756" t="str">
        <f t="shared" ref="E20:E25" ca="1" si="74">IF(D20="Pendiente","-",INDEX($BT$6:$BT$53,MATCH($AA20,$BD$6:$BD$53,0)))</f>
        <v>P.1 (2)</v>
      </c>
      <c r="F20" s="756" t="str">
        <f t="shared" ref="F20:F25" ca="1" si="75">IF(D20="Pendiente","-",INDEX($BT$6:$BT$53,MATCH($AF20,$BD$6:$BD$53,0)))</f>
        <v>P.1 (2)</v>
      </c>
      <c r="G20" s="756"/>
      <c r="H20" s="756" t="str">
        <f t="shared" ref="H20:H25" ca="1" si="76">IF(D20="Pendiente","-",INDEX($BZ$6:$BZ$53,MATCH($AA20,$BD$6:$BD$53,0)))</f>
        <v>P.1 (2)</v>
      </c>
      <c r="I20" s="756" t="str">
        <f t="shared" ref="I20:I25" ca="1" si="77">IF(D20="Pendiente","-",INDEX($BZ$6:$BZ$53,MATCH($AF20,$BD$6:$BD$53,0)))</f>
        <v>P.1 (2)</v>
      </c>
      <c r="J20" s="756"/>
      <c r="K20" s="756" t="str">
        <f t="shared" ref="K20:K25" ca="1" si="78">IF(D20="Pendiente","-",INDEX($CE$6:$CE$53,MATCH($AA20,$BD$6:$BD$53,0)))</f>
        <v>P.1 (2)</v>
      </c>
      <c r="L20" s="756" t="str">
        <f t="shared" ref="L20:L25" ca="1" si="79">IF(D20="Pendiente","-",INDEX($CE$6:$CE$53,MATCH($AF20,$BD$6:$BD$53,0)))</f>
        <v>P.1 (2)</v>
      </c>
      <c r="M20" s="756"/>
      <c r="N20" s="756" t="str">
        <f t="shared" ref="N20:N25" ca="1" si="80">IF(D20="Pendiente","-",INDEX($CH$6:$CH$53,MATCH($AA20,$BD$6:$BD$53,0)))</f>
        <v>P.1 (2)</v>
      </c>
      <c r="O20" s="756" t="str">
        <f t="shared" ref="O20:O25" ca="1" si="81">IF(D20="Pendiente","-",INDEX($CH$6:$CH$53,MATCH($AF20,$BD$6:$BD$53,0)))</f>
        <v>P.1 (2)</v>
      </c>
      <c r="P20" s="756"/>
      <c r="Q20" s="756" t="str">
        <f t="shared" ref="Q20:Q25" ca="1" si="82">IF(D20="Pendiente","-",INDEX($CN$6:$CN$53,MATCH($AA20,$BD$6:$BD$53,0)))</f>
        <v>P.1 (2)</v>
      </c>
      <c r="R20" s="756" t="str">
        <f t="shared" ref="R20:R25" ca="1" si="83">IF(D20="Pendiente","-",INDEX($CN$6:$CN$53,MATCH($AF20,$BD$6:$BD$53,0)))</f>
        <v>P.1 (2)</v>
      </c>
      <c r="S20" s="756"/>
      <c r="T20" s="756" t="str">
        <f t="shared" ref="T20:T25" ca="1" si="84">IF(D20="Pendiente","-",INDEX($CS$6:$CS$53,MATCH($AA20,$BD$6:$BD$53,0)))</f>
        <v>P.1 (2)</v>
      </c>
      <c r="U20" s="756" t="str">
        <f t="shared" ref="U20:U25" ca="1" si="85">IF(D20="Pendiente","-",INDEX($CS$6:$CS$53,MATCH($AF20,$BD$6:$BD$53,0)))</f>
        <v>P.1 (2)</v>
      </c>
      <c r="V20" s="178"/>
      <c r="W20" s="815" t="s">
        <v>2</v>
      </c>
      <c r="X20" s="195">
        <f ca="1">Horarios!C20</f>
        <v>46187</v>
      </c>
      <c r="Y20" s="196">
        <f ca="1">Horarios!C20</f>
        <v>46187</v>
      </c>
      <c r="Z20" s="197" t="str">
        <f>$Z$4</f>
        <v>J1</v>
      </c>
      <c r="AA20" s="198" t="str">
        <f ca="1">A21</f>
        <v>Brasil</v>
      </c>
      <c r="AB20" s="486" t="str" cm="1">
        <f t="array" aca="1" ref="AB20" ca="1">Ver_flag_local</f>
        <v>🇧🇷</v>
      </c>
      <c r="AC20" s="199">
        <v>1</v>
      </c>
      <c r="AD20" s="200">
        <v>1</v>
      </c>
      <c r="AE20" s="491" t="str" cm="1">
        <f t="array" aca="1" ref="AE20" ca="1">Ver_flag_visit</f>
        <v>🇲🇦</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4</v>
      </c>
      <c r="BF20" s="760">
        <f t="shared" ca="1" si="26"/>
        <v>3</v>
      </c>
      <c r="BG20" s="760">
        <f t="shared" ca="1" si="17"/>
        <v>1</v>
      </c>
      <c r="BH20" s="760">
        <f t="shared" ca="1" si="18"/>
        <v>1</v>
      </c>
      <c r="BI20" s="760">
        <f t="shared" ca="1" si="19"/>
        <v>1</v>
      </c>
      <c r="BJ20" s="760">
        <f t="shared" ca="1" si="20"/>
        <v>2</v>
      </c>
      <c r="BK20" s="760">
        <f t="shared" ca="1" si="21"/>
        <v>2</v>
      </c>
      <c r="BL20" s="760">
        <f t="shared" ca="1" si="27"/>
        <v>0</v>
      </c>
      <c r="BM20" s="760" t="str">
        <f t="shared" ca="1" si="22"/>
        <v>2D</v>
      </c>
      <c r="BN20" s="760" t="str">
        <f t="shared" ca="1" si="23"/>
        <v>2D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4</v>
      </c>
      <c r="BS20" s="769">
        <f ca="1">BP20+COUNTIFS($BQ$6:$BQ$53,BQ20,$BR$6:BR$53,"&gt;"&amp;BR20,$BC$6:$BC$53,INDEX(T_Equipos[Grupo],MATCH(BD20,T_Equipos[NombreEquipo],0)))</f>
        <v>2</v>
      </c>
      <c r="BT20" s="769" t="str">
        <f ca="1">IF(COUNTIFS($BS$6:$BS$53,BS20,$BC$6:$BC$53,INDEX(T_Equipos[Grupo],MATCH(BD20,T_Equipos[NombreEquipo],0)))=1,"-","P."&amp;BS20&amp;" ("&amp;COUNTIFS($BS$6:$BS$53,BS20,$BC$6:$BC$53,INDEX(T_Equipos[Grupo],MATCH(BD20,T_Equipos[NombreEquipo],0)))&amp;")")</f>
        <v>P.2 (2)</v>
      </c>
      <c r="BU20" s="770">
        <f t="shared" ca="1" si="36"/>
        <v>0</v>
      </c>
      <c r="BV20" s="770">
        <f t="shared" ca="1" si="37"/>
        <v>1</v>
      </c>
      <c r="BW20" s="770">
        <f t="shared" ca="1" si="38"/>
        <v>0</v>
      </c>
      <c r="BX20" s="770">
        <f t="shared" ca="1" si="39"/>
        <v>1</v>
      </c>
      <c r="BY20" s="770">
        <f ca="1">BS20+COUNTIFS($BT$6:$BT$53,BT20,$BX$6:BX$53,"&gt;"&amp;BX20,$BC$6:$BC$53,INDEX(T_Equipos[Grupo],MATCH(BD20,T_Equipos[NombreEquipo],0)))</f>
        <v>2</v>
      </c>
      <c r="BZ20" s="769" t="str">
        <f ca="1">IF(COUNTIFS($BY$6:$BY$53,BY20,$BC$6:$BC$53,INDEX(T_Equipos[Grupo],MATCH(BD20,T_Equipos[NombreEquipo],0)))=1,"-","P."&amp;BY20&amp;" ("&amp;COUNTIFS($BY$6:$BY$53,BY20,$BC$6:$BC$53,INDEX(T_Equipos[Grupo],MATCH(BD20,T_Equipos[NombreEquipo],0)))&amp;")")</f>
        <v>P.2 (2)</v>
      </c>
      <c r="CA20" s="770">
        <f t="shared" ca="1" si="40"/>
        <v>0</v>
      </c>
      <c r="CB20" s="770">
        <f t="shared" ca="1" si="41"/>
        <v>0</v>
      </c>
      <c r="CC20" s="770">
        <f t="shared" ca="1" si="42"/>
        <v>0</v>
      </c>
      <c r="CD20" s="770">
        <f ca="1">BY20+COUNTIFS($BZ$6:$BZ$53,BZ20,$CC$6:CC$53,"&gt;"&amp;CC20,$BC$6:$BC$53,INDEX(T_Equipos[Grupo],MATCH(BD20,T_Equipos[NombreEquipo],0)))</f>
        <v>2</v>
      </c>
      <c r="CE20" s="769" t="str">
        <f ca="1">IF(COUNTIFS($CD$6:$CD$53,CD20,$BC$6:$BC$53,INDEX(T_Equipos[Grupo],MATCH(BD20,T_Equipos[NombreEquipo],0)))=1,"-","P."&amp;CD20&amp;" ("&amp;COUNTIFS($CD$6:$CD$53,CD20,$BC$6:$BC$53,INDEX(T_Equipos[Grupo],MATCH(BD20,T_Equipos[NombreEquipo],0)))&amp;")")</f>
        <v>P.2 (2)</v>
      </c>
      <c r="CF20" s="770">
        <f t="shared" ca="1" si="43"/>
        <v>0</v>
      </c>
      <c r="CG20" s="770">
        <f ca="1">CD20+COUNTIFS($CE$6:$CE$53,CE20,$CF$6:CF$53,"&gt;"&amp;CF20,$BC$6:$BC$53,INDEX(T_Equipos[Grupo],MATCH(BD20,T_Equipos[NombreEquipo],0)))</f>
        <v>2</v>
      </c>
      <c r="CH20" s="769" t="str">
        <f ca="1">IF(COUNTIFS($CG$6:$CG$53,CG20,$BC$6:$BC$53,INDEX(T_Equipos[Grupo],MATCH(BD20,T_Equipos[NombreEquipo],0)))=1,"-","P."&amp;CG20&amp;" ("&amp;COUNTIFS($CG$6:$CG$53,CG20,$BC$6:$BC$53,INDEX(T_Equipos[Grupo],MATCH(BD20,T_Equipos[NombreEquipo],0)))&amp;")")</f>
        <v>P.2 (2)</v>
      </c>
      <c r="CI20" s="770">
        <f t="shared" ca="1" si="44"/>
        <v>0</v>
      </c>
      <c r="CJ20" s="770">
        <f t="shared" ca="1" si="45"/>
        <v>1</v>
      </c>
      <c r="CK20" s="770">
        <f t="shared" ca="1" si="46"/>
        <v>0</v>
      </c>
      <c r="CL20" s="770">
        <f t="shared" ca="1" si="47"/>
        <v>1</v>
      </c>
      <c r="CM20" s="770">
        <f ca="1">CG20+COUNTIFS($CH$6:$CH$53,CH20,$CL$6:CL$53,"&gt;"&amp;CL20,$BC$6:$BC$53,INDEX(T_Equipos[Grupo],MATCH(BD20,T_Equipos[NombreEquipo],0)))</f>
        <v>2</v>
      </c>
      <c r="CN20" s="769" t="str">
        <f ca="1">IF(COUNTIFS($CM$6:$CM$53,CM20,$BC$6:$BC$53,INDEX(T_Equipos[Grupo],MATCH(BD20,T_Equipos[NombreEquipo],0)))=1,"-","P."&amp;CM20&amp;" ("&amp;COUNTIFS($CM$6:$CM$53,CM20,$BC$6:$BC$53,INDEX(T_Equipos[Grupo],MATCH(BD20,T_Equipos[NombreEquipo],0)))&amp;")")</f>
        <v>P.2 (2)</v>
      </c>
      <c r="CO20" s="770">
        <f t="shared" ca="1" si="48"/>
        <v>0</v>
      </c>
      <c r="CP20" s="770">
        <f t="shared" ca="1" si="49"/>
        <v>0</v>
      </c>
      <c r="CQ20" s="770">
        <f t="shared" ca="1" si="50"/>
        <v>0</v>
      </c>
      <c r="CR20" s="770">
        <f ca="1">CM20+COUNTIFS($CN$6:$CN$53,CN20,$CQ$6:CQ$53,"&gt;"&amp;CQ20,$BC$6:$BC$53,INDEX(T_Equipos[Grupo],MATCH(BD20,T_Equipos[NombreEquipo],0)))</f>
        <v>2</v>
      </c>
      <c r="CS20" s="769" t="str">
        <f ca="1">IF(COUNTIFS($CR$6:$CR$53,CR20,$BC$6:$BC$53,INDEX(T_Equipos[Grupo],MATCH(BD20,T_Equipos[NombreEquipo],0)))=1,"-","P."&amp;CR20&amp;" ("&amp;COUNTIFS($CR$6:$CR$53,CR20,$BC$6:$BC$53,INDEX(T_Equipos[Grupo],MATCH(BD20,T_Equipos[NombreEquipo],0)))&amp;")")</f>
        <v>P.2 (2)</v>
      </c>
      <c r="CT20" s="770">
        <f t="shared" ca="1" si="51"/>
        <v>0</v>
      </c>
      <c r="CU20" s="770">
        <f ca="1">CR20+COUNTIFS($CS$6:$CS$53,CS20,$CT$6:CT$53,"&gt;"&amp;CT20,$BC$6:$BC$53,INDEX(T_Equipos[Grupo],MATCH(BD20,T_Equipos[NombreEquipo],0)))</f>
        <v>2</v>
      </c>
      <c r="CV20" s="769" t="str">
        <f ca="1">IF(COUNTIFS($CU$6:$CU$53,CU20,$BC$6:$BC$53,INDEX(T_Equipos[Grupo],MATCH(BD20,T_Equipos[NombreEquipo],0)))=1,"-","P."&amp;CU20&amp;" ("&amp;COUNTIFS($CU$6:$CU$53,CU20,$BC$6:$BC$53,INDEX(T_Equipos[Grupo],MATCH(BD20,T_Equipos[NombreEquipo],0)))&amp;")")</f>
        <v>P.2 (2)</v>
      </c>
      <c r="CW20" s="769">
        <f t="shared" ca="1" si="30"/>
        <v>0</v>
      </c>
      <c r="CX20" s="769">
        <f ca="1">CU20+COUNTIFS($CV$6:$CV$53,CV20,$CW$6:CW$53,"&gt;"&amp;CW20,$BC$6:$BC$53,INDEX(T_Equipos[Grupo],MATCH(BD20,T_Equipos[NombreEquipo],0)))</f>
        <v>2</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2</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2</v>
      </c>
      <c r="DE20" s="768"/>
      <c r="DF20" s="768">
        <f t="shared" ca="1" si="52"/>
        <v>2</v>
      </c>
      <c r="DG20" s="768" t="str">
        <f ca="1">IF(DB20="-","-",COUNTIFS(DF$6:DF$53,"&lt;"&amp;DF20,$BC$6:$BC$53,INDEX(T_Equipos[Grupo],MATCH(BD20,T_Equipos[NombreEquipo],0))))</f>
        <v>-</v>
      </c>
      <c r="DH20" s="768">
        <f ca="1">DA20+COUNTIFS(DB$6:DB$53,DB20,DG$6:DG$53,"&lt;"&amp;DG20,$BC$6:$BC$53,INDEX(T_Equipos[Grupo],MATCH(BD20,T_Equipos[NombreEquipo],0)))</f>
        <v>2</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6" customHeight="1" x14ac:dyDescent="0.2">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15"/>
      <c r="X21" s="195">
        <f ca="1">Horarios!C21</f>
        <v>46187.125</v>
      </c>
      <c r="Y21" s="196">
        <f ca="1">Horarios!C21</f>
        <v>46187.125</v>
      </c>
      <c r="Z21" s="197" t="str">
        <f>$Z$4</f>
        <v>J1</v>
      </c>
      <c r="AA21" s="198" t="str">
        <f ca="1">A23</f>
        <v>Haití</v>
      </c>
      <c r="AB21" s="486" t="str" cm="1">
        <f t="array" aca="1" ref="AB21" ca="1">Ver_flag_local</f>
        <v>🇭🇹</v>
      </c>
      <c r="AC21" s="199">
        <v>0</v>
      </c>
      <c r="AD21" s="200">
        <v>1</v>
      </c>
      <c r="AE21" s="491" t="str" cm="1">
        <f t="array" aca="1" ref="AE21" ca="1">Ver_flag_visit</f>
        <v>🏴󠁧󠁢󠁳󠁣󠁴󠁿</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3</v>
      </c>
      <c r="BF21" s="760">
        <f t="shared" ca="1" si="26"/>
        <v>3</v>
      </c>
      <c r="BG21" s="760">
        <f t="shared" ca="1" si="17"/>
        <v>1</v>
      </c>
      <c r="BH21" s="760">
        <f t="shared" ca="1" si="18"/>
        <v>0</v>
      </c>
      <c r="BI21" s="760">
        <f t="shared" ca="1" si="19"/>
        <v>2</v>
      </c>
      <c r="BJ21" s="760">
        <f t="shared" ca="1" si="20"/>
        <v>3</v>
      </c>
      <c r="BK21" s="760">
        <f t="shared" ca="1" si="21"/>
        <v>5</v>
      </c>
      <c r="BL21" s="760">
        <f t="shared" ca="1" si="27"/>
        <v>-2</v>
      </c>
      <c r="BM21" s="760" t="str">
        <f t="shared" ca="1" si="22"/>
        <v>4D</v>
      </c>
      <c r="BN21" s="760" t="str">
        <f t="shared" ca="1" si="23"/>
        <v>4D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3</v>
      </c>
      <c r="BS21" s="769">
        <f ca="1">BP21+COUNTIFS($BQ$6:$BQ$53,BQ21,$BR$6:BR$53,"&gt;"&amp;BR21,$BC$6:$BC$53,INDEX(T_Equipos[Grupo],MATCH(BD21,T_Equipos[NombreEquipo],0)))</f>
        <v>4</v>
      </c>
      <c r="BT21" s="769" t="str">
        <f ca="1">IF(COUNTIFS($BS$6:$BS$53,BS21,$BC$6:$BC$53,INDEX(T_Equipos[Grupo],MATCH(BD21,T_Equipos[NombreEquipo],0)))=1,"-","P."&amp;BS21&amp;" ("&amp;COUNTIFS($BS$6:$BS$53,BS21,$BC$6:$BC$53,INDEX(T_Equipos[Grupo],MATCH(BD21,T_Equipos[NombreEquipo],0)))&amp;")")</f>
        <v>-</v>
      </c>
      <c r="BU21" s="770" t="str">
        <f t="shared" ca="1" si="36"/>
        <v>-</v>
      </c>
      <c r="BV21" s="770" t="str">
        <f t="shared" ca="1" si="37"/>
        <v>-</v>
      </c>
      <c r="BW21" s="770" t="str">
        <f t="shared" ca="1" si="38"/>
        <v>-</v>
      </c>
      <c r="BX21" s="770" t="str">
        <f t="shared" ca="1" si="39"/>
        <v>-</v>
      </c>
      <c r="BY21" s="770">
        <f ca="1">BS21+COUNTIFS($BT$6:$BT$53,BT21,$BX$6:BX$53,"&gt;"&amp;BX21,$BC$6:$BC$53,INDEX(T_Equipos[Grupo],MATCH(BD21,T_Equipos[NombreEquipo],0)))</f>
        <v>4</v>
      </c>
      <c r="BZ21" s="769" t="str">
        <f ca="1">IF(COUNTIFS($BY$6:$BY$53,BY21,$BC$6:$BC$53,INDEX(T_Equipos[Grupo],MATCH(BD21,T_Equipos[NombreEquipo],0)))=1,"-","P."&amp;BY21&amp;" ("&amp;COUNTIFS($BY$6:$BY$53,BY21,$BC$6:$BC$53,INDEX(T_Equipos[Grupo],MATCH(BD21,T_Equipos[NombreEquipo],0)))&amp;")")</f>
        <v>-</v>
      </c>
      <c r="CA21" s="770" t="str">
        <f t="shared" ca="1" si="40"/>
        <v>-</v>
      </c>
      <c r="CB21" s="770" t="str">
        <f t="shared" ca="1" si="41"/>
        <v>-</v>
      </c>
      <c r="CC21" s="770" t="str">
        <f t="shared" ca="1" si="42"/>
        <v>-</v>
      </c>
      <c r="CD21" s="770">
        <f ca="1">BY21+COUNTIFS($BZ$6:$BZ$53,BZ21,$CC$6:CC$53,"&gt;"&amp;CC21,$BC$6:$BC$53,INDEX(T_Equipos[Grupo],MATCH(BD21,T_Equipos[NombreEquipo],0)))</f>
        <v>4</v>
      </c>
      <c r="CE21" s="769" t="str">
        <f ca="1">IF(COUNTIFS($CD$6:$CD$53,CD21,$BC$6:$BC$53,INDEX(T_Equipos[Grupo],MATCH(BD21,T_Equipos[NombreEquipo],0)))=1,"-","P."&amp;CD21&amp;" ("&amp;COUNTIFS($CD$6:$CD$53,CD21,$BC$6:$BC$53,INDEX(T_Equipos[Grupo],MATCH(BD21,T_Equipos[NombreEquipo],0)))&amp;")")</f>
        <v>-</v>
      </c>
      <c r="CF21" s="770" t="str">
        <f t="shared" ca="1" si="43"/>
        <v>-</v>
      </c>
      <c r="CG21" s="770">
        <f ca="1">CD21+COUNTIFS($CE$6:$CE$53,CE21,$CF$6:CF$53,"&gt;"&amp;CF21,$BC$6:$BC$53,INDEX(T_Equipos[Grupo],MATCH(BD21,T_Equipos[NombreEquipo],0)))</f>
        <v>4</v>
      </c>
      <c r="CH21" s="769" t="str">
        <f ca="1">IF(COUNTIFS($CG$6:$CG$53,CG21,$BC$6:$BC$53,INDEX(T_Equipos[Grupo],MATCH(BD21,T_Equipos[NombreEquipo],0)))=1,"-","P."&amp;CG21&amp;" ("&amp;COUNTIFS($CG$6:$CG$53,CG21,$BC$6:$BC$53,INDEX(T_Equipos[Grupo],MATCH(BD21,T_Equipos[NombreEquipo],0)))&amp;")")</f>
        <v>-</v>
      </c>
      <c r="CI21" s="770" t="str">
        <f t="shared" ca="1" si="44"/>
        <v>-</v>
      </c>
      <c r="CJ21" s="770" t="str">
        <f t="shared" ca="1" si="45"/>
        <v>-</v>
      </c>
      <c r="CK21" s="770" t="str">
        <f t="shared" ca="1" si="46"/>
        <v>-</v>
      </c>
      <c r="CL21" s="770" t="str">
        <f t="shared" ca="1" si="47"/>
        <v>-</v>
      </c>
      <c r="CM21" s="770">
        <f ca="1">CG21+COUNTIFS($CH$6:$CH$53,CH21,$CL$6:CL$53,"&gt;"&amp;CL21,$BC$6:$BC$53,INDEX(T_Equipos[Grupo],MATCH(BD21,T_Equipos[NombreEquipo],0)))</f>
        <v>4</v>
      </c>
      <c r="CN21" s="769" t="str">
        <f ca="1">IF(COUNTIFS($CM$6:$CM$53,CM21,$BC$6:$BC$53,INDEX(T_Equipos[Grupo],MATCH(BD21,T_Equipos[NombreEquipo],0)))=1,"-","P."&amp;CM21&amp;" ("&amp;COUNTIFS($CM$6:$CM$53,CM21,$BC$6:$BC$53,INDEX(T_Equipos[Grupo],MATCH(BD21,T_Equipos[NombreEquipo],0)))&amp;")")</f>
        <v>-</v>
      </c>
      <c r="CO21" s="770" t="str">
        <f t="shared" ca="1" si="48"/>
        <v>-</v>
      </c>
      <c r="CP21" s="770" t="str">
        <f t="shared" ca="1" si="49"/>
        <v>-</v>
      </c>
      <c r="CQ21" s="770" t="str">
        <f t="shared" ca="1" si="50"/>
        <v>-</v>
      </c>
      <c r="CR21" s="770">
        <f ca="1">CM21+COUNTIFS($CN$6:$CN$53,CN21,$CQ$6:CQ$53,"&gt;"&amp;CQ21,$BC$6:$BC$53,INDEX(T_Equipos[Grupo],MATCH(BD21,T_Equipos[NombreEquipo],0)))</f>
        <v>4</v>
      </c>
      <c r="CS21" s="769" t="str">
        <f ca="1">IF(COUNTIFS($CR$6:$CR$53,CR21,$BC$6:$BC$53,INDEX(T_Equipos[Grupo],MATCH(BD21,T_Equipos[NombreEquipo],0)))=1,"-","P."&amp;CR21&amp;" ("&amp;COUNTIFS($CR$6:$CR$53,CR21,$BC$6:$BC$53,INDEX(T_Equipos[Grupo],MATCH(BD21,T_Equipos[NombreEquipo],0)))&amp;")")</f>
        <v>-</v>
      </c>
      <c r="CT21" s="770" t="str">
        <f t="shared" ca="1" si="51"/>
        <v>-</v>
      </c>
      <c r="CU21" s="770">
        <f ca="1">CR21+COUNTIFS($CS$6:$CS$53,CS21,$CT$6:CT$53,"&gt;"&amp;CT21,$BC$6:$BC$53,INDEX(T_Equipos[Grupo],MATCH(BD21,T_Equipos[NombreEquipo],0)))</f>
        <v>4</v>
      </c>
      <c r="CV21" s="769" t="str">
        <f ca="1">IF(COUNTIFS($CU$6:$CU$53,CU21,$BC$6:$BC$53,INDEX(T_Equipos[Grupo],MATCH(BD21,T_Equipos[NombreEquipo],0)))=1,"-","P."&amp;CU21&amp;" ("&amp;COUNTIFS($CU$6:$CU$53,CU21,$BC$6:$BC$53,INDEX(T_Equipos[Grupo],MATCH(BD21,T_Equipos[NombreEquipo],0)))&amp;")")</f>
        <v>-</v>
      </c>
      <c r="CW21" s="769" t="str">
        <f t="shared" ca="1" si="30"/>
        <v>-</v>
      </c>
      <c r="CX21" s="769">
        <f ca="1">CU21+COUNTIFS($CV$6:$CV$53,CV21,$CW$6:CW$53,"&gt;"&amp;CW21,$BC$6:$BC$53,INDEX(T_Equipos[Grupo],MATCH(BD21,T_Equipos[NombreEquipo],0)))</f>
        <v>4</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4</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4</v>
      </c>
      <c r="DE21" s="768"/>
      <c r="DF21" s="768">
        <f t="shared" ca="1" si="52"/>
        <v>4</v>
      </c>
      <c r="DG21" s="768" t="str">
        <f ca="1">IF(DB21="-","-",COUNTIFS(DF$6:DF$53,"&lt;"&amp;DF21,$BC$6:$BC$53,INDEX(T_Equipos[Grupo],MATCH(BD21,T_Equipos[NombreEquipo],0))))</f>
        <v>-</v>
      </c>
      <c r="DH21" s="768">
        <f ca="1">DA21+COUNTIFS(DB$6:DB$53,DB21,DG$6:DG$53,"&lt;"&amp;DG21,$BC$6:$BC$53,INDEX(T_Equipos[Grupo],MATCH(BD21,T_Equipos[NombreEquipo],0)))</f>
        <v>4</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Turquía</v>
      </c>
      <c r="DR21" s="756"/>
      <c r="DS21" s="756"/>
      <c r="DT21" s="756" t="str">
        <f t="shared" ca="1" si="15"/>
        <v>Haití-Escocia</v>
      </c>
      <c r="DU21" s="756"/>
      <c r="DV21" s="756"/>
      <c r="DW21" s="8"/>
    </row>
    <row r="22" spans="1:127" ht="16" customHeight="1" x14ac:dyDescent="0.2">
      <c r="A22" s="757" t="str">
        <f ca="1">+Equipos!B11</f>
        <v>Marruecos</v>
      </c>
      <c r="B22" s="754"/>
      <c r="C22" s="758"/>
      <c r="D22" s="756" t="str">
        <f t="shared" si="73"/>
        <v>Visitante</v>
      </c>
      <c r="E22" s="756" t="str">
        <f t="shared" ca="1" si="74"/>
        <v>-</v>
      </c>
      <c r="F22" s="756" t="str">
        <f t="shared" ca="1" si="75"/>
        <v>P.1 (2)</v>
      </c>
      <c r="G22" s="756"/>
      <c r="H22" s="756" t="str">
        <f t="shared" ca="1" si="76"/>
        <v>-</v>
      </c>
      <c r="I22" s="756" t="str">
        <f t="shared" ca="1" si="77"/>
        <v>P.1 (2)</v>
      </c>
      <c r="J22" s="756"/>
      <c r="K22" s="756" t="str">
        <f t="shared" ca="1" si="78"/>
        <v>-</v>
      </c>
      <c r="L22" s="756" t="str">
        <f t="shared" ca="1" si="79"/>
        <v>P.1 (2)</v>
      </c>
      <c r="M22" s="756"/>
      <c r="N22" s="756" t="str">
        <f t="shared" ca="1" si="80"/>
        <v>-</v>
      </c>
      <c r="O22" s="756" t="str">
        <f t="shared" ca="1" si="81"/>
        <v>P.1 (2)</v>
      </c>
      <c r="P22" s="756"/>
      <c r="Q22" s="756" t="str">
        <f t="shared" ca="1" si="82"/>
        <v>-</v>
      </c>
      <c r="R22" s="756" t="str">
        <f t="shared" ca="1" si="83"/>
        <v>P.1 (2)</v>
      </c>
      <c r="S22" s="756"/>
      <c r="T22" s="756" t="str">
        <f t="shared" ca="1" si="84"/>
        <v>-</v>
      </c>
      <c r="U22" s="756" t="str">
        <f t="shared" ca="1" si="85"/>
        <v>P.1 (2)</v>
      </c>
      <c r="V22" s="178"/>
      <c r="W22" s="815"/>
      <c r="X22" s="195">
        <f ca="1">Horarios!C22</f>
        <v>46193</v>
      </c>
      <c r="Y22" s="196">
        <f ca="1">Horarios!C22</f>
        <v>46193</v>
      </c>
      <c r="Z22" s="197" t="str">
        <f>$Z$6</f>
        <v>J2</v>
      </c>
      <c r="AA22" s="198" t="str">
        <f ca="1">A24</f>
        <v>Escocia</v>
      </c>
      <c r="AB22" s="486" t="str" cm="1">
        <f t="array" aca="1" ref="AB22" ca="1">Ver_flag_local</f>
        <v>🏴󠁧󠁢󠁳󠁣󠁴󠁿</v>
      </c>
      <c r="AC22" s="199">
        <v>0</v>
      </c>
      <c r="AD22" s="200">
        <v>1</v>
      </c>
      <c r="AE22" s="491" t="str" cm="1">
        <f t="array" aca="1" ref="AE22" ca="1">Ver_flag_visit</f>
        <v>🇲🇦</v>
      </c>
      <c r="AF22" s="201" t="str">
        <f ca="1">A22</f>
        <v>Marruecos</v>
      </c>
      <c r="AG22" s="421">
        <f t="shared" si="86"/>
        <v>1</v>
      </c>
      <c r="AH22" s="202">
        <v>30</v>
      </c>
      <c r="AI22" s="19" t="str">
        <f>AJ22&amp;$B$20</f>
        <v>1C</v>
      </c>
      <c r="AJ22" s="217">
        <v>1</v>
      </c>
      <c r="AK22" s="496" t="str" cm="1">
        <f t="array" aca="1" ref="AK22" ca="1">Ver_flag_visit</f>
        <v>🇧🇷</v>
      </c>
      <c r="AL22" s="218" t="str">
        <f ca="1">IFERROR(INDEX($BD$6:$BD$53,MATCH(AI22,$BN$6:$BN$53,0)),"")</f>
        <v>Brasil</v>
      </c>
      <c r="AM22" s="219">
        <f t="shared" ref="AM22:AT25" ca="1" si="90">INDEX($BE$6:$BN$53,MATCH($AL22,$BD$6:$BD$53,0),MATCH(AM$5,$BE$5:$BN$5,0))</f>
        <v>7</v>
      </c>
      <c r="AN22" s="220">
        <f t="shared" ca="1" si="90"/>
        <v>3</v>
      </c>
      <c r="AO22" s="220">
        <f t="shared" ca="1" si="90"/>
        <v>2</v>
      </c>
      <c r="AP22" s="220">
        <f t="shared" ca="1" si="90"/>
        <v>1</v>
      </c>
      <c r="AQ22" s="220">
        <f t="shared" ca="1" si="90"/>
        <v>0</v>
      </c>
      <c r="AR22" s="220">
        <f t="shared" ca="1" si="90"/>
        <v>7</v>
      </c>
      <c r="AS22" s="220">
        <f t="shared" ca="1" si="90"/>
        <v>1</v>
      </c>
      <c r="AT22" s="221">
        <f t="shared" ca="1" si="90"/>
        <v>6</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6</v>
      </c>
      <c r="BF22" s="760">
        <f t="shared" ca="1" si="26"/>
        <v>3</v>
      </c>
      <c r="BG22" s="760">
        <f t="shared" ca="1" si="17"/>
        <v>2</v>
      </c>
      <c r="BH22" s="760">
        <f t="shared" ca="1" si="18"/>
        <v>0</v>
      </c>
      <c r="BI22" s="760">
        <f t="shared" ca="1" si="19"/>
        <v>1</v>
      </c>
      <c r="BJ22" s="760">
        <f t="shared" ca="1" si="20"/>
        <v>10</v>
      </c>
      <c r="BK22" s="760">
        <f t="shared" ca="1" si="21"/>
        <v>4</v>
      </c>
      <c r="BL22" s="760">
        <f t="shared" ca="1" si="27"/>
        <v>6</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6</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(2)</v>
      </c>
      <c r="BU22" s="770">
        <f t="shared" ca="1" si="36"/>
        <v>1</v>
      </c>
      <c r="BV22" s="770">
        <f t="shared" ca="1" si="37"/>
        <v>0</v>
      </c>
      <c r="BW22" s="770">
        <f t="shared" ca="1" si="38"/>
        <v>0</v>
      </c>
      <c r="BX22" s="770">
        <f t="shared" ca="1" si="39"/>
        <v>3</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v>
      </c>
      <c r="CA22" s="770" t="str">
        <f t="shared" ca="1" si="40"/>
        <v>-</v>
      </c>
      <c r="CB22" s="770" t="str">
        <f t="shared" ca="1" si="41"/>
        <v>-</v>
      </c>
      <c r="CC22" s="770" t="str">
        <f t="shared" ca="1" si="42"/>
        <v>-</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v>
      </c>
      <c r="CF22" s="770" t="str">
        <f t="shared" ca="1" si="43"/>
        <v>-</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v>
      </c>
      <c r="CI22" s="770" t="str">
        <f t="shared" ca="1" si="44"/>
        <v>-</v>
      </c>
      <c r="CJ22" s="770" t="str">
        <f t="shared" ca="1" si="45"/>
        <v>-</v>
      </c>
      <c r="CK22" s="770" t="str">
        <f t="shared" ca="1" si="46"/>
        <v>-</v>
      </c>
      <c r="CL22" s="770" t="str">
        <f t="shared" ca="1" si="47"/>
        <v>-</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v>
      </c>
      <c r="CO22" s="770" t="str">
        <f t="shared" ca="1" si="48"/>
        <v>-</v>
      </c>
      <c r="CP22" s="770" t="str">
        <f t="shared" ca="1" si="49"/>
        <v>-</v>
      </c>
      <c r="CQ22" s="770" t="str">
        <f t="shared" ca="1" si="50"/>
        <v>-</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v>
      </c>
      <c r="CT22" s="770" t="str">
        <f t="shared" ca="1" si="51"/>
        <v>-</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v>
      </c>
      <c r="CW22" s="769" t="str">
        <f t="shared" ca="1" si="30"/>
        <v>-</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 customHeight="1" x14ac:dyDescent="0.2">
      <c r="A23" s="757" t="str">
        <f ca="1">+Equipos!B12</f>
        <v>Haití</v>
      </c>
      <c r="B23" s="754"/>
      <c r="C23" s="756"/>
      <c r="D23" s="756" t="str">
        <f t="shared" si="73"/>
        <v>Local</v>
      </c>
      <c r="E23" s="756" t="str">
        <f t="shared" ca="1" si="74"/>
        <v>P.1 (2)</v>
      </c>
      <c r="F23" s="756" t="str">
        <f t="shared" ca="1" si="75"/>
        <v>-</v>
      </c>
      <c r="G23" s="756"/>
      <c r="H23" s="756" t="str">
        <f t="shared" ca="1" si="76"/>
        <v>P.1 (2)</v>
      </c>
      <c r="I23" s="756" t="str">
        <f t="shared" ca="1" si="77"/>
        <v>-</v>
      </c>
      <c r="J23" s="756"/>
      <c r="K23" s="756" t="str">
        <f t="shared" ca="1" si="78"/>
        <v>P.1 (2)</v>
      </c>
      <c r="L23" s="756" t="str">
        <f t="shared" ca="1" si="79"/>
        <v>-</v>
      </c>
      <c r="M23" s="756"/>
      <c r="N23" s="756" t="str">
        <f t="shared" ca="1" si="80"/>
        <v>P.1 (2)</v>
      </c>
      <c r="O23" s="756" t="str">
        <f t="shared" ca="1" si="81"/>
        <v>-</v>
      </c>
      <c r="P23" s="756"/>
      <c r="Q23" s="756" t="str">
        <f t="shared" ca="1" si="82"/>
        <v>P.1 (2)</v>
      </c>
      <c r="R23" s="756" t="str">
        <f t="shared" ca="1" si="83"/>
        <v>-</v>
      </c>
      <c r="S23" s="756"/>
      <c r="T23" s="756" t="str">
        <f t="shared" ca="1" si="84"/>
        <v>P.1 (2)</v>
      </c>
      <c r="U23" s="756" t="str">
        <f t="shared" ca="1" si="85"/>
        <v>-</v>
      </c>
      <c r="V23" s="178"/>
      <c r="W23" s="815"/>
      <c r="X23" s="195">
        <f ca="1">Horarios!C23</f>
        <v>46193.104166666664</v>
      </c>
      <c r="Y23" s="196">
        <f ca="1">Horarios!C23</f>
        <v>46193.104166666664</v>
      </c>
      <c r="Z23" s="197" t="str">
        <f>$Z$6</f>
        <v>J2</v>
      </c>
      <c r="AA23" s="198" t="str">
        <f ca="1">A21</f>
        <v>Brasil</v>
      </c>
      <c r="AB23" s="486" t="str" cm="1">
        <f t="array" aca="1" ref="AB23" ca="1">Ver_flag_local</f>
        <v>🇧🇷</v>
      </c>
      <c r="AC23" s="199">
        <v>3</v>
      </c>
      <c r="AD23" s="200">
        <v>0</v>
      </c>
      <c r="AE23" s="491" t="str" cm="1">
        <f t="array" aca="1" ref="AE23" ca="1">Ver_flag_visit</f>
        <v>🇭🇹</v>
      </c>
      <c r="AF23" s="201" t="str">
        <f ca="1">A23</f>
        <v>Haití</v>
      </c>
      <c r="AG23" s="421">
        <f t="shared" si="86"/>
        <v>1</v>
      </c>
      <c r="AH23" s="202">
        <v>29</v>
      </c>
      <c r="AI23" s="19" t="str">
        <f t="shared" ref="AI23:AI25" si="91">AJ23&amp;$B$20</f>
        <v>2C</v>
      </c>
      <c r="AJ23" s="227">
        <v>2</v>
      </c>
      <c r="AK23" s="494" t="str" cm="1">
        <f t="array" aca="1" ref="AK23" ca="1">Ver_flag_visit</f>
        <v>🇲🇦</v>
      </c>
      <c r="AL23" s="228" t="str">
        <f ca="1">IFERROR(INDEX($BD$6:$BD$53,MATCH(AI23,$BN$6:$BN$53,0)),"")</f>
        <v>Marruecos</v>
      </c>
      <c r="AM23" s="229">
        <f t="shared" ca="1" si="90"/>
        <v>7</v>
      </c>
      <c r="AN23" s="230">
        <f t="shared" ca="1" si="90"/>
        <v>3</v>
      </c>
      <c r="AO23" s="230">
        <f t="shared" ca="1" si="90"/>
        <v>2</v>
      </c>
      <c r="AP23" s="230">
        <f t="shared" ca="1" si="90"/>
        <v>1</v>
      </c>
      <c r="AQ23" s="230">
        <f t="shared" ca="1" si="90"/>
        <v>0</v>
      </c>
      <c r="AR23" s="230">
        <f t="shared" ca="1" si="90"/>
        <v>6</v>
      </c>
      <c r="AS23" s="230">
        <f t="shared" ca="1" si="90"/>
        <v>3</v>
      </c>
      <c r="AT23" s="231">
        <f t="shared" ca="1" si="90"/>
        <v>3</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1</v>
      </c>
      <c r="BF23" s="760">
        <f t="shared" ca="1" si="26"/>
        <v>3</v>
      </c>
      <c r="BG23" s="760">
        <f t="shared" ca="1" si="17"/>
        <v>0</v>
      </c>
      <c r="BH23" s="760">
        <f t="shared" ca="1" si="18"/>
        <v>1</v>
      </c>
      <c r="BI23" s="760">
        <f t="shared" ca="1" si="19"/>
        <v>2</v>
      </c>
      <c r="BJ23" s="760">
        <f t="shared" ca="1" si="20"/>
        <v>1</v>
      </c>
      <c r="BK23" s="760">
        <f t="shared" ca="1" si="21"/>
        <v>9</v>
      </c>
      <c r="BL23" s="760">
        <f t="shared" ca="1" si="27"/>
        <v>-8</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1</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Costa de Marfil</v>
      </c>
      <c r="DR23" s="756"/>
      <c r="DS23" s="756"/>
      <c r="DT23" s="756" t="str">
        <f t="shared" ca="1" si="15"/>
        <v>Brasil-Haití</v>
      </c>
      <c r="DU23" s="756"/>
      <c r="DV23" s="756"/>
      <c r="DW23" s="8"/>
    </row>
    <row r="24" spans="1:127" ht="16" customHeight="1" x14ac:dyDescent="0.2">
      <c r="A24" s="757" t="str">
        <f ca="1">+Equipos!B13</f>
        <v>Escocia</v>
      </c>
      <c r="B24" s="754"/>
      <c r="C24" s="756"/>
      <c r="D24" s="756" t="str">
        <f t="shared" si="73"/>
        <v>Visitante</v>
      </c>
      <c r="E24" s="756" t="str">
        <f t="shared" ca="1" si="74"/>
        <v>-</v>
      </c>
      <c r="F24" s="756" t="str">
        <f t="shared" ca="1" si="75"/>
        <v>P.1 (2)</v>
      </c>
      <c r="G24" s="756"/>
      <c r="H24" s="756" t="str">
        <f t="shared" ca="1" si="76"/>
        <v>-</v>
      </c>
      <c r="I24" s="756" t="str">
        <f t="shared" ca="1" si="77"/>
        <v>P.1 (2)</v>
      </c>
      <c r="J24" s="756"/>
      <c r="K24" s="756" t="str">
        <f t="shared" ca="1" si="78"/>
        <v>-</v>
      </c>
      <c r="L24" s="756" t="str">
        <f t="shared" ca="1" si="79"/>
        <v>P.1 (2)</v>
      </c>
      <c r="M24" s="756"/>
      <c r="N24" s="756" t="str">
        <f t="shared" ca="1" si="80"/>
        <v>-</v>
      </c>
      <c r="O24" s="756" t="str">
        <f t="shared" ca="1" si="81"/>
        <v>P.1 (2)</v>
      </c>
      <c r="P24" s="756"/>
      <c r="Q24" s="756" t="str">
        <f t="shared" ca="1" si="82"/>
        <v>-</v>
      </c>
      <c r="R24" s="756" t="str">
        <f t="shared" ca="1" si="83"/>
        <v>P.1 (2)</v>
      </c>
      <c r="S24" s="756"/>
      <c r="T24" s="756" t="str">
        <f t="shared" ca="1" si="84"/>
        <v>-</v>
      </c>
      <c r="U24" s="756" t="str">
        <f t="shared" ca="1" si="85"/>
        <v>P.1 (2)</v>
      </c>
      <c r="V24" s="178"/>
      <c r="W24" s="815"/>
      <c r="X24" s="195">
        <f ca="1">Horarios!C24</f>
        <v>46198</v>
      </c>
      <c r="Y24" s="196">
        <f ca="1">Horarios!C24</f>
        <v>46198</v>
      </c>
      <c r="Z24" s="197" t="str">
        <f>$Z$8</f>
        <v>J3</v>
      </c>
      <c r="AA24" s="198" t="str">
        <f ca="1">A24</f>
        <v>Escocia</v>
      </c>
      <c r="AB24" s="486" t="str" cm="1">
        <f t="array" aca="1" ref="AB24" ca="1">Ver_flag_local</f>
        <v>🏴󠁧󠁢󠁳󠁣󠁴󠁿</v>
      </c>
      <c r="AC24" s="199">
        <v>0</v>
      </c>
      <c r="AD24" s="200">
        <v>3</v>
      </c>
      <c r="AE24" s="491" t="str" cm="1">
        <f t="array" aca="1" ref="AE24" ca="1">Ver_flag_visit</f>
        <v>🇧🇷</v>
      </c>
      <c r="AF24" s="201" t="str">
        <f ca="1">A21</f>
        <v>Brasil</v>
      </c>
      <c r="AG24" s="421">
        <f t="shared" si="86"/>
        <v>1</v>
      </c>
      <c r="AH24" s="202">
        <v>49</v>
      </c>
      <c r="AI24" s="19" t="str">
        <f t="shared" si="91"/>
        <v>3C</v>
      </c>
      <c r="AJ24" s="227">
        <v>3</v>
      </c>
      <c r="AK24" s="494" t="str" cm="1">
        <f t="array" aca="1" ref="AK24" ca="1">Ver_flag_visit</f>
        <v>🏴󠁧󠁢󠁳󠁣󠁴󠁿</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1</v>
      </c>
      <c r="AS24" s="230">
        <f t="shared" ca="1" si="90"/>
        <v>4</v>
      </c>
      <c r="AT24" s="231">
        <f t="shared" ca="1" si="90"/>
        <v>-3</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6</v>
      </c>
      <c r="BF24" s="760">
        <f t="shared" ca="1" si="26"/>
        <v>3</v>
      </c>
      <c r="BG24" s="760">
        <f t="shared" ca="1" si="17"/>
        <v>2</v>
      </c>
      <c r="BH24" s="760">
        <f t="shared" ca="1" si="18"/>
        <v>0</v>
      </c>
      <c r="BI24" s="760">
        <f t="shared" ca="1" si="19"/>
        <v>1</v>
      </c>
      <c r="BJ24" s="760">
        <f t="shared" ca="1" si="20"/>
        <v>4</v>
      </c>
      <c r="BK24" s="760">
        <f t="shared" ca="1" si="21"/>
        <v>2</v>
      </c>
      <c r="BL24" s="760">
        <f t="shared" ca="1" si="27"/>
        <v>2</v>
      </c>
      <c r="BM24" s="760" t="str">
        <f t="shared" ca="1" si="22"/>
        <v>2E</v>
      </c>
      <c r="BN24" s="760" t="str">
        <f t="shared" ca="1" si="23"/>
        <v>2E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6</v>
      </c>
      <c r="BS24" s="769">
        <f ca="1">BP24+COUNTIFS($BQ$6:$BQ$53,BQ24,$BR$6:BR$53,"&gt;"&amp;BR24,$BC$6:$BC$53,INDEX(T_Equipos[Grupo],MATCH(BD24,T_Equipos[NombreEquipo],0)))</f>
        <v>1</v>
      </c>
      <c r="BT24" s="769" t="str">
        <f ca="1">IF(COUNTIFS($BS$6:$BS$53,BS24,$BC$6:$BC$53,INDEX(T_Equipos[Grupo],MATCH(BD24,T_Equipos[NombreEquipo],0)))=1,"-","P."&amp;BS24&amp;" ("&amp;COUNTIFS($BS$6:$BS$53,BS24,$BC$6:$BC$53,INDEX(T_Equipos[Grupo],MATCH(BD24,T_Equipos[NombreEquipo],0)))&amp;")")</f>
        <v>P.1 (2)</v>
      </c>
      <c r="BU24" s="770">
        <f t="shared" ca="1" si="36"/>
        <v>0</v>
      </c>
      <c r="BV24" s="770">
        <f t="shared" ca="1" si="37"/>
        <v>0</v>
      </c>
      <c r="BW24" s="770">
        <f t="shared" ca="1" si="38"/>
        <v>1</v>
      </c>
      <c r="BX24" s="770">
        <f t="shared" ca="1" si="39"/>
        <v>0</v>
      </c>
      <c r="BY24" s="770">
        <f ca="1">BS24+COUNTIFS($BT$6:$BT$53,BT24,$BX$6:BX$53,"&gt;"&amp;BX24,$BC$6:$BC$53,INDEX(T_Equipos[Grupo],MATCH(BD24,T_Equipos[NombreEquipo],0)))</f>
        <v>2</v>
      </c>
      <c r="BZ24" s="769" t="str">
        <f ca="1">IF(COUNTIFS($BY$6:$BY$53,BY24,$BC$6:$BC$53,INDEX(T_Equipos[Grupo],MATCH(BD24,T_Equipos[NombreEquipo],0)))=1,"-","P."&amp;BY24&amp;" ("&amp;COUNTIFS($BY$6:$BY$53,BY24,$BC$6:$BC$53,INDEX(T_Equipos[Grupo],MATCH(BD24,T_Equipos[NombreEquipo],0)))&amp;")")</f>
        <v>-</v>
      </c>
      <c r="CA24" s="770" t="str">
        <f t="shared" ca="1" si="40"/>
        <v>-</v>
      </c>
      <c r="CB24" s="770" t="str">
        <f t="shared" ca="1" si="41"/>
        <v>-</v>
      </c>
      <c r="CC24" s="770" t="str">
        <f t="shared" ca="1" si="42"/>
        <v>-</v>
      </c>
      <c r="CD24" s="770">
        <f ca="1">BY24+COUNTIFS($BZ$6:$BZ$53,BZ24,$CC$6:CC$53,"&gt;"&amp;CC24,$BC$6:$BC$53,INDEX(T_Equipos[Grupo],MATCH(BD24,T_Equipos[NombreEquipo],0)))</f>
        <v>2</v>
      </c>
      <c r="CE24" s="769" t="str">
        <f ca="1">IF(COUNTIFS($CD$6:$CD$53,CD24,$BC$6:$BC$53,INDEX(T_Equipos[Grupo],MATCH(BD24,T_Equipos[NombreEquipo],0)))=1,"-","P."&amp;CD24&amp;" ("&amp;COUNTIFS($CD$6:$CD$53,CD24,$BC$6:$BC$53,INDEX(T_Equipos[Grupo],MATCH(BD24,T_Equipos[NombreEquipo],0)))&amp;")")</f>
        <v>-</v>
      </c>
      <c r="CF24" s="770" t="str">
        <f t="shared" ca="1" si="43"/>
        <v>-</v>
      </c>
      <c r="CG24" s="770">
        <f ca="1">CD24+COUNTIFS($CE$6:$CE$53,CE24,$CF$6:CF$53,"&gt;"&amp;CF24,$BC$6:$BC$53,INDEX(T_Equipos[Grupo],MATCH(BD24,T_Equipos[NombreEquipo],0)))</f>
        <v>2</v>
      </c>
      <c r="CH24" s="769" t="str">
        <f ca="1">IF(COUNTIFS($CG$6:$CG$53,CG24,$BC$6:$BC$53,INDEX(T_Equipos[Grupo],MATCH(BD24,T_Equipos[NombreEquipo],0)))=1,"-","P."&amp;CG24&amp;" ("&amp;COUNTIFS($CG$6:$CG$53,CG24,$BC$6:$BC$53,INDEX(T_Equipos[Grupo],MATCH(BD24,T_Equipos[NombreEquipo],0)))&amp;")")</f>
        <v>-</v>
      </c>
      <c r="CI24" s="770" t="str">
        <f t="shared" ca="1" si="44"/>
        <v>-</v>
      </c>
      <c r="CJ24" s="770" t="str">
        <f t="shared" ca="1" si="45"/>
        <v>-</v>
      </c>
      <c r="CK24" s="770" t="str">
        <f t="shared" ca="1" si="46"/>
        <v>-</v>
      </c>
      <c r="CL24" s="770" t="str">
        <f t="shared" ca="1" si="47"/>
        <v>-</v>
      </c>
      <c r="CM24" s="770">
        <f ca="1">CG24+COUNTIFS($CH$6:$CH$53,CH24,$CL$6:CL$53,"&gt;"&amp;CL24,$BC$6:$BC$53,INDEX(T_Equipos[Grupo],MATCH(BD24,T_Equipos[NombreEquipo],0)))</f>
        <v>2</v>
      </c>
      <c r="CN24" s="769" t="str">
        <f ca="1">IF(COUNTIFS($CM$6:$CM$53,CM24,$BC$6:$BC$53,INDEX(T_Equipos[Grupo],MATCH(BD24,T_Equipos[NombreEquipo],0)))=1,"-","P."&amp;CM24&amp;" ("&amp;COUNTIFS($CM$6:$CM$53,CM24,$BC$6:$BC$53,INDEX(T_Equipos[Grupo],MATCH(BD24,T_Equipos[NombreEquipo],0)))&amp;")")</f>
        <v>-</v>
      </c>
      <c r="CO24" s="770" t="str">
        <f t="shared" ca="1" si="48"/>
        <v>-</v>
      </c>
      <c r="CP24" s="770" t="str">
        <f t="shared" ca="1" si="49"/>
        <v>-</v>
      </c>
      <c r="CQ24" s="770" t="str">
        <f t="shared" ca="1" si="50"/>
        <v>-</v>
      </c>
      <c r="CR24" s="770">
        <f ca="1">CM24+COUNTIFS($CN$6:$CN$53,CN24,$CQ$6:CQ$53,"&gt;"&amp;CQ24,$BC$6:$BC$53,INDEX(T_Equipos[Grupo],MATCH(BD24,T_Equipos[NombreEquipo],0)))</f>
        <v>2</v>
      </c>
      <c r="CS24" s="769" t="str">
        <f ca="1">IF(COUNTIFS($CR$6:$CR$53,CR24,$BC$6:$BC$53,INDEX(T_Equipos[Grupo],MATCH(BD24,T_Equipos[NombreEquipo],0)))=1,"-","P."&amp;CR24&amp;" ("&amp;COUNTIFS($CR$6:$CR$53,CR24,$BC$6:$BC$53,INDEX(T_Equipos[Grupo],MATCH(BD24,T_Equipos[NombreEquipo],0)))&amp;")")</f>
        <v>-</v>
      </c>
      <c r="CT24" s="770" t="str">
        <f t="shared" ca="1" si="51"/>
        <v>-</v>
      </c>
      <c r="CU24" s="770">
        <f ca="1">CR24+COUNTIFS($CS$6:$CS$53,CS24,$CT$6:CT$53,"&gt;"&amp;CT24,$BC$6:$BC$53,INDEX(T_Equipos[Grupo],MATCH(BD24,T_Equipos[NombreEquipo],0)))</f>
        <v>2</v>
      </c>
      <c r="CV24" s="769" t="str">
        <f ca="1">IF(COUNTIFS($CU$6:$CU$53,CU24,$BC$6:$BC$53,INDEX(T_Equipos[Grupo],MATCH(BD24,T_Equipos[NombreEquipo],0)))=1,"-","P."&amp;CU24&amp;" ("&amp;COUNTIFS($CU$6:$CU$53,CU24,$BC$6:$BC$53,INDEX(T_Equipos[Grupo],MATCH(BD24,T_Equipos[NombreEquipo],0)))&amp;")")</f>
        <v>-</v>
      </c>
      <c r="CW24" s="769" t="str">
        <f t="shared" ca="1" si="30"/>
        <v>-</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2</v>
      </c>
      <c r="DE24" s="768"/>
      <c r="DF24" s="768">
        <f t="shared" ca="1" si="52"/>
        <v>2</v>
      </c>
      <c r="DG24" s="768" t="str">
        <f ca="1">IF(DB24="-","-",COUNTIFS(DF$6:DF$53,"&lt;"&amp;DF24,$BC$6:$BC$53,INDEX(T_Equipos[Grupo],MATCH(BD24,T_Equipos[NombreEquipo],0))))</f>
        <v>-</v>
      </c>
      <c r="DH24" s="768">
        <f ca="1">DA24+COUNTIFS(DB$6:DB$53,DB24,DG$6:DG$53,"&lt;"&amp;DG24,$BC$6:$BC$53,INDEX(T_Equipos[Grupo],MATCH(BD24,T_Equipos[NombreEquipo],0)))</f>
        <v>2</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Ecuador</v>
      </c>
      <c r="DR24" s="756"/>
      <c r="DS24" s="756"/>
      <c r="DT24" s="756" t="str">
        <f t="shared" ca="1" si="15"/>
        <v>Escocia-Brasil</v>
      </c>
      <c r="DU24" s="756"/>
      <c r="DV24" s="756"/>
      <c r="DW24" s="8"/>
    </row>
    <row r="25" spans="1:127" ht="17" customHeight="1" thickBot="1" x14ac:dyDescent="0.25">
      <c r="A25" s="751"/>
      <c r="B25" s="751"/>
      <c r="C25" s="751"/>
      <c r="D25" s="756" t="str">
        <f t="shared" si="73"/>
        <v>Local</v>
      </c>
      <c r="E25" s="756" t="str">
        <f t="shared" ca="1" si="74"/>
        <v>P.1 (2)</v>
      </c>
      <c r="F25" s="756" t="str">
        <f t="shared" ca="1" si="75"/>
        <v>-</v>
      </c>
      <c r="G25" s="756"/>
      <c r="H25" s="756" t="str">
        <f t="shared" ca="1" si="76"/>
        <v>P.1 (2)</v>
      </c>
      <c r="I25" s="756" t="str">
        <f t="shared" ca="1" si="77"/>
        <v>-</v>
      </c>
      <c r="J25" s="756"/>
      <c r="K25" s="756" t="str">
        <f t="shared" ca="1" si="78"/>
        <v>P.1 (2)</v>
      </c>
      <c r="L25" s="756" t="str">
        <f t="shared" ca="1" si="79"/>
        <v>-</v>
      </c>
      <c r="M25" s="756"/>
      <c r="N25" s="756" t="str">
        <f t="shared" ca="1" si="80"/>
        <v>P.1 (2)</v>
      </c>
      <c r="O25" s="756" t="str">
        <f t="shared" ca="1" si="81"/>
        <v>-</v>
      </c>
      <c r="P25" s="756"/>
      <c r="Q25" s="756" t="str">
        <f t="shared" ca="1" si="82"/>
        <v>P.1 (2)</v>
      </c>
      <c r="R25" s="756" t="str">
        <f t="shared" ca="1" si="83"/>
        <v>-</v>
      </c>
      <c r="S25" s="756"/>
      <c r="T25" s="756" t="str">
        <f t="shared" ca="1" si="84"/>
        <v>P.1 (2)</v>
      </c>
      <c r="U25" s="756" t="str">
        <f t="shared" ca="1" si="85"/>
        <v>-</v>
      </c>
      <c r="V25" s="178"/>
      <c r="W25" s="816"/>
      <c r="X25" s="234">
        <f ca="1">Horarios!C25</f>
        <v>46198</v>
      </c>
      <c r="Y25" s="235">
        <f ca="1">Horarios!C25</f>
        <v>46198</v>
      </c>
      <c r="Z25" s="236" t="str">
        <f>$Z$8</f>
        <v>J3</v>
      </c>
      <c r="AA25" s="237" t="str">
        <f ca="1">A22</f>
        <v>Marruecos</v>
      </c>
      <c r="AB25" s="487" t="str" cm="1">
        <f t="array" aca="1" ref="AB25" ca="1">Ver_flag_local</f>
        <v>🇲🇦</v>
      </c>
      <c r="AC25" s="238">
        <v>4</v>
      </c>
      <c r="AD25" s="239">
        <v>2</v>
      </c>
      <c r="AE25" s="492" t="str" cm="1">
        <f t="array" aca="1" ref="AE25" ca="1">Ver_flag_visit</f>
        <v>🇭🇹</v>
      </c>
      <c r="AF25" s="240" t="str">
        <f ca="1">A23</f>
        <v>Haití</v>
      </c>
      <c r="AG25" s="421">
        <f t="shared" si="86"/>
        <v>1</v>
      </c>
      <c r="AH25" s="202">
        <v>50</v>
      </c>
      <c r="AI25" s="19" t="str">
        <f t="shared" si="91"/>
        <v>4C</v>
      </c>
      <c r="AJ25" s="241">
        <v>4</v>
      </c>
      <c r="AK25" s="495" t="str" cm="1">
        <f t="array" aca="1" ref="AK25" ca="1">Ver_flag_visit</f>
        <v>🇭🇹</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2</v>
      </c>
      <c r="AS25" s="244">
        <f t="shared" ca="1" si="90"/>
        <v>8</v>
      </c>
      <c r="AT25" s="245">
        <f t="shared" ca="1" si="90"/>
        <v>-6</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4</v>
      </c>
      <c r="BF25" s="760">
        <f t="shared" ca="1" si="26"/>
        <v>3</v>
      </c>
      <c r="BG25" s="760">
        <f t="shared" ca="1" si="17"/>
        <v>1</v>
      </c>
      <c r="BH25" s="760">
        <f t="shared" ca="1" si="18"/>
        <v>1</v>
      </c>
      <c r="BI25" s="760">
        <f t="shared" ca="1" si="19"/>
        <v>1</v>
      </c>
      <c r="BJ25" s="760">
        <f t="shared" ca="1" si="20"/>
        <v>2</v>
      </c>
      <c r="BK25" s="760">
        <f t="shared" ca="1" si="21"/>
        <v>2</v>
      </c>
      <c r="BL25" s="760">
        <f t="shared" ca="1" si="27"/>
        <v>0</v>
      </c>
      <c r="BM25" s="760" t="str">
        <f t="shared" ca="1" si="22"/>
        <v>3E</v>
      </c>
      <c r="BN25" s="760" t="str">
        <f t="shared" ca="1" si="23"/>
        <v>3E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4</v>
      </c>
      <c r="BS25" s="769">
        <f ca="1">BP25+COUNTIFS($BQ$6:$BQ$53,BQ25,$BR$6:BR$53,"&gt;"&amp;BR25,$BC$6:$BC$53,INDEX(T_Equipos[Grupo],MATCH(BD25,T_Equipos[NombreEquipo],0)))</f>
        <v>3</v>
      </c>
      <c r="BT25" s="769" t="str">
        <f ca="1">IF(COUNTIFS($BS$6:$BS$53,BS25,$BC$6:$BC$53,INDEX(T_Equipos[Grupo],MATCH(BD25,T_Equipos[NombreEquipo],0)))=1,"-","P."&amp;BS25&amp;" ("&amp;COUNTIFS($BS$6:$BS$53,BS25,$BC$6:$BC$53,INDEX(T_Equipos[Grupo],MATCH(BD25,T_Equipos[NombreEquipo],0)))&amp;")")</f>
        <v>-</v>
      </c>
      <c r="BU25" s="770" t="str">
        <f t="shared" ca="1" si="36"/>
        <v>-</v>
      </c>
      <c r="BV25" s="770" t="str">
        <f t="shared" ca="1" si="37"/>
        <v>-</v>
      </c>
      <c r="BW25" s="770" t="str">
        <f t="shared" ca="1" si="38"/>
        <v>-</v>
      </c>
      <c r="BX25" s="770" t="str">
        <f t="shared" ca="1" si="39"/>
        <v>-</v>
      </c>
      <c r="BY25" s="770">
        <f ca="1">BS25+COUNTIFS($BT$6:$BT$53,BT25,$BX$6:BX$53,"&gt;"&amp;BX25,$BC$6:$BC$53,INDEX(T_Equipos[Grupo],MATCH(BD25,T_Equipos[NombreEquipo],0)))</f>
        <v>3</v>
      </c>
      <c r="BZ25" s="769" t="str">
        <f ca="1">IF(COUNTIFS($BY$6:$BY$53,BY25,$BC$6:$BC$53,INDEX(T_Equipos[Grupo],MATCH(BD25,T_Equipos[NombreEquipo],0)))=1,"-","P."&amp;BY25&amp;" ("&amp;COUNTIFS($BY$6:$BY$53,BY25,$BC$6:$BC$53,INDEX(T_Equipos[Grupo],MATCH(BD25,T_Equipos[NombreEquipo],0)))&amp;")")</f>
        <v>-</v>
      </c>
      <c r="CA25" s="770" t="str">
        <f t="shared" ca="1" si="40"/>
        <v>-</v>
      </c>
      <c r="CB25" s="770" t="str">
        <f t="shared" ca="1" si="41"/>
        <v>-</v>
      </c>
      <c r="CC25" s="770" t="str">
        <f t="shared" ca="1" si="42"/>
        <v>-</v>
      </c>
      <c r="CD25" s="770">
        <f ca="1">BY25+COUNTIFS($BZ$6:$BZ$53,BZ25,$CC$6:CC$53,"&gt;"&amp;CC25,$BC$6:$BC$53,INDEX(T_Equipos[Grupo],MATCH(BD25,T_Equipos[NombreEquipo],0)))</f>
        <v>3</v>
      </c>
      <c r="CE25" s="769" t="str">
        <f ca="1">IF(COUNTIFS($CD$6:$CD$53,CD25,$BC$6:$BC$53,INDEX(T_Equipos[Grupo],MATCH(BD25,T_Equipos[NombreEquipo],0)))=1,"-","P."&amp;CD25&amp;" ("&amp;COUNTIFS($CD$6:$CD$53,CD25,$BC$6:$BC$53,INDEX(T_Equipos[Grupo],MATCH(BD25,T_Equipos[NombreEquipo],0)))&amp;")")</f>
        <v>-</v>
      </c>
      <c r="CF25" s="770" t="str">
        <f t="shared" ca="1" si="43"/>
        <v>-</v>
      </c>
      <c r="CG25" s="770">
        <f ca="1">CD25+COUNTIFS($CE$6:$CE$53,CE25,$CF$6:CF$53,"&gt;"&amp;CF25,$BC$6:$BC$53,INDEX(T_Equipos[Grupo],MATCH(BD25,T_Equipos[NombreEquipo],0)))</f>
        <v>3</v>
      </c>
      <c r="CH25" s="769" t="str">
        <f ca="1">IF(COUNTIFS($CG$6:$CG$53,CG25,$BC$6:$BC$53,INDEX(T_Equipos[Grupo],MATCH(BD25,T_Equipos[NombreEquipo],0)))=1,"-","P."&amp;CG25&amp;" ("&amp;COUNTIFS($CG$6:$CG$53,CG25,$BC$6:$BC$53,INDEX(T_Equipos[Grupo],MATCH(BD25,T_Equipos[NombreEquipo],0)))&amp;")")</f>
        <v>-</v>
      </c>
      <c r="CI25" s="770" t="str">
        <f t="shared" ca="1" si="44"/>
        <v>-</v>
      </c>
      <c r="CJ25" s="770" t="str">
        <f t="shared" ca="1" si="45"/>
        <v>-</v>
      </c>
      <c r="CK25" s="770" t="str">
        <f t="shared" ca="1" si="46"/>
        <v>-</v>
      </c>
      <c r="CL25" s="770" t="str">
        <f t="shared" ca="1" si="47"/>
        <v>-</v>
      </c>
      <c r="CM25" s="770">
        <f ca="1">CG25+COUNTIFS($CH$6:$CH$53,CH25,$CL$6:CL$53,"&gt;"&amp;CL25,$BC$6:$BC$53,INDEX(T_Equipos[Grupo],MATCH(BD25,T_Equipos[NombreEquipo],0)))</f>
        <v>3</v>
      </c>
      <c r="CN25" s="769" t="str">
        <f ca="1">IF(COUNTIFS($CM$6:$CM$53,CM25,$BC$6:$BC$53,INDEX(T_Equipos[Grupo],MATCH(BD25,T_Equipos[NombreEquipo],0)))=1,"-","P."&amp;CM25&amp;" ("&amp;COUNTIFS($CM$6:$CM$53,CM25,$BC$6:$BC$53,INDEX(T_Equipos[Grupo],MATCH(BD25,T_Equipos[NombreEquipo],0)))&amp;")")</f>
        <v>-</v>
      </c>
      <c r="CO25" s="770" t="str">
        <f t="shared" ca="1" si="48"/>
        <v>-</v>
      </c>
      <c r="CP25" s="770" t="str">
        <f t="shared" ca="1" si="49"/>
        <v>-</v>
      </c>
      <c r="CQ25" s="770" t="str">
        <f t="shared" ca="1" si="50"/>
        <v>-</v>
      </c>
      <c r="CR25" s="770">
        <f ca="1">CM25+COUNTIFS($CN$6:$CN$53,CN25,$CQ$6:CQ$53,"&gt;"&amp;CQ25,$BC$6:$BC$53,INDEX(T_Equipos[Grupo],MATCH(BD25,T_Equipos[NombreEquipo],0)))</f>
        <v>3</v>
      </c>
      <c r="CS25" s="769" t="str">
        <f ca="1">IF(COUNTIFS($CR$6:$CR$53,CR25,$BC$6:$BC$53,INDEX(T_Equipos[Grupo],MATCH(BD25,T_Equipos[NombreEquipo],0)))=1,"-","P."&amp;CR25&amp;" ("&amp;COUNTIFS($CR$6:$CR$53,CR25,$BC$6:$BC$53,INDEX(T_Equipos[Grupo],MATCH(BD25,T_Equipos[NombreEquipo],0)))&amp;")")</f>
        <v>-</v>
      </c>
      <c r="CT25" s="770" t="str">
        <f t="shared" ca="1" si="51"/>
        <v>-</v>
      </c>
      <c r="CU25" s="770">
        <f ca="1">CR25+COUNTIFS($CS$6:$CS$53,CS25,$CT$6:CT$53,"&gt;"&amp;CT25,$BC$6:$BC$53,INDEX(T_Equipos[Grupo],MATCH(BD25,T_Equipos[NombreEquipo],0)))</f>
        <v>3</v>
      </c>
      <c r="CV25" s="769" t="str">
        <f ca="1">IF(COUNTIFS($CU$6:$CU$53,CU25,$BC$6:$BC$53,INDEX(T_Equipos[Grupo],MATCH(BD25,T_Equipos[NombreEquipo],0)))=1,"-","P."&amp;CU25&amp;" ("&amp;COUNTIFS($CU$6:$CU$53,CU25,$BC$6:$BC$53,INDEX(T_Equipos[Grupo],MATCH(BD25,T_Equipos[NombreEquipo],0)))&amp;")")</f>
        <v>-</v>
      </c>
      <c r="CW25" s="769" t="str">
        <f t="shared" ca="1" si="30"/>
        <v>-</v>
      </c>
      <c r="CX25" s="769">
        <f ca="1">CU25+COUNTIFS($CV$6:$CV$53,CV25,$CW$6:CW$53,"&gt;"&amp;CW25,$BC$6:$BC$53,INDEX(T_Equipos[Grupo],MATCH(BD25,T_Equipos[NombreEquipo],0)))</f>
        <v>3</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3</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3</v>
      </c>
      <c r="DE25" s="768"/>
      <c r="DF25" s="768">
        <f t="shared" ca="1" si="52"/>
        <v>3</v>
      </c>
      <c r="DG25" s="768" t="str">
        <f ca="1">IF(DB25="-","-",COUNTIFS(DF$6:DF$53,"&lt;"&amp;DF25,$BC$6:$BC$53,INDEX(T_Equipos[Grupo],MATCH(BD25,T_Equipos[NombreEquipo],0))))</f>
        <v>-</v>
      </c>
      <c r="DH25" s="768">
        <f ca="1">DA25+COUNTIFS(DB$6:DB$53,DB25,DG$6:DG$53,"&lt;"&amp;DG25,$BC$6:$BC$53,INDEX(T_Equipos[Grupo],MATCH(BD25,T_Equipos[NombreEquipo],0)))</f>
        <v>3</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6" thickBot="1" x14ac:dyDescent="0.25">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7</v>
      </c>
      <c r="BF26" s="760">
        <f t="shared" ca="1" si="26"/>
        <v>3</v>
      </c>
      <c r="BG26" s="760">
        <f t="shared" ca="1" si="17"/>
        <v>2</v>
      </c>
      <c r="BH26" s="760">
        <f t="shared" ca="1" si="18"/>
        <v>1</v>
      </c>
      <c r="BI26" s="760">
        <f t="shared" ca="1" si="19"/>
        <v>0</v>
      </c>
      <c r="BJ26" s="760">
        <f t="shared" ca="1" si="20"/>
        <v>10</v>
      </c>
      <c r="BK26" s="760">
        <f t="shared" ca="1" si="21"/>
        <v>4</v>
      </c>
      <c r="BL26" s="760">
        <f t="shared" ca="1" si="27"/>
        <v>6</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7</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6" thickBot="1" x14ac:dyDescent="0.25">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5</v>
      </c>
      <c r="BF27" s="760">
        <f t="shared" ca="1" si="26"/>
        <v>3</v>
      </c>
      <c r="BG27" s="760">
        <f t="shared" ca="1" si="17"/>
        <v>1</v>
      </c>
      <c r="BH27" s="760">
        <f t="shared" ca="1" si="18"/>
        <v>2</v>
      </c>
      <c r="BI27" s="760">
        <f t="shared" ca="1" si="19"/>
        <v>0</v>
      </c>
      <c r="BJ27" s="760">
        <f t="shared" ca="1" si="20"/>
        <v>7</v>
      </c>
      <c r="BK27" s="760">
        <f t="shared" ca="1" si="21"/>
        <v>3</v>
      </c>
      <c r="BL27" s="760">
        <f t="shared" ca="1" si="27"/>
        <v>4</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5</v>
      </c>
      <c r="BS27" s="769">
        <f ca="1">BP27+COUNTIFS($BQ$6:$BQ$53,BQ27,$BR$6:BR$53,"&gt;"&amp;BR27,$BC$6:$BC$53,INDEX(T_Equipos[Grupo],MATCH(BD27,T_Equipos[NombreEquipo],0)))</f>
        <v>2</v>
      </c>
      <c r="BT27" s="769" t="str">
        <f ca="1">IF(COUNTIFS($BS$6:$BS$53,BS27,$BC$6:$BC$53,INDEX(T_Equipos[Grupo],MATCH(BD27,T_Equipos[NombreEquipo],0)))=1,"-","P."&amp;BS27&amp;" ("&amp;COUNTIFS($BS$6:$BS$53,BS27,$BC$6:$BC$53,INDEX(T_Equipos[Grupo],MATCH(BD27,T_Equipos[NombreEquipo],0)))&amp;")")</f>
        <v>-</v>
      </c>
      <c r="BU27" s="770" t="str">
        <f t="shared" ca="1" si="36"/>
        <v>-</v>
      </c>
      <c r="BV27" s="770" t="str">
        <f t="shared" ca="1" si="37"/>
        <v>-</v>
      </c>
      <c r="BW27" s="770" t="str">
        <f t="shared" ca="1" si="38"/>
        <v>-</v>
      </c>
      <c r="BX27" s="770" t="str">
        <f t="shared" ca="1" si="39"/>
        <v>-</v>
      </c>
      <c r="BY27" s="770">
        <f ca="1">BS27+COUNTIFS($BT$6:$BT$53,BT27,$BX$6:BX$53,"&gt;"&amp;BX27,$BC$6:$BC$53,INDEX(T_Equipos[Grupo],MATCH(BD27,T_Equipos[NombreEquipo],0)))</f>
        <v>2</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2</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2</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2</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2</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2</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2</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2</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2</v>
      </c>
      <c r="DE27" s="768"/>
      <c r="DF27" s="768">
        <f t="shared" ca="1" si="52"/>
        <v>2</v>
      </c>
      <c r="DG27" s="768" t="str">
        <f ca="1">IF(DB27="-","-",COUNTIFS(DF$6:DF$53,"&lt;"&amp;DF27,$BC$6:$BC$53,INDEX(T_Equipos[Grupo],MATCH(BD27,T_Equipos[NombreEquipo],0))))</f>
        <v>-</v>
      </c>
      <c r="DH27" s="768">
        <f ca="1">DA27+COUNTIFS(DB$6:DB$53,DB27,DG$6:DG$53,"&lt;"&amp;DG27,$BC$6:$BC$53,INDEX(T_Equipos[Grupo],MATCH(BD27,T_Equipos[NombreEquipo],0)))</f>
        <v>2</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Japón</v>
      </c>
      <c r="DR27" s="756"/>
      <c r="DS27" s="756"/>
      <c r="DT27" s="756" t="str">
        <f t="shared" si="15"/>
        <v>Casa-Fuera</v>
      </c>
      <c r="DU27" s="756"/>
      <c r="DV27" s="756"/>
      <c r="DW27" s="8"/>
    </row>
    <row r="28" spans="1:127" ht="15" customHeight="1" thickBot="1" x14ac:dyDescent="0.25">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v>
      </c>
      <c r="F28" s="756" t="str">
        <f t="shared" ref="F28:F33" ca="1" si="96">IF(D28="Pendiente","-",INDEX($BT$6:$BT$53,MATCH($AF28,$BD$6:$BD$53,0)))</f>
        <v>P.2 (2)</v>
      </c>
      <c r="G28" s="756"/>
      <c r="H28" s="756" t="str">
        <f t="shared" ref="H28:H33" ca="1" si="97">IF(D28="Pendiente","-",INDEX($BZ$6:$BZ$53,MATCH($AA28,$BD$6:$BD$53,0)))</f>
        <v>-</v>
      </c>
      <c r="I28" s="756" t="str">
        <f t="shared" ref="I28:I33" ca="1" si="98">IF(D28="Pendiente","-",INDEX($BZ$6:$BZ$53,MATCH($AF28,$BD$6:$BD$53,0)))</f>
        <v>P.2 (2)</v>
      </c>
      <c r="J28" s="756"/>
      <c r="K28" s="756" t="str">
        <f t="shared" ref="K28:K33" ca="1" si="99">IF(D28="Pendiente","-",INDEX($CE$6:$CE$53,MATCH($AA28,$BD$6:$BD$53,0)))</f>
        <v>-</v>
      </c>
      <c r="L28" s="756" t="str">
        <f t="shared" ref="L28:L33" ca="1" si="100">IF(D28="Pendiente","-",INDEX($CE$6:$CE$53,MATCH($AF28,$BD$6:$BD$53,0)))</f>
        <v>P.2 (2)</v>
      </c>
      <c r="M28" s="756"/>
      <c r="N28" s="756" t="str">
        <f t="shared" ref="N28:N33" ca="1" si="101">IF(D28="Pendiente","-",INDEX($CH$6:$CH$53,MATCH($AA28,$BD$6:$BD$53,0)))</f>
        <v>-</v>
      </c>
      <c r="O28" s="756" t="str">
        <f t="shared" ref="O28:O33" ca="1" si="102">IF(D28="Pendiente","-",INDEX($CH$6:$CH$53,MATCH($AF28,$BD$6:$BD$53,0)))</f>
        <v>P.2 (2)</v>
      </c>
      <c r="P28" s="756"/>
      <c r="Q28" s="756" t="str">
        <f t="shared" ref="Q28:Q33" ca="1" si="103">IF(D28="Pendiente","-",INDEX($CN$6:$CN$53,MATCH($AA28,$BD$6:$BD$53,0)))</f>
        <v>-</v>
      </c>
      <c r="R28" s="756" t="str">
        <f t="shared" ref="R28:R33" ca="1" si="104">IF(D28="Pendiente","-",INDEX($CN$6:$CN$53,MATCH($AF28,$BD$6:$BD$53,0)))</f>
        <v>P.2 (2)</v>
      </c>
      <c r="S28" s="756"/>
      <c r="T28" s="756" t="str">
        <f t="shared" ref="T28:T33" ca="1" si="105">IF(D28="Pendiente","-",INDEX($CS$6:$CS$53,MATCH($AA28,$BD$6:$BD$53,0)))</f>
        <v>-</v>
      </c>
      <c r="U28" s="756" t="str">
        <f t="shared" ref="U28:U33" ca="1" si="106">IF(D28="Pendiente","-",INDEX($CS$6:$CS$53,MATCH($AF28,$BD$6:$BD$53,0)))</f>
        <v>P.2 (2)</v>
      </c>
      <c r="V28" s="178"/>
      <c r="W28" s="817" t="s">
        <v>73</v>
      </c>
      <c r="X28" s="195">
        <f ca="1">Horarios!C28</f>
        <v>46186.125</v>
      </c>
      <c r="Y28" s="196">
        <f ca="1">Horarios!C28</f>
        <v>46186.125</v>
      </c>
      <c r="Z28" s="197" t="str">
        <f>$Z$4</f>
        <v>J1</v>
      </c>
      <c r="AA28" s="198" t="str">
        <f ca="1">A29</f>
        <v>Estados Unidos</v>
      </c>
      <c r="AB28" s="486" t="str" cm="1">
        <f t="array" aca="1" ref="AB28" ca="1">Ver_flag_local</f>
        <v>🇺🇸</v>
      </c>
      <c r="AC28" s="199">
        <v>4</v>
      </c>
      <c r="AD28" s="200">
        <v>1</v>
      </c>
      <c r="AE28" s="491" t="str" cm="1">
        <f t="array" aca="1" ref="AE28" ca="1">Ver_flag_visit</f>
        <v>🇵🇾</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4</v>
      </c>
      <c r="BF28" s="760">
        <f t="shared" ca="1" si="26"/>
        <v>3</v>
      </c>
      <c r="BG28" s="760">
        <f t="shared" ca="1" si="17"/>
        <v>1</v>
      </c>
      <c r="BH28" s="760">
        <f t="shared" ca="1" si="18"/>
        <v>1</v>
      </c>
      <c r="BI28" s="760">
        <f t="shared" ca="1" si="19"/>
        <v>1</v>
      </c>
      <c r="BJ28" s="760">
        <f t="shared" ca="1" si="20"/>
        <v>7</v>
      </c>
      <c r="BK28" s="760">
        <f t="shared" ca="1" si="21"/>
        <v>7</v>
      </c>
      <c r="BL28" s="760">
        <f t="shared" ca="1" si="27"/>
        <v>0</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4</v>
      </c>
      <c r="BS28" s="769">
        <f ca="1">BP28+COUNTIFS($BQ$6:$BQ$53,BQ28,$BR$6:BR$53,"&gt;"&amp;BR28,$BC$6:$BC$53,INDEX(T_Equipos[Grupo],MATCH(BD28,T_Equipos[NombreEquipo],0)))</f>
        <v>3</v>
      </c>
      <c r="BT28" s="769" t="str">
        <f ca="1">IF(COUNTIFS($BS$6:$BS$53,BS28,$BC$6:$BC$53,INDEX(T_Equipos[Grupo],MATCH(BD28,T_Equipos[NombreEquipo],0)))=1,"-","P."&amp;BS28&amp;" ("&amp;COUNTIFS($BS$6:$BS$53,BS28,$BC$6:$BC$53,INDEX(T_Equipos[Grupo],MATCH(BD28,T_Equipos[NombreEquipo],0)))&amp;")")</f>
        <v>-</v>
      </c>
      <c r="BU28" s="770" t="str">
        <f t="shared" ca="1" si="36"/>
        <v>-</v>
      </c>
      <c r="BV28" s="770" t="str">
        <f t="shared" ca="1" si="37"/>
        <v>-</v>
      </c>
      <c r="BW28" s="770" t="str">
        <f t="shared" ca="1" si="38"/>
        <v>-</v>
      </c>
      <c r="BX28" s="770" t="str">
        <f t="shared" ca="1" si="39"/>
        <v>-</v>
      </c>
      <c r="BY28" s="770">
        <f ca="1">BS28+COUNTIFS($BT$6:$BT$53,BT28,$BX$6:BX$53,"&gt;"&amp;BX28,$BC$6:$BC$53,INDEX(T_Equipos[Grupo],MATCH(BD28,T_Equipos[NombreEquipo],0)))</f>
        <v>3</v>
      </c>
      <c r="BZ28" s="769" t="str">
        <f ca="1">IF(COUNTIFS($BY$6:$BY$53,BY28,$BC$6:$BC$53,INDEX(T_Equipos[Grupo],MATCH(BD28,T_Equipos[NombreEquipo],0)))=1,"-","P."&amp;BY28&amp;" ("&amp;COUNTIFS($BY$6:$BY$53,BY28,$BC$6:$BC$53,INDEX(T_Equipos[Grupo],MATCH(BD28,T_Equipos[NombreEquipo],0)))&amp;")")</f>
        <v>-</v>
      </c>
      <c r="CA28" s="770" t="str">
        <f t="shared" ca="1" si="40"/>
        <v>-</v>
      </c>
      <c r="CB28" s="770" t="str">
        <f t="shared" ca="1" si="41"/>
        <v>-</v>
      </c>
      <c r="CC28" s="770" t="str">
        <f t="shared" ca="1" si="42"/>
        <v>-</v>
      </c>
      <c r="CD28" s="770">
        <f ca="1">BY28+COUNTIFS($BZ$6:$BZ$53,BZ28,$CC$6:CC$53,"&gt;"&amp;CC28,$BC$6:$BC$53,INDEX(T_Equipos[Grupo],MATCH(BD28,T_Equipos[NombreEquipo],0)))</f>
        <v>3</v>
      </c>
      <c r="CE28" s="769" t="str">
        <f ca="1">IF(COUNTIFS($CD$6:$CD$53,CD28,$BC$6:$BC$53,INDEX(T_Equipos[Grupo],MATCH(BD28,T_Equipos[NombreEquipo],0)))=1,"-","P."&amp;CD28&amp;" ("&amp;COUNTIFS($CD$6:$CD$53,CD28,$BC$6:$BC$53,INDEX(T_Equipos[Grupo],MATCH(BD28,T_Equipos[NombreEquipo],0)))&amp;")")</f>
        <v>-</v>
      </c>
      <c r="CF28" s="770" t="str">
        <f t="shared" ca="1" si="43"/>
        <v>-</v>
      </c>
      <c r="CG28" s="770">
        <f ca="1">CD28+COUNTIFS($CE$6:$CE$53,CE28,$CF$6:CF$53,"&gt;"&amp;CF28,$BC$6:$BC$53,INDEX(T_Equipos[Grupo],MATCH(BD28,T_Equipos[NombreEquipo],0)))</f>
        <v>3</v>
      </c>
      <c r="CH28" s="769" t="str">
        <f ca="1">IF(COUNTIFS($CG$6:$CG$53,CG28,$BC$6:$BC$53,INDEX(T_Equipos[Grupo],MATCH(BD28,T_Equipos[NombreEquipo],0)))=1,"-","P."&amp;CG28&amp;" ("&amp;COUNTIFS($CG$6:$CG$53,CG28,$BC$6:$BC$53,INDEX(T_Equipos[Grupo],MATCH(BD28,T_Equipos[NombreEquipo],0)))&amp;")")</f>
        <v>-</v>
      </c>
      <c r="CI28" s="770" t="str">
        <f t="shared" ca="1" si="44"/>
        <v>-</v>
      </c>
      <c r="CJ28" s="770" t="str">
        <f t="shared" ca="1" si="45"/>
        <v>-</v>
      </c>
      <c r="CK28" s="770" t="str">
        <f t="shared" ca="1" si="46"/>
        <v>-</v>
      </c>
      <c r="CL28" s="770" t="str">
        <f t="shared" ca="1" si="47"/>
        <v>-</v>
      </c>
      <c r="CM28" s="770">
        <f ca="1">CG28+COUNTIFS($CH$6:$CH$53,CH28,$CL$6:CL$53,"&gt;"&amp;CL28,$BC$6:$BC$53,INDEX(T_Equipos[Grupo],MATCH(BD28,T_Equipos[NombreEquipo],0)))</f>
        <v>3</v>
      </c>
      <c r="CN28" s="769" t="str">
        <f ca="1">IF(COUNTIFS($CM$6:$CM$53,CM28,$BC$6:$BC$53,INDEX(T_Equipos[Grupo],MATCH(BD28,T_Equipos[NombreEquipo],0)))=1,"-","P."&amp;CM28&amp;" ("&amp;COUNTIFS($CM$6:$CM$53,CM28,$BC$6:$BC$53,INDEX(T_Equipos[Grupo],MATCH(BD28,T_Equipos[NombreEquipo],0)))&amp;")")</f>
        <v>-</v>
      </c>
      <c r="CO28" s="770" t="str">
        <f t="shared" ca="1" si="48"/>
        <v>-</v>
      </c>
      <c r="CP28" s="770" t="str">
        <f t="shared" ca="1" si="49"/>
        <v>-</v>
      </c>
      <c r="CQ28" s="770" t="str">
        <f t="shared" ca="1" si="50"/>
        <v>-</v>
      </c>
      <c r="CR28" s="770">
        <f ca="1">CM28+COUNTIFS($CN$6:$CN$53,CN28,$CQ$6:CQ$53,"&gt;"&amp;CQ28,$BC$6:$BC$53,INDEX(T_Equipos[Grupo],MATCH(BD28,T_Equipos[NombreEquipo],0)))</f>
        <v>3</v>
      </c>
      <c r="CS28" s="769" t="str">
        <f ca="1">IF(COUNTIFS($CR$6:$CR$53,CR28,$BC$6:$BC$53,INDEX(T_Equipos[Grupo],MATCH(BD28,T_Equipos[NombreEquipo],0)))=1,"-","P."&amp;CR28&amp;" ("&amp;COUNTIFS($CR$6:$CR$53,CR28,$BC$6:$BC$53,INDEX(T_Equipos[Grupo],MATCH(BD28,T_Equipos[NombreEquipo],0)))&amp;")")</f>
        <v>-</v>
      </c>
      <c r="CT28" s="770" t="str">
        <f t="shared" ca="1" si="51"/>
        <v>-</v>
      </c>
      <c r="CU28" s="770">
        <f ca="1">CR28+COUNTIFS($CS$6:$CS$53,CS28,$CT$6:CT$53,"&gt;"&amp;CT28,$BC$6:$BC$53,INDEX(T_Equipos[Grupo],MATCH(BD28,T_Equipos[NombreEquipo],0)))</f>
        <v>3</v>
      </c>
      <c r="CV28" s="769" t="str">
        <f ca="1">IF(COUNTIFS($CU$6:$CU$53,CU28,$BC$6:$BC$53,INDEX(T_Equipos[Grupo],MATCH(BD28,T_Equipos[NombreEquipo],0)))=1,"-","P."&amp;CU28&amp;" ("&amp;COUNTIFS($CU$6:$CU$53,CU28,$BC$6:$BC$53,INDEX(T_Equipos[Grupo],MATCH(BD28,T_Equipos[NombreEquipo],0)))&amp;")")</f>
        <v>-</v>
      </c>
      <c r="CW28" s="769" t="str">
        <f t="shared" ca="1" si="30"/>
        <v>-</v>
      </c>
      <c r="CX28" s="769">
        <f ca="1">CU28+COUNTIFS($CV$6:$CV$53,CV28,$CW$6:CW$53,"&gt;"&amp;CW28,$BC$6:$BC$53,INDEX(T_Equipos[Grupo],MATCH(BD28,T_Equipos[NombreEquipo],0)))</f>
        <v>3</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3</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3</v>
      </c>
      <c r="DE28" s="768"/>
      <c r="DF28" s="768">
        <f t="shared" ca="1" si="52"/>
        <v>3</v>
      </c>
      <c r="DG28" s="768" t="str">
        <f ca="1">IF(DB28="-","-",COUNTIFS(DF$6:DF$53,"&lt;"&amp;DF28,$BC$6:$BC$53,INDEX(T_Equipos[Grupo],MATCH(BD28,T_Equipos[NombreEquipo],0))))</f>
        <v>-</v>
      </c>
      <c r="DH28" s="768">
        <f ca="1">DA28+COUNTIFS(DB$6:DB$53,DB28,DG$6:DG$53,"&lt;"&amp;DG28,$BC$6:$BC$53,INDEX(T_Equipos[Grupo],MATCH(BD28,T_Equipos[NombreEquipo],0)))</f>
        <v>3</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Suecia</v>
      </c>
      <c r="DR28" s="756"/>
      <c r="DS28" s="756"/>
      <c r="DT28" s="756" t="str">
        <f t="shared" ca="1" si="15"/>
        <v>Estados Unidos-Paraguay</v>
      </c>
      <c r="DU28" s="756"/>
      <c r="DV28" s="756"/>
      <c r="DW28" s="8"/>
    </row>
    <row r="29" spans="1:127" ht="16" customHeight="1" x14ac:dyDescent="0.2">
      <c r="A29" s="757" t="str">
        <f ca="1">+Equipos!B14</f>
        <v>Estados Unidos</v>
      </c>
      <c r="B29" s="754"/>
      <c r="C29" s="754"/>
      <c r="D29" s="756" t="str">
        <f t="shared" si="94"/>
        <v>Local</v>
      </c>
      <c r="E29" s="756" t="str">
        <f t="shared" ca="1" si="95"/>
        <v>P.2 (2)</v>
      </c>
      <c r="F29" s="756" t="str">
        <f t="shared" ca="1" si="96"/>
        <v>-</v>
      </c>
      <c r="G29" s="756"/>
      <c r="H29" s="756" t="str">
        <f t="shared" ca="1" si="97"/>
        <v>P.2 (2)</v>
      </c>
      <c r="I29" s="756" t="str">
        <f t="shared" ca="1" si="98"/>
        <v>-</v>
      </c>
      <c r="J29" s="756"/>
      <c r="K29" s="756" t="str">
        <f t="shared" ca="1" si="99"/>
        <v>P.2 (2)</v>
      </c>
      <c r="L29" s="756" t="str">
        <f t="shared" ca="1" si="100"/>
        <v>-</v>
      </c>
      <c r="M29" s="756"/>
      <c r="N29" s="756" t="str">
        <f t="shared" ca="1" si="101"/>
        <v>P.2 (2)</v>
      </c>
      <c r="O29" s="756" t="str">
        <f t="shared" ca="1" si="102"/>
        <v>-</v>
      </c>
      <c r="P29" s="756"/>
      <c r="Q29" s="756" t="str">
        <f t="shared" ca="1" si="103"/>
        <v>P.2 (2)</v>
      </c>
      <c r="R29" s="756" t="str">
        <f t="shared" ca="1" si="104"/>
        <v>-</v>
      </c>
      <c r="S29" s="756"/>
      <c r="T29" s="756" t="str">
        <f t="shared" ca="1" si="105"/>
        <v>P.2 (2)</v>
      </c>
      <c r="U29" s="756" t="str">
        <f t="shared" ca="1" si="106"/>
        <v>-</v>
      </c>
      <c r="V29" s="178"/>
      <c r="W29" s="817"/>
      <c r="X29" s="195">
        <f ca="1">Horarios!C29</f>
        <v>46187.25</v>
      </c>
      <c r="Y29" s="196">
        <f ca="1">Horarios!C29</f>
        <v>46187.25</v>
      </c>
      <c r="Z29" s="197" t="str">
        <f>$Z$4</f>
        <v>J1</v>
      </c>
      <c r="AA29" s="198" t="str">
        <f ca="1">A31</f>
        <v>Australia</v>
      </c>
      <c r="AB29" s="486" t="str" cm="1">
        <f t="array" aca="1" ref="AB29" ca="1">Ver_flag_local</f>
        <v>🇦🇺</v>
      </c>
      <c r="AC29" s="199">
        <v>2</v>
      </c>
      <c r="AD29" s="200">
        <v>0</v>
      </c>
      <c r="AE29" s="491" t="str" cm="1">
        <f t="array" aca="1" ref="AE29" ca="1">Ver_flag_visit</f>
        <v>🇹🇷</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2</v>
      </c>
      <c r="BK29" s="760">
        <f t="shared" ca="1" si="21"/>
        <v>12</v>
      </c>
      <c r="BL29" s="760">
        <f t="shared" ca="1" si="27"/>
        <v>-10</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6" customHeight="1" x14ac:dyDescent="0.2">
      <c r="A30" s="757" t="str">
        <f ca="1">+Equipos!B15</f>
        <v>Paraguay</v>
      </c>
      <c r="B30" s="754"/>
      <c r="C30" s="758"/>
      <c r="D30" s="756" t="str">
        <f t="shared" si="94"/>
        <v>Local</v>
      </c>
      <c r="E30" s="756" t="str">
        <f t="shared" ca="1" si="95"/>
        <v>-</v>
      </c>
      <c r="F30" s="756" t="str">
        <f t="shared" ca="1" si="96"/>
        <v>P.2 (2)</v>
      </c>
      <c r="G30" s="756"/>
      <c r="H30" s="756" t="str">
        <f t="shared" ca="1" si="97"/>
        <v>-</v>
      </c>
      <c r="I30" s="756" t="str">
        <f t="shared" ca="1" si="98"/>
        <v>P.2 (2)</v>
      </c>
      <c r="J30" s="756"/>
      <c r="K30" s="756" t="str">
        <f t="shared" ca="1" si="99"/>
        <v>-</v>
      </c>
      <c r="L30" s="756" t="str">
        <f t="shared" ca="1" si="100"/>
        <v>P.2 (2)</v>
      </c>
      <c r="M30" s="756"/>
      <c r="N30" s="756" t="str">
        <f t="shared" ca="1" si="101"/>
        <v>-</v>
      </c>
      <c r="O30" s="756" t="str">
        <f t="shared" ca="1" si="102"/>
        <v>P.2 (2)</v>
      </c>
      <c r="P30" s="756"/>
      <c r="Q30" s="756" t="str">
        <f t="shared" ca="1" si="103"/>
        <v>-</v>
      </c>
      <c r="R30" s="756" t="str">
        <f t="shared" ca="1" si="104"/>
        <v>P.2 (2)</v>
      </c>
      <c r="S30" s="756"/>
      <c r="T30" s="756" t="str">
        <f t="shared" ca="1" si="105"/>
        <v>-</v>
      </c>
      <c r="U30" s="756" t="str">
        <f t="shared" ca="1" si="106"/>
        <v>P.2 (2)</v>
      </c>
      <c r="V30" s="178"/>
      <c r="W30" s="817"/>
      <c r="X30" s="195">
        <f ca="1">Horarios!C30</f>
        <v>46192.875</v>
      </c>
      <c r="Y30" s="196">
        <f ca="1">Horarios!C30</f>
        <v>46192.875</v>
      </c>
      <c r="Z30" s="197" t="str">
        <f>$Z$6</f>
        <v>J2</v>
      </c>
      <c r="AA30" s="198" t="str">
        <f ca="1">A29</f>
        <v>Estados Unidos</v>
      </c>
      <c r="AB30" s="486" t="str" cm="1">
        <f t="array" aca="1" ref="AB30" ca="1">Ver_flag_local</f>
        <v>🇺🇸</v>
      </c>
      <c r="AC30" s="199">
        <v>2</v>
      </c>
      <c r="AD30" s="200">
        <v>0</v>
      </c>
      <c r="AE30" s="491" t="str" cm="1">
        <f t="array" aca="1" ref="AE30" ca="1">Ver_flag_visit</f>
        <v>🇦🇺</v>
      </c>
      <c r="AF30" s="201" t="str">
        <f ca="1">A31</f>
        <v>Australia</v>
      </c>
      <c r="AG30" s="421">
        <f t="shared" si="107"/>
        <v>1</v>
      </c>
      <c r="AH30" s="202">
        <v>32</v>
      </c>
      <c r="AI30" s="19" t="str">
        <f>AJ30&amp;$B$28</f>
        <v>1D</v>
      </c>
      <c r="AJ30" s="217">
        <v>1</v>
      </c>
      <c r="AK30" s="496" t="str" cm="1">
        <f t="array" aca="1" ref="AK30" ca="1">Ver_flag_visit</f>
        <v>🇺🇸</v>
      </c>
      <c r="AL30" s="218" t="str">
        <f ca="1">IFERROR(INDEX($BD$6:$BD$53,MATCH(AI30,$BN$6:$BN$53,0)),"")</f>
        <v>Estados Unidos</v>
      </c>
      <c r="AM30" s="219">
        <f t="shared" ref="AM30:AT33" ca="1" si="111">INDEX($BE$6:$BN$53,MATCH($AL30,$BD$6:$BD$53,0),MATCH(AM$5,$BE$5:$BN$5,0))</f>
        <v>6</v>
      </c>
      <c r="AN30" s="220">
        <f t="shared" ca="1" si="111"/>
        <v>3</v>
      </c>
      <c r="AO30" s="220">
        <f t="shared" ca="1" si="111"/>
        <v>2</v>
      </c>
      <c r="AP30" s="220">
        <f t="shared" ca="1" si="111"/>
        <v>0</v>
      </c>
      <c r="AQ30" s="220">
        <f t="shared" ca="1" si="111"/>
        <v>1</v>
      </c>
      <c r="AR30" s="220">
        <f t="shared" ca="1" si="111"/>
        <v>8</v>
      </c>
      <c r="AS30" s="220">
        <f t="shared" ca="1" si="111"/>
        <v>4</v>
      </c>
      <c r="AT30" s="221">
        <f t="shared" ca="1" si="111"/>
        <v>4</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5</v>
      </c>
      <c r="BF30" s="760">
        <f t="shared" ca="1" si="26"/>
        <v>3</v>
      </c>
      <c r="BG30" s="760">
        <f t="shared" ca="1" si="17"/>
        <v>1</v>
      </c>
      <c r="BH30" s="760">
        <f t="shared" ca="1" si="18"/>
        <v>2</v>
      </c>
      <c r="BI30" s="760">
        <f t="shared" ca="1" si="19"/>
        <v>0</v>
      </c>
      <c r="BJ30" s="760">
        <f t="shared" ca="1" si="20"/>
        <v>6</v>
      </c>
      <c r="BK30" s="760">
        <f t="shared" ca="1" si="21"/>
        <v>2</v>
      </c>
      <c r="BL30" s="760">
        <f t="shared" ca="1" si="27"/>
        <v>4</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5</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P.1 (2)</v>
      </c>
      <c r="BU30" s="770">
        <f t="shared" ca="1" si="36"/>
        <v>0</v>
      </c>
      <c r="BV30" s="770">
        <f t="shared" ca="1" si="37"/>
        <v>1</v>
      </c>
      <c r="BW30" s="770">
        <f t="shared" ca="1" si="38"/>
        <v>0</v>
      </c>
      <c r="BX30" s="770">
        <f t="shared" ca="1" si="39"/>
        <v>1</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P.1 (2)</v>
      </c>
      <c r="CA30" s="770">
        <f t="shared" ca="1" si="40"/>
        <v>1</v>
      </c>
      <c r="CB30" s="770">
        <f t="shared" ca="1" si="41"/>
        <v>1</v>
      </c>
      <c r="CC30" s="770">
        <f t="shared" ca="1" si="42"/>
        <v>0</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P.1 (2)</v>
      </c>
      <c r="CF30" s="770">
        <f t="shared" ca="1" si="43"/>
        <v>1</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P.1 (2)</v>
      </c>
      <c r="CI30" s="770">
        <f t="shared" ca="1" si="44"/>
        <v>0</v>
      </c>
      <c r="CJ30" s="770">
        <f t="shared" ca="1" si="45"/>
        <v>1</v>
      </c>
      <c r="CK30" s="770">
        <f t="shared" ca="1" si="46"/>
        <v>0</v>
      </c>
      <c r="CL30" s="770">
        <f t="shared" ca="1" si="47"/>
        <v>1</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P.1 (2)</v>
      </c>
      <c r="CO30" s="770">
        <f t="shared" ca="1" si="48"/>
        <v>1</v>
      </c>
      <c r="CP30" s="770">
        <f t="shared" ca="1" si="49"/>
        <v>1</v>
      </c>
      <c r="CQ30" s="770">
        <f t="shared" ca="1" si="50"/>
        <v>0</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P.1 (2)</v>
      </c>
      <c r="CT30" s="770">
        <f t="shared" ca="1" si="51"/>
        <v>1</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P.1 (2)</v>
      </c>
      <c r="CW30" s="769">
        <f t="shared" ca="1" si="30"/>
        <v>4</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 customHeight="1" x14ac:dyDescent="0.2">
      <c r="A31" s="757" t="str">
        <f ca="1">+Equipos!B16</f>
        <v>Australia</v>
      </c>
      <c r="B31" s="754"/>
      <c r="C31" s="756"/>
      <c r="D31" s="756" t="str">
        <f t="shared" si="94"/>
        <v>Visitante</v>
      </c>
      <c r="E31" s="756" t="str">
        <f t="shared" ca="1" si="95"/>
        <v>-</v>
      </c>
      <c r="F31" s="756" t="str">
        <f t="shared" ca="1" si="96"/>
        <v>P.2 (2)</v>
      </c>
      <c r="G31" s="756"/>
      <c r="H31" s="756" t="str">
        <f t="shared" ca="1" si="97"/>
        <v>-</v>
      </c>
      <c r="I31" s="756" t="str">
        <f t="shared" ca="1" si="98"/>
        <v>P.2 (2)</v>
      </c>
      <c r="J31" s="756"/>
      <c r="K31" s="756" t="str">
        <f t="shared" ca="1" si="99"/>
        <v>-</v>
      </c>
      <c r="L31" s="756" t="str">
        <f t="shared" ca="1" si="100"/>
        <v>P.2 (2)</v>
      </c>
      <c r="M31" s="756"/>
      <c r="N31" s="756" t="str">
        <f t="shared" ca="1" si="101"/>
        <v>-</v>
      </c>
      <c r="O31" s="756" t="str">
        <f t="shared" ca="1" si="102"/>
        <v>P.2 (2)</v>
      </c>
      <c r="P31" s="756"/>
      <c r="Q31" s="756" t="str">
        <f t="shared" ca="1" si="103"/>
        <v>-</v>
      </c>
      <c r="R31" s="756" t="str">
        <f t="shared" ca="1" si="104"/>
        <v>P.2 (2)</v>
      </c>
      <c r="S31" s="756"/>
      <c r="T31" s="756" t="str">
        <f t="shared" ca="1" si="105"/>
        <v>-</v>
      </c>
      <c r="U31" s="756" t="str">
        <f t="shared" ca="1" si="106"/>
        <v>P.2 (2)</v>
      </c>
      <c r="V31" s="178"/>
      <c r="W31" s="817"/>
      <c r="X31" s="195">
        <f ca="1">Horarios!C31</f>
        <v>46193.208333333336</v>
      </c>
      <c r="Y31" s="196">
        <f ca="1">Horarios!C31</f>
        <v>46193.208333333336</v>
      </c>
      <c r="Z31" s="197" t="str">
        <f>$Z$6</f>
        <v>J2</v>
      </c>
      <c r="AA31" s="198" t="str">
        <f ca="1">A32</f>
        <v>Turquía</v>
      </c>
      <c r="AB31" s="486" t="str" cm="1">
        <f t="array" aca="1" ref="AB31" ca="1">Ver_flag_local</f>
        <v>🇹🇷</v>
      </c>
      <c r="AC31" s="199">
        <v>0</v>
      </c>
      <c r="AD31" s="200">
        <v>1</v>
      </c>
      <c r="AE31" s="491" t="str" cm="1">
        <f t="array" aca="1" ref="AE31" ca="1">Ver_flag_visit</f>
        <v>🇵🇾</v>
      </c>
      <c r="AF31" s="201" t="str">
        <f ca="1">A30</f>
        <v>Paraguay</v>
      </c>
      <c r="AG31" s="421">
        <f t="shared" si="107"/>
        <v>1</v>
      </c>
      <c r="AH31" s="202">
        <v>31</v>
      </c>
      <c r="AI31" s="19" t="str">
        <f t="shared" ref="AI31:AI33" si="112">AJ31&amp;$B$28</f>
        <v>2D</v>
      </c>
      <c r="AJ31" s="227">
        <v>2</v>
      </c>
      <c r="AK31" s="494" t="str" cm="1">
        <f t="array" aca="1" ref="AK31" ca="1">Ver_flag_visit</f>
        <v>🇦🇺</v>
      </c>
      <c r="AL31" s="228" t="str">
        <f ca="1">IFERROR(INDEX($BD$6:$BD$53,MATCH(AI31,$BN$6:$BN$53,0)),"")</f>
        <v>Australia</v>
      </c>
      <c r="AM31" s="229">
        <f t="shared" ca="1" si="111"/>
        <v>4</v>
      </c>
      <c r="AN31" s="230">
        <f t="shared" ca="1" si="111"/>
        <v>3</v>
      </c>
      <c r="AO31" s="230">
        <f t="shared" ca="1" si="111"/>
        <v>1</v>
      </c>
      <c r="AP31" s="230">
        <f t="shared" ca="1" si="111"/>
        <v>1</v>
      </c>
      <c r="AQ31" s="230">
        <f t="shared" ca="1" si="111"/>
        <v>1</v>
      </c>
      <c r="AR31" s="230">
        <f t="shared" ca="1" si="111"/>
        <v>2</v>
      </c>
      <c r="AS31" s="230">
        <f t="shared" ca="1" si="111"/>
        <v>2</v>
      </c>
      <c r="AT31" s="231">
        <f t="shared" ca="1" si="111"/>
        <v>0</v>
      </c>
      <c r="AU31" s="428">
        <f ca="1">INDEX($DL$6:$DL$53,MATCH(AI31,$DP$6:$DP$53,0))</f>
        <v>1</v>
      </c>
      <c r="AV31" s="223" t="str">
        <f ca="1">INDEX($BD$6:$BD$53,MATCH(AI31,$BM$6:$BM$53,0))</f>
        <v>Australia</v>
      </c>
      <c r="AW31" s="435"/>
      <c r="AX31" s="224"/>
      <c r="AY31" s="232" t="str">
        <f ca="1">+A30</f>
        <v>Paraguay</v>
      </c>
      <c r="AZ31" s="233"/>
      <c r="BA31" s="181"/>
      <c r="BB31" s="756"/>
      <c r="BC31" s="768" t="str">
        <f ca="1">+INDEX(T_Equipos[Grupo],MATCH(WORLDCUP!BD31,T_Equipos[NombreEquipo],0))</f>
        <v>G</v>
      </c>
      <c r="BD31" s="756" t="str">
        <f ca="1">+Equipos!B27</f>
        <v>Egipto</v>
      </c>
      <c r="BE31" s="760">
        <f t="shared" ca="1" si="25"/>
        <v>5</v>
      </c>
      <c r="BF31" s="760">
        <f t="shared" ca="1" si="26"/>
        <v>3</v>
      </c>
      <c r="BG31" s="760">
        <f t="shared" ca="1" si="17"/>
        <v>1</v>
      </c>
      <c r="BH31" s="760">
        <f t="shared" ca="1" si="18"/>
        <v>2</v>
      </c>
      <c r="BI31" s="760">
        <f t="shared" ca="1" si="19"/>
        <v>0</v>
      </c>
      <c r="BJ31" s="760">
        <f t="shared" ca="1" si="20"/>
        <v>5</v>
      </c>
      <c r="BK31" s="760">
        <f t="shared" ca="1" si="21"/>
        <v>3</v>
      </c>
      <c r="BL31" s="760">
        <f t="shared" ca="1" si="27"/>
        <v>2</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5</v>
      </c>
      <c r="BS31" s="769">
        <f ca="1">BP31+COUNTIFS($BQ$6:$BQ$53,BQ31,$BR$6:BR$53,"&gt;"&amp;BR31,$BC$6:$BC$53,INDEX(T_Equipos[Grupo],MATCH(BD31,T_Equipos[NombreEquipo],0)))</f>
        <v>1</v>
      </c>
      <c r="BT31" s="769" t="str">
        <f ca="1">IF(COUNTIFS($BS$6:$BS$53,BS31,$BC$6:$BC$53,INDEX(T_Equipos[Grupo],MATCH(BD31,T_Equipos[NombreEquipo],0)))=1,"-","P."&amp;BS31&amp;" ("&amp;COUNTIFS($BS$6:$BS$53,BS31,$BC$6:$BC$53,INDEX(T_Equipos[Grupo],MATCH(BD31,T_Equipos[NombreEquipo],0)))&amp;")")</f>
        <v>P.1 (2)</v>
      </c>
      <c r="BU31" s="770">
        <f t="shared" ca="1" si="36"/>
        <v>0</v>
      </c>
      <c r="BV31" s="770">
        <f t="shared" ca="1" si="37"/>
        <v>1</v>
      </c>
      <c r="BW31" s="770">
        <f t="shared" ca="1" si="38"/>
        <v>0</v>
      </c>
      <c r="BX31" s="770">
        <f t="shared" ca="1" si="39"/>
        <v>1</v>
      </c>
      <c r="BY31" s="770">
        <f ca="1">BS31+COUNTIFS($BT$6:$BT$53,BT31,$BX$6:BX$53,"&gt;"&amp;BX31,$BC$6:$BC$53,INDEX(T_Equipos[Grupo],MATCH(BD31,T_Equipos[NombreEquipo],0)))</f>
        <v>1</v>
      </c>
      <c r="BZ31" s="769" t="str">
        <f ca="1">IF(COUNTIFS($BY$6:$BY$53,BY31,$BC$6:$BC$53,INDEX(T_Equipos[Grupo],MATCH(BD31,T_Equipos[NombreEquipo],0)))=1,"-","P."&amp;BY31&amp;" ("&amp;COUNTIFS($BY$6:$BY$53,BY31,$BC$6:$BC$53,INDEX(T_Equipos[Grupo],MATCH(BD31,T_Equipos[NombreEquipo],0)))&amp;")")</f>
        <v>P.1 (2)</v>
      </c>
      <c r="CA31" s="770">
        <f t="shared" ca="1" si="40"/>
        <v>1</v>
      </c>
      <c r="CB31" s="770">
        <f t="shared" ca="1" si="41"/>
        <v>1</v>
      </c>
      <c r="CC31" s="770">
        <f t="shared" ca="1" si="42"/>
        <v>0</v>
      </c>
      <c r="CD31" s="770">
        <f ca="1">BY31+COUNTIFS($BZ$6:$BZ$53,BZ31,$CC$6:CC$53,"&gt;"&amp;CC31,$BC$6:$BC$53,INDEX(T_Equipos[Grupo],MATCH(BD31,T_Equipos[NombreEquipo],0)))</f>
        <v>1</v>
      </c>
      <c r="CE31" s="769" t="str">
        <f ca="1">IF(COUNTIFS($CD$6:$CD$53,CD31,$BC$6:$BC$53,INDEX(T_Equipos[Grupo],MATCH(BD31,T_Equipos[NombreEquipo],0)))=1,"-","P."&amp;CD31&amp;" ("&amp;COUNTIFS($CD$6:$CD$53,CD31,$BC$6:$BC$53,INDEX(T_Equipos[Grupo],MATCH(BD31,T_Equipos[NombreEquipo],0)))&amp;")")</f>
        <v>P.1 (2)</v>
      </c>
      <c r="CF31" s="770">
        <f t="shared" ca="1" si="43"/>
        <v>1</v>
      </c>
      <c r="CG31" s="770">
        <f ca="1">CD31+COUNTIFS($CE$6:$CE$53,CE31,$CF$6:CF$53,"&gt;"&amp;CF31,$BC$6:$BC$53,INDEX(T_Equipos[Grupo],MATCH(BD31,T_Equipos[NombreEquipo],0)))</f>
        <v>1</v>
      </c>
      <c r="CH31" s="769" t="str">
        <f ca="1">IF(COUNTIFS($CG$6:$CG$53,CG31,$BC$6:$BC$53,INDEX(T_Equipos[Grupo],MATCH(BD31,T_Equipos[NombreEquipo],0)))=1,"-","P."&amp;CG31&amp;" ("&amp;COUNTIFS($CG$6:$CG$53,CG31,$BC$6:$BC$53,INDEX(T_Equipos[Grupo],MATCH(BD31,T_Equipos[NombreEquipo],0)))&amp;")")</f>
        <v>P.1 (2)</v>
      </c>
      <c r="CI31" s="770">
        <f t="shared" ca="1" si="44"/>
        <v>0</v>
      </c>
      <c r="CJ31" s="770">
        <f t="shared" ca="1" si="45"/>
        <v>1</v>
      </c>
      <c r="CK31" s="770">
        <f t="shared" ca="1" si="46"/>
        <v>0</v>
      </c>
      <c r="CL31" s="770">
        <f t="shared" ca="1" si="47"/>
        <v>1</v>
      </c>
      <c r="CM31" s="770">
        <f ca="1">CG31+COUNTIFS($CH$6:$CH$53,CH31,$CL$6:CL$53,"&gt;"&amp;CL31,$BC$6:$BC$53,INDEX(T_Equipos[Grupo],MATCH(BD31,T_Equipos[NombreEquipo],0)))</f>
        <v>1</v>
      </c>
      <c r="CN31" s="769" t="str">
        <f ca="1">IF(COUNTIFS($CM$6:$CM$53,CM31,$BC$6:$BC$53,INDEX(T_Equipos[Grupo],MATCH(BD31,T_Equipos[NombreEquipo],0)))=1,"-","P."&amp;CM31&amp;" ("&amp;COUNTIFS($CM$6:$CM$53,CM31,$BC$6:$BC$53,INDEX(T_Equipos[Grupo],MATCH(BD31,T_Equipos[NombreEquipo],0)))&amp;")")</f>
        <v>P.1 (2)</v>
      </c>
      <c r="CO31" s="770">
        <f t="shared" ca="1" si="48"/>
        <v>1</v>
      </c>
      <c r="CP31" s="770">
        <f t="shared" ca="1" si="49"/>
        <v>1</v>
      </c>
      <c r="CQ31" s="770">
        <f t="shared" ca="1" si="50"/>
        <v>0</v>
      </c>
      <c r="CR31" s="770">
        <f ca="1">CM31+COUNTIFS($CN$6:$CN$53,CN31,$CQ$6:CQ$53,"&gt;"&amp;CQ31,$BC$6:$BC$53,INDEX(T_Equipos[Grupo],MATCH(BD31,T_Equipos[NombreEquipo],0)))</f>
        <v>1</v>
      </c>
      <c r="CS31" s="769" t="str">
        <f ca="1">IF(COUNTIFS($CR$6:$CR$53,CR31,$BC$6:$BC$53,INDEX(T_Equipos[Grupo],MATCH(BD31,T_Equipos[NombreEquipo],0)))=1,"-","P."&amp;CR31&amp;" ("&amp;COUNTIFS($CR$6:$CR$53,CR31,$BC$6:$BC$53,INDEX(T_Equipos[Grupo],MATCH(BD31,T_Equipos[NombreEquipo],0)))&amp;")")</f>
        <v>P.1 (2)</v>
      </c>
      <c r="CT31" s="770">
        <f t="shared" ca="1" si="51"/>
        <v>1</v>
      </c>
      <c r="CU31" s="770">
        <f ca="1">CR31+COUNTIFS($CS$6:$CS$53,CS31,$CT$6:CT$53,"&gt;"&amp;CT31,$BC$6:$BC$53,INDEX(T_Equipos[Grupo],MATCH(BD31,T_Equipos[NombreEquipo],0)))</f>
        <v>1</v>
      </c>
      <c r="CV31" s="769" t="str">
        <f ca="1">IF(COUNTIFS($CU$6:$CU$53,CU31,$BC$6:$BC$53,INDEX(T_Equipos[Grupo],MATCH(BD31,T_Equipos[NombreEquipo],0)))=1,"-","P."&amp;CU31&amp;" ("&amp;COUNTIFS($CU$6:$CU$53,CU31,$BC$6:$BC$53,INDEX(T_Equipos[Grupo],MATCH(BD31,T_Equipos[NombreEquipo],0)))&amp;")")</f>
        <v>P.1 (2)</v>
      </c>
      <c r="CW31" s="769">
        <f t="shared" ca="1" si="30"/>
        <v>2</v>
      </c>
      <c r="CX31" s="769">
        <f ca="1">CU31+COUNTIFS($CV$6:$CV$53,CV31,$CW$6:CW$53,"&gt;"&amp;CW31,$BC$6:$BC$53,INDEX(T_Equipos[Grupo],MATCH(BD31,T_Equipos[NombreEquipo],0)))</f>
        <v>2</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2</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2</v>
      </c>
      <c r="DE31" s="768"/>
      <c r="DF31" s="768">
        <f t="shared" ca="1" si="52"/>
        <v>2</v>
      </c>
      <c r="DG31" s="768" t="str">
        <f ca="1">IF(DB31="-","-",COUNTIFS(DF$6:DF$53,"&lt;"&amp;DF31,$BC$6:$BC$53,INDEX(T_Equipos[Grupo],MATCH(BD31,T_Equipos[NombreEquipo],0))))</f>
        <v>-</v>
      </c>
      <c r="DH31" s="768">
        <f ca="1">DA31+COUNTIFS(DB$6:DB$53,DB31,DG$6:DG$53,"&lt;"&amp;DG31,$BC$6:$BC$53,INDEX(T_Equipos[Grupo],MATCH(BD31,T_Equipos[NombreEquipo],0)))</f>
        <v>2</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Egipto</v>
      </c>
      <c r="DR31" s="756"/>
      <c r="DS31" s="756"/>
      <c r="DT31" s="756" t="str">
        <f t="shared" ca="1" si="15"/>
        <v>Turquía-Paraguay</v>
      </c>
      <c r="DU31" s="756"/>
      <c r="DV31" s="756"/>
      <c r="DW31" s="8"/>
    </row>
    <row r="32" spans="1:127" ht="16" customHeight="1" x14ac:dyDescent="0.2">
      <c r="A32" s="757" t="str">
        <f ca="1">+Equipos!B17</f>
        <v>Turquía</v>
      </c>
      <c r="B32" s="754"/>
      <c r="C32" s="756"/>
      <c r="D32" s="756" t="str">
        <f t="shared" si="94"/>
        <v>Local</v>
      </c>
      <c r="E32" s="756" t="str">
        <f t="shared" ca="1" si="95"/>
        <v>-</v>
      </c>
      <c r="F32" s="756" t="str">
        <f t="shared" ca="1" si="96"/>
        <v>-</v>
      </c>
      <c r="G32" s="756"/>
      <c r="H32" s="756" t="str">
        <f t="shared" ca="1" si="97"/>
        <v>-</v>
      </c>
      <c r="I32" s="756" t="str">
        <f t="shared" ca="1" si="98"/>
        <v>-</v>
      </c>
      <c r="J32" s="756"/>
      <c r="K32" s="756" t="str">
        <f t="shared" ca="1" si="99"/>
        <v>-</v>
      </c>
      <c r="L32" s="756" t="str">
        <f t="shared" ca="1" si="100"/>
        <v>-</v>
      </c>
      <c r="M32" s="756"/>
      <c r="N32" s="756" t="str">
        <f t="shared" ca="1" si="101"/>
        <v>-</v>
      </c>
      <c r="O32" s="756" t="str">
        <f t="shared" ca="1" si="102"/>
        <v>-</v>
      </c>
      <c r="P32" s="756"/>
      <c r="Q32" s="756" t="str">
        <f t="shared" ca="1" si="103"/>
        <v>-</v>
      </c>
      <c r="R32" s="756" t="str">
        <f t="shared" ca="1" si="104"/>
        <v>-</v>
      </c>
      <c r="S32" s="756"/>
      <c r="T32" s="756" t="str">
        <f t="shared" ca="1" si="105"/>
        <v>-</v>
      </c>
      <c r="U32" s="756" t="str">
        <f t="shared" ca="1" si="106"/>
        <v>-</v>
      </c>
      <c r="V32" s="178"/>
      <c r="W32" s="817"/>
      <c r="X32" s="195">
        <f ca="1">Horarios!C32</f>
        <v>46199.166666666664</v>
      </c>
      <c r="Y32" s="196">
        <f ca="1">Horarios!C32</f>
        <v>46199.166666666664</v>
      </c>
      <c r="Z32" s="197" t="str">
        <f>$Z$8</f>
        <v>J3</v>
      </c>
      <c r="AA32" s="198" t="str">
        <f ca="1">A32</f>
        <v>Turquía</v>
      </c>
      <c r="AB32" s="486" t="str" cm="1">
        <f t="array" aca="1" ref="AB32" ca="1">Ver_flag_local</f>
        <v>🇹🇷</v>
      </c>
      <c r="AC32" s="199">
        <v>3</v>
      </c>
      <c r="AD32" s="200">
        <v>2</v>
      </c>
      <c r="AE32" s="491" t="str" cm="1">
        <f t="array" aca="1" ref="AE32" ca="1">Ver_flag_visit</f>
        <v>🇺🇸</v>
      </c>
      <c r="AF32" s="201" t="str">
        <f ca="1">A29</f>
        <v>Estados Unidos</v>
      </c>
      <c r="AG32" s="421">
        <f t="shared" si="107"/>
        <v>1</v>
      </c>
      <c r="AH32" s="202">
        <v>59</v>
      </c>
      <c r="AI32" s="19" t="str">
        <f t="shared" si="112"/>
        <v>3D</v>
      </c>
      <c r="AJ32" s="227">
        <v>3</v>
      </c>
      <c r="AK32" s="494" t="str" cm="1">
        <f t="array" aca="1" ref="AK32" ca="1">Ver_flag_visit</f>
        <v>🇵🇾</v>
      </c>
      <c r="AL32" s="228" t="str">
        <f ca="1">IFERROR(INDEX($BD$6:$BD$53,MATCH(AI32,$BN$6:$BN$53,0)),"")</f>
        <v>Paraguay</v>
      </c>
      <c r="AM32" s="229">
        <f t="shared" ca="1" si="111"/>
        <v>4</v>
      </c>
      <c r="AN32" s="230">
        <f t="shared" ca="1" si="111"/>
        <v>3</v>
      </c>
      <c r="AO32" s="230">
        <f t="shared" ca="1" si="111"/>
        <v>1</v>
      </c>
      <c r="AP32" s="230">
        <f t="shared" ca="1" si="111"/>
        <v>1</v>
      </c>
      <c r="AQ32" s="230">
        <f t="shared" ca="1" si="111"/>
        <v>1</v>
      </c>
      <c r="AR32" s="230">
        <f t="shared" ca="1" si="111"/>
        <v>2</v>
      </c>
      <c r="AS32" s="230">
        <f t="shared" ca="1" si="111"/>
        <v>4</v>
      </c>
      <c r="AT32" s="231">
        <f t="shared" ca="1" si="111"/>
        <v>-2</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3</v>
      </c>
      <c r="BF32" s="760">
        <f t="shared" ca="1" si="26"/>
        <v>3</v>
      </c>
      <c r="BG32" s="760">
        <f t="shared" ca="1" si="17"/>
        <v>0</v>
      </c>
      <c r="BH32" s="760">
        <f t="shared" ca="1" si="18"/>
        <v>3</v>
      </c>
      <c r="BI32" s="760">
        <f t="shared" ca="1" si="19"/>
        <v>0</v>
      </c>
      <c r="BJ32" s="760">
        <f t="shared" ca="1" si="20"/>
        <v>3</v>
      </c>
      <c r="BK32" s="760">
        <f t="shared" ca="1" si="21"/>
        <v>3</v>
      </c>
      <c r="BL32" s="760">
        <f t="shared" ca="1" si="27"/>
        <v>0</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3</v>
      </c>
      <c r="BS32" s="769">
        <f ca="1">BP32+COUNTIFS($BQ$6:$BQ$53,BQ32,$BR$6:BR$53,"&gt;"&amp;BR32,$BC$6:$BC$53,INDEX(T_Equipos[Grupo],MATCH(BD32,T_Equipos[NombreEquipo],0)))</f>
        <v>3</v>
      </c>
      <c r="BT32" s="769" t="str">
        <f ca="1">IF(COUNTIFS($BS$6:$BS$53,BS32,$BC$6:$BC$53,INDEX(T_Equipos[Grupo],MATCH(BD32,T_Equipos[NombreEquipo],0)))=1,"-","P."&amp;BS32&amp;" ("&amp;COUNTIFS($BS$6:$BS$53,BS32,$BC$6:$BC$53,INDEX(T_Equipos[Grupo],MATCH(BD32,T_Equipos[NombreEquipo],0)))&amp;")")</f>
        <v>-</v>
      </c>
      <c r="BU32" s="770" t="str">
        <f t="shared" ca="1" si="36"/>
        <v>-</v>
      </c>
      <c r="BV32" s="770" t="str">
        <f t="shared" ca="1" si="37"/>
        <v>-</v>
      </c>
      <c r="BW32" s="770" t="str">
        <f t="shared" ca="1" si="38"/>
        <v>-</v>
      </c>
      <c r="BX32" s="770" t="str">
        <f t="shared" ca="1" si="39"/>
        <v>-</v>
      </c>
      <c r="BY32" s="770">
        <f ca="1">BS32+COUNTIFS($BT$6:$BT$53,BT32,$BX$6:BX$53,"&gt;"&amp;BX32,$BC$6:$BC$53,INDEX(T_Equipos[Grupo],MATCH(BD32,T_Equipos[NombreEquipo],0)))</f>
        <v>3</v>
      </c>
      <c r="BZ32" s="769" t="str">
        <f ca="1">IF(COUNTIFS($BY$6:$BY$53,BY32,$BC$6:$BC$53,INDEX(T_Equipos[Grupo],MATCH(BD32,T_Equipos[NombreEquipo],0)))=1,"-","P."&amp;BY32&amp;" ("&amp;COUNTIFS($BY$6:$BY$53,BY32,$BC$6:$BC$53,INDEX(T_Equipos[Grupo],MATCH(BD32,T_Equipos[NombreEquipo],0)))&amp;")")</f>
        <v>-</v>
      </c>
      <c r="CA32" s="770" t="str">
        <f t="shared" ca="1" si="40"/>
        <v>-</v>
      </c>
      <c r="CB32" s="770" t="str">
        <f t="shared" ca="1" si="41"/>
        <v>-</v>
      </c>
      <c r="CC32" s="770" t="str">
        <f t="shared" ca="1" si="42"/>
        <v>-</v>
      </c>
      <c r="CD32" s="770">
        <f ca="1">BY32+COUNTIFS($BZ$6:$BZ$53,BZ32,$CC$6:CC$53,"&gt;"&amp;CC32,$BC$6:$BC$53,INDEX(T_Equipos[Grupo],MATCH(BD32,T_Equipos[NombreEquipo],0)))</f>
        <v>3</v>
      </c>
      <c r="CE32" s="769" t="str">
        <f ca="1">IF(COUNTIFS($CD$6:$CD$53,CD32,$BC$6:$BC$53,INDEX(T_Equipos[Grupo],MATCH(BD32,T_Equipos[NombreEquipo],0)))=1,"-","P."&amp;CD32&amp;" ("&amp;COUNTIFS($CD$6:$CD$53,CD32,$BC$6:$BC$53,INDEX(T_Equipos[Grupo],MATCH(BD32,T_Equipos[NombreEquipo],0)))&amp;")")</f>
        <v>-</v>
      </c>
      <c r="CF32" s="770" t="str">
        <f t="shared" ca="1" si="43"/>
        <v>-</v>
      </c>
      <c r="CG32" s="770">
        <f ca="1">CD32+COUNTIFS($CE$6:$CE$53,CE32,$CF$6:CF$53,"&gt;"&amp;CF32,$BC$6:$BC$53,INDEX(T_Equipos[Grupo],MATCH(BD32,T_Equipos[NombreEquipo],0)))</f>
        <v>3</v>
      </c>
      <c r="CH32" s="769" t="str">
        <f ca="1">IF(COUNTIFS($CG$6:$CG$53,CG32,$BC$6:$BC$53,INDEX(T_Equipos[Grupo],MATCH(BD32,T_Equipos[NombreEquipo],0)))=1,"-","P."&amp;CG32&amp;" ("&amp;COUNTIFS($CG$6:$CG$53,CG32,$BC$6:$BC$53,INDEX(T_Equipos[Grupo],MATCH(BD32,T_Equipos[NombreEquipo],0)))&amp;")")</f>
        <v>-</v>
      </c>
      <c r="CI32" s="770" t="str">
        <f t="shared" ca="1" si="44"/>
        <v>-</v>
      </c>
      <c r="CJ32" s="770" t="str">
        <f t="shared" ca="1" si="45"/>
        <v>-</v>
      </c>
      <c r="CK32" s="770" t="str">
        <f t="shared" ca="1" si="46"/>
        <v>-</v>
      </c>
      <c r="CL32" s="770" t="str">
        <f t="shared" ca="1" si="47"/>
        <v>-</v>
      </c>
      <c r="CM32" s="770">
        <f ca="1">CG32+COUNTIFS($CH$6:$CH$53,CH32,$CL$6:CL$53,"&gt;"&amp;CL32,$BC$6:$BC$53,INDEX(T_Equipos[Grupo],MATCH(BD32,T_Equipos[NombreEquipo],0)))</f>
        <v>3</v>
      </c>
      <c r="CN32" s="769" t="str">
        <f ca="1">IF(COUNTIFS($CM$6:$CM$53,CM32,$BC$6:$BC$53,INDEX(T_Equipos[Grupo],MATCH(BD32,T_Equipos[NombreEquipo],0)))=1,"-","P."&amp;CM32&amp;" ("&amp;COUNTIFS($CM$6:$CM$53,CM32,$BC$6:$BC$53,INDEX(T_Equipos[Grupo],MATCH(BD32,T_Equipos[NombreEquipo],0)))&amp;")")</f>
        <v>-</v>
      </c>
      <c r="CO32" s="770" t="str">
        <f t="shared" ca="1" si="48"/>
        <v>-</v>
      </c>
      <c r="CP32" s="770" t="str">
        <f t="shared" ca="1" si="49"/>
        <v>-</v>
      </c>
      <c r="CQ32" s="770" t="str">
        <f t="shared" ca="1" si="50"/>
        <v>-</v>
      </c>
      <c r="CR32" s="770">
        <f ca="1">CM32+COUNTIFS($CN$6:$CN$53,CN32,$CQ$6:CQ$53,"&gt;"&amp;CQ32,$BC$6:$BC$53,INDEX(T_Equipos[Grupo],MATCH(BD32,T_Equipos[NombreEquipo],0)))</f>
        <v>3</v>
      </c>
      <c r="CS32" s="769" t="str">
        <f ca="1">IF(COUNTIFS($CR$6:$CR$53,CR32,$BC$6:$BC$53,INDEX(T_Equipos[Grupo],MATCH(BD32,T_Equipos[NombreEquipo],0)))=1,"-","P."&amp;CR32&amp;" ("&amp;COUNTIFS($CR$6:$CR$53,CR32,$BC$6:$BC$53,INDEX(T_Equipos[Grupo],MATCH(BD32,T_Equipos[NombreEquipo],0)))&amp;")")</f>
        <v>-</v>
      </c>
      <c r="CT32" s="770" t="str">
        <f t="shared" ca="1" si="51"/>
        <v>-</v>
      </c>
      <c r="CU32" s="770">
        <f ca="1">CR32+COUNTIFS($CS$6:$CS$53,CS32,$CT$6:CT$53,"&gt;"&amp;CT32,$BC$6:$BC$53,INDEX(T_Equipos[Grupo],MATCH(BD32,T_Equipos[NombreEquipo],0)))</f>
        <v>3</v>
      </c>
      <c r="CV32" s="769" t="str">
        <f ca="1">IF(COUNTIFS($CU$6:$CU$53,CU32,$BC$6:$BC$53,INDEX(T_Equipos[Grupo],MATCH(BD32,T_Equipos[NombreEquipo],0)))=1,"-","P."&amp;CU32&amp;" ("&amp;COUNTIFS($CU$6:$CU$53,CU32,$BC$6:$BC$53,INDEX(T_Equipos[Grupo],MATCH(BD32,T_Equipos[NombreEquipo],0)))&amp;")")</f>
        <v>-</v>
      </c>
      <c r="CW32" s="769" t="str">
        <f t="shared" ca="1" si="30"/>
        <v>-</v>
      </c>
      <c r="CX32" s="769">
        <f ca="1">CU32+COUNTIFS($CV$6:$CV$53,CV32,$CW$6:CW$53,"&gt;"&amp;CW32,$BC$6:$BC$53,INDEX(T_Equipos[Grupo],MATCH(BD32,T_Equipos[NombreEquipo],0)))</f>
        <v>3</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3</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3</v>
      </c>
      <c r="DE32" s="768"/>
      <c r="DF32" s="768">
        <f t="shared" ca="1" si="52"/>
        <v>3</v>
      </c>
      <c r="DG32" s="768" t="str">
        <f ca="1">IF(DB32="-","-",COUNTIFS(DF$6:DF$53,"&lt;"&amp;DF32,$BC$6:$BC$53,INDEX(T_Equipos[Grupo],MATCH(BD32,T_Equipos[NombreEquipo],0))))</f>
        <v>-</v>
      </c>
      <c r="DH32" s="768">
        <f ca="1">DA32+COUNTIFS(DB$6:DB$53,DB32,DG$6:DG$53,"&lt;"&amp;DG32,$BC$6:$BC$53,INDEX(T_Equipos[Grupo],MATCH(BD32,T_Equipos[NombreEquipo],0)))</f>
        <v>3</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Irán</v>
      </c>
      <c r="DR32" s="756"/>
      <c r="DS32" s="756"/>
      <c r="DT32" s="756" t="str">
        <f t="shared" ca="1" si="15"/>
        <v>Turquía-Estados Unidos</v>
      </c>
      <c r="DU32" s="756"/>
      <c r="DV32" s="756"/>
      <c r="DW32" s="8"/>
    </row>
    <row r="33" spans="1:127" ht="17" customHeight="1" thickBot="1" x14ac:dyDescent="0.25">
      <c r="A33" s="751"/>
      <c r="B33" s="751"/>
      <c r="C33" s="751"/>
      <c r="D33" s="756" t="str">
        <f t="shared" si="94"/>
        <v>Empate</v>
      </c>
      <c r="E33" s="756" t="str">
        <f t="shared" ca="1" si="95"/>
        <v>P.2 (2)</v>
      </c>
      <c r="F33" s="756" t="str">
        <f t="shared" ca="1" si="96"/>
        <v>P.2 (2)</v>
      </c>
      <c r="G33" s="756"/>
      <c r="H33" s="756" t="str">
        <f t="shared" ca="1" si="97"/>
        <v>P.2 (2)</v>
      </c>
      <c r="I33" s="756" t="str">
        <f t="shared" ca="1" si="98"/>
        <v>P.2 (2)</v>
      </c>
      <c r="J33" s="756"/>
      <c r="K33" s="756" t="str">
        <f t="shared" ca="1" si="99"/>
        <v>P.2 (2)</v>
      </c>
      <c r="L33" s="756" t="str">
        <f t="shared" ca="1" si="100"/>
        <v>P.2 (2)</v>
      </c>
      <c r="M33" s="756"/>
      <c r="N33" s="756" t="str">
        <f t="shared" ca="1" si="101"/>
        <v>P.2 (2)</v>
      </c>
      <c r="O33" s="756" t="str">
        <f t="shared" ca="1" si="102"/>
        <v>P.2 (2)</v>
      </c>
      <c r="P33" s="756"/>
      <c r="Q33" s="756" t="str">
        <f t="shared" ca="1" si="103"/>
        <v>P.2 (2)</v>
      </c>
      <c r="R33" s="756" t="str">
        <f t="shared" ca="1" si="104"/>
        <v>P.2 (2)</v>
      </c>
      <c r="S33" s="756"/>
      <c r="T33" s="756" t="str">
        <f t="shared" ca="1" si="105"/>
        <v>P.2 (2)</v>
      </c>
      <c r="U33" s="756" t="str">
        <f t="shared" ca="1" si="106"/>
        <v>P.2 (2)</v>
      </c>
      <c r="V33" s="178"/>
      <c r="W33" s="818"/>
      <c r="X33" s="234">
        <f ca="1">Horarios!C33</f>
        <v>46199.166666666664</v>
      </c>
      <c r="Y33" s="235">
        <f ca="1">Horarios!C33</f>
        <v>46199.166666666664</v>
      </c>
      <c r="Z33" s="236" t="str">
        <f>$Z$8</f>
        <v>J3</v>
      </c>
      <c r="AA33" s="237" t="str">
        <f ca="1">A30</f>
        <v>Paraguay</v>
      </c>
      <c r="AB33" s="487" t="str" cm="1">
        <f t="array" aca="1" ref="AB33" ca="1">Ver_flag_local</f>
        <v>🇵🇾</v>
      </c>
      <c r="AC33" s="238">
        <v>0</v>
      </c>
      <c r="AD33" s="239">
        <v>0</v>
      </c>
      <c r="AE33" s="492" t="str" cm="1">
        <f t="array" aca="1" ref="AE33" ca="1">Ver_flag_visit</f>
        <v>🇦🇺</v>
      </c>
      <c r="AF33" s="240" t="str">
        <f ca="1">A31</f>
        <v>Australia</v>
      </c>
      <c r="AG33" s="421">
        <f t="shared" si="107"/>
        <v>1</v>
      </c>
      <c r="AH33" s="202">
        <v>60</v>
      </c>
      <c r="AI33" s="19" t="str">
        <f t="shared" si="112"/>
        <v>4D</v>
      </c>
      <c r="AJ33" s="241">
        <v>4</v>
      </c>
      <c r="AK33" s="495" t="str" cm="1">
        <f t="array" aca="1" ref="AK33" ca="1">Ver_flag_visit</f>
        <v>🇹🇷</v>
      </c>
      <c r="AL33" s="242" t="str">
        <f ca="1">IFERROR(INDEX($BD$6:$BD$53,MATCH(AI33,$BN$6:$BN$53,0)),"")</f>
        <v>Turquía</v>
      </c>
      <c r="AM33" s="243">
        <f t="shared" ca="1" si="111"/>
        <v>3</v>
      </c>
      <c r="AN33" s="244">
        <f t="shared" ca="1" si="111"/>
        <v>3</v>
      </c>
      <c r="AO33" s="244">
        <f t="shared" ca="1" si="111"/>
        <v>1</v>
      </c>
      <c r="AP33" s="244">
        <f t="shared" ca="1" si="111"/>
        <v>0</v>
      </c>
      <c r="AQ33" s="244">
        <f t="shared" ca="1" si="111"/>
        <v>2</v>
      </c>
      <c r="AR33" s="244">
        <f t="shared" ca="1" si="111"/>
        <v>3</v>
      </c>
      <c r="AS33" s="244">
        <f t="shared" ca="1" si="111"/>
        <v>5</v>
      </c>
      <c r="AT33" s="245">
        <f t="shared" ca="1" si="111"/>
        <v>-2</v>
      </c>
      <c r="AU33" s="428">
        <f ca="1">INDEX($DL$6:$DL$53,MATCH(AI33,$DP$6:$DP$53,0))</f>
        <v>1</v>
      </c>
      <c r="AV33" s="223" t="str">
        <f ca="1">INDEX($BD$6:$BD$53,MATCH(AI33,$BM$6:$BM$53,0))</f>
        <v>Turquía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1</v>
      </c>
      <c r="BF33" s="760">
        <f t="shared" ca="1" si="26"/>
        <v>3</v>
      </c>
      <c r="BG33" s="760">
        <f t="shared" ca="1" si="17"/>
        <v>0</v>
      </c>
      <c r="BH33" s="760">
        <f t="shared" ca="1" si="18"/>
        <v>1</v>
      </c>
      <c r="BI33" s="760">
        <f t="shared" ca="1" si="19"/>
        <v>2</v>
      </c>
      <c r="BJ33" s="760">
        <f t="shared" ca="1" si="20"/>
        <v>4</v>
      </c>
      <c r="BK33" s="760">
        <f t="shared" ca="1" si="21"/>
        <v>10</v>
      </c>
      <c r="BL33" s="760">
        <f t="shared" ca="1" si="27"/>
        <v>-6</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1</v>
      </c>
      <c r="BS33" s="769">
        <f ca="1">BP33+COUNTIFS($BQ$6:$BQ$53,BQ33,$BR$6:BR$53,"&gt;"&amp;BR33,$BC$6:$BC$53,INDEX(T_Equipos[Grupo],MATCH(BD33,T_Equipos[NombreEquipo],0)))</f>
        <v>4</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4</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4</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4</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4</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4</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4</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4</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6" thickBot="1" x14ac:dyDescent="0.25">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7</v>
      </c>
      <c r="BF34" s="760">
        <f t="shared" ca="1" si="26"/>
        <v>3</v>
      </c>
      <c r="BG34" s="760">
        <f t="shared" ca="1" si="17"/>
        <v>2</v>
      </c>
      <c r="BH34" s="760">
        <f t="shared" ca="1" si="18"/>
        <v>1</v>
      </c>
      <c r="BI34" s="760">
        <f t="shared" ca="1" si="19"/>
        <v>0</v>
      </c>
      <c r="BJ34" s="760">
        <f t="shared" ca="1" si="20"/>
        <v>5</v>
      </c>
      <c r="BK34" s="760">
        <f t="shared" ca="1" si="21"/>
        <v>0</v>
      </c>
      <c r="BL34" s="760">
        <f t="shared" ca="1" si="27"/>
        <v>5</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7</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6" thickBot="1" x14ac:dyDescent="0.25">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3</v>
      </c>
      <c r="BF35" s="760">
        <f t="shared" ca="1" si="26"/>
        <v>3</v>
      </c>
      <c r="BG35" s="760">
        <f t="shared" ca="1" si="17"/>
        <v>0</v>
      </c>
      <c r="BH35" s="760">
        <f t="shared" ca="1" si="18"/>
        <v>3</v>
      </c>
      <c r="BI35" s="760">
        <f t="shared" ca="1" si="19"/>
        <v>0</v>
      </c>
      <c r="BJ35" s="760">
        <f t="shared" ca="1" si="20"/>
        <v>2</v>
      </c>
      <c r="BK35" s="760">
        <f t="shared" ca="1" si="21"/>
        <v>2</v>
      </c>
      <c r="BL35" s="760">
        <f t="shared" ca="1" si="27"/>
        <v>0</v>
      </c>
      <c r="BM35" s="760" t="str">
        <f t="shared" ca="1" si="22"/>
        <v>2H</v>
      </c>
      <c r="BN35" s="760" t="str">
        <f t="shared" ca="1" si="23"/>
        <v>2H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3</v>
      </c>
      <c r="BS35" s="769">
        <f ca="1">BP35+COUNTIFS($BQ$6:$BQ$53,BQ35,$BR$6:BR$53,"&gt;"&amp;BR35,$BC$6:$BC$53,INDEX(T_Equipos[Grupo],MATCH(BD35,T_Equipos[NombreEquipo],0)))</f>
        <v>2</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2</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2</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2</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2</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2</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2</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2</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2</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2</v>
      </c>
      <c r="DE35" s="768"/>
      <c r="DF35" s="768">
        <f t="shared" ca="1" si="52"/>
        <v>2</v>
      </c>
      <c r="DG35" s="768" t="str">
        <f ca="1">IF(DB35="-","-",COUNTIFS(DF$6:DF$53,"&lt;"&amp;DF35,$BC$6:$BC$53,INDEX(T_Equipos[Grupo],MATCH(BD35,T_Equipos[NombreEquipo],0))))</f>
        <v>-</v>
      </c>
      <c r="DH35" s="768">
        <f ca="1">DA35+COUNTIFS(DB$6:DB$53,DB35,DG$6:DG$53,"&lt;"&amp;DG35,$BC$6:$BC$53,INDEX(T_Equipos[Grupo],MATCH(BD35,T_Equipos[NombreEquipo],0)))</f>
        <v>2</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Cabo Verde</v>
      </c>
      <c r="DR35" s="756"/>
      <c r="DS35" s="756"/>
      <c r="DT35" s="756" t="str">
        <f t="shared" si="15"/>
        <v>Casa-Fuera</v>
      </c>
      <c r="DU35" s="756"/>
      <c r="DV35" s="756"/>
      <c r="DW35" s="8"/>
    </row>
    <row r="36" spans="1:127" ht="15" customHeight="1" thickBot="1" x14ac:dyDescent="0.25">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P.1 (2)</v>
      </c>
      <c r="F36" s="756" t="str">
        <f t="shared" ref="F36:F41" ca="1" si="117">IF(D36="Pendiente","-",INDEX($BT$6:$BT$53,MATCH($AF36,$BD$6:$BD$53,0)))</f>
        <v>-</v>
      </c>
      <c r="G36" s="756"/>
      <c r="H36" s="756" t="str">
        <f t="shared" ref="H36:H41" ca="1" si="118">IF(D36="Pendiente","-",INDEX($BZ$6:$BZ$53,MATCH($AA36,$BD$6:$BD$53,0)))</f>
        <v>-</v>
      </c>
      <c r="I36" s="756" t="str">
        <f t="shared" ref="I36:I41" ca="1" si="119">IF(D36="Pendiente","-",INDEX($BZ$6:$BZ$53,MATCH($AF36,$BD$6:$BD$53,0)))</f>
        <v>-</v>
      </c>
      <c r="J36" s="756"/>
      <c r="K36" s="756" t="str">
        <f t="shared" ref="K36:K41" ca="1" si="120">IF(D36="Pendiente","-",INDEX($CE$6:$CE$53,MATCH($AA36,$BD$6:$BD$53,0)))</f>
        <v>-</v>
      </c>
      <c r="L36" s="756" t="str">
        <f t="shared" ref="L36:L41" ca="1" si="121">IF(D36="Pendiente","-",INDEX($CE$6:$CE$53,MATCH($AF36,$BD$6:$BD$53,0)))</f>
        <v>-</v>
      </c>
      <c r="M36" s="756"/>
      <c r="N36" s="756" t="str">
        <f t="shared" ref="N36:N41" ca="1" si="122">IF(D36="Pendiente","-",INDEX($CH$6:$CH$53,MATCH($AA36,$BD$6:$BD$53,0)))</f>
        <v>-</v>
      </c>
      <c r="O36" s="756" t="str">
        <f t="shared" ref="O36:O41" ca="1" si="123">IF(D36="Pendiente","-",INDEX($CH$6:$CH$53,MATCH($AF36,$BD$6:$BD$53,0)))</f>
        <v>-</v>
      </c>
      <c r="P36" s="756"/>
      <c r="Q36" s="756" t="str">
        <f t="shared" ref="Q36:Q41" ca="1" si="124">IF(D36="Pendiente","-",INDEX($CN$6:$CN$53,MATCH($AA36,$BD$6:$BD$53,0)))</f>
        <v>-</v>
      </c>
      <c r="R36" s="756" t="str">
        <f t="shared" ref="R36:R41" ca="1" si="125">IF(D36="Pendiente","-",INDEX($CN$6:$CN$53,MATCH($AF36,$BD$6:$BD$53,0)))</f>
        <v>-</v>
      </c>
      <c r="S36" s="756"/>
      <c r="T36" s="756" t="str">
        <f t="shared" ref="T36:T41" ca="1" si="126">IF(D36="Pendiente","-",INDEX($CS$6:$CS$53,MATCH($AA36,$BD$6:$BD$53,0)))</f>
        <v>-</v>
      </c>
      <c r="U36" s="756" t="str">
        <f t="shared" ref="U36:U41" ca="1" si="127">IF(D36="Pendiente","-",INDEX($CS$6:$CS$53,MATCH($AF36,$BD$6:$BD$53,0)))</f>
        <v>-</v>
      </c>
      <c r="V36" s="178"/>
      <c r="W36" s="819" t="s">
        <v>3</v>
      </c>
      <c r="X36" s="195">
        <f ca="1">Horarios!C36</f>
        <v>46187.791666666664</v>
      </c>
      <c r="Y36" s="196">
        <f ca="1">Horarios!C36</f>
        <v>46187.791666666664</v>
      </c>
      <c r="Z36" s="197" t="str">
        <f>$Z$4</f>
        <v>J1</v>
      </c>
      <c r="AA36" s="198" t="str">
        <f ca="1">A37</f>
        <v>Alemania</v>
      </c>
      <c r="AB36" s="486" t="str" cm="1">
        <f t="array" aca="1" ref="AB36" ca="1">Ver_flag_local</f>
        <v>🇩🇪</v>
      </c>
      <c r="AC36" s="199">
        <v>7</v>
      </c>
      <c r="AD36" s="200">
        <v>1</v>
      </c>
      <c r="AE36" s="491" t="str" cm="1">
        <f t="array" aca="1" ref="AE36" ca="1">Ver_flag_visit</f>
        <v>🇨🇼</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2</v>
      </c>
      <c r="BF36" s="760">
        <f t="shared" ca="1" si="26"/>
        <v>3</v>
      </c>
      <c r="BG36" s="760">
        <f t="shared" ca="1" si="17"/>
        <v>0</v>
      </c>
      <c r="BH36" s="760">
        <f t="shared" ca="1" si="18"/>
        <v>2</v>
      </c>
      <c r="BI36" s="760">
        <f t="shared" ca="1" si="19"/>
        <v>1</v>
      </c>
      <c r="BJ36" s="760">
        <f t="shared" ca="1" si="20"/>
        <v>1</v>
      </c>
      <c r="BK36" s="760">
        <f t="shared" ca="1" si="21"/>
        <v>5</v>
      </c>
      <c r="BL36" s="760">
        <f t="shared" ca="1" si="27"/>
        <v>-4</v>
      </c>
      <c r="BM36" s="760" t="str">
        <f t="shared" ca="1" si="22"/>
        <v>4H</v>
      </c>
      <c r="BN36" s="760" t="str">
        <f t="shared" ca="1" si="23"/>
        <v>4H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2</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P.3 (2)</v>
      </c>
      <c r="BU36" s="770">
        <f t="shared" ca="1" si="36"/>
        <v>0</v>
      </c>
      <c r="BV36" s="770">
        <f t="shared" ca="1" si="37"/>
        <v>1</v>
      </c>
      <c r="BW36" s="770">
        <f t="shared" ca="1" si="38"/>
        <v>0</v>
      </c>
      <c r="BX36" s="770">
        <f t="shared" ca="1" si="39"/>
        <v>1</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P.3 (2)</v>
      </c>
      <c r="CA36" s="770">
        <f t="shared" ca="1" si="40"/>
        <v>1</v>
      </c>
      <c r="CB36" s="770">
        <f t="shared" ca="1" si="41"/>
        <v>1</v>
      </c>
      <c r="CC36" s="770">
        <f t="shared" ca="1" si="42"/>
        <v>0</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P.3 (2)</v>
      </c>
      <c r="CF36" s="770">
        <f t="shared" ca="1" si="43"/>
        <v>1</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P.3 (2)</v>
      </c>
      <c r="CI36" s="770">
        <f t="shared" ca="1" si="44"/>
        <v>0</v>
      </c>
      <c r="CJ36" s="770">
        <f t="shared" ca="1" si="45"/>
        <v>1</v>
      </c>
      <c r="CK36" s="770">
        <f t="shared" ca="1" si="46"/>
        <v>0</v>
      </c>
      <c r="CL36" s="770">
        <f t="shared" ca="1" si="47"/>
        <v>1</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P.3 (2)</v>
      </c>
      <c r="CO36" s="770">
        <f t="shared" ca="1" si="48"/>
        <v>1</v>
      </c>
      <c r="CP36" s="770">
        <f t="shared" ca="1" si="49"/>
        <v>1</v>
      </c>
      <c r="CQ36" s="770">
        <f t="shared" ca="1" si="50"/>
        <v>0</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P.3 (2)</v>
      </c>
      <c r="CT36" s="770">
        <f t="shared" ca="1" si="51"/>
        <v>1</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P.3 (2)</v>
      </c>
      <c r="CW36" s="769">
        <f t="shared" ca="1" si="30"/>
        <v>-4</v>
      </c>
      <c r="CX36" s="769">
        <f ca="1">CU36+COUNTIFS($CV$6:$CV$53,CV36,$CW$6:CW$53,"&gt;"&amp;CW36,$BC$6:$BC$53,INDEX(T_Equipos[Grupo],MATCH(BD36,T_Equipos[NombreEquipo],0)))</f>
        <v>4</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4</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4</v>
      </c>
      <c r="DE36" s="768"/>
      <c r="DF36" s="768">
        <f t="shared" ca="1" si="52"/>
        <v>4</v>
      </c>
      <c r="DG36" s="768" t="str">
        <f ca="1">IF(DB36="-","-",COUNTIFS(DF$6:DF$53,"&lt;"&amp;DF36,$BC$6:$BC$53,INDEX(T_Equipos[Grupo],MATCH(BD36,T_Equipos[NombreEquipo],0))))</f>
        <v>-</v>
      </c>
      <c r="DH36" s="768">
        <f ca="1">DA36+COUNTIFS(DB$6:DB$53,DB36,DG$6:DG$53,"&lt;"&amp;DG36,$BC$6:$BC$53,INDEX(T_Equipos[Grupo],MATCH(BD36,T_Equipos[NombreEquipo],0)))</f>
        <v>4</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Uruguay</v>
      </c>
      <c r="DR36" s="756"/>
      <c r="DS36" s="756"/>
      <c r="DT36" s="756" t="str">
        <f t="shared" ca="1" si="15"/>
        <v>Alemania-Curazao</v>
      </c>
      <c r="DU36" s="756"/>
      <c r="DV36" s="756"/>
      <c r="DW36" s="8"/>
    </row>
    <row r="37" spans="1:127" ht="16" customHeight="1" x14ac:dyDescent="0.2">
      <c r="A37" s="757" t="str">
        <f ca="1">+Equipos!B18</f>
        <v>Alemania</v>
      </c>
      <c r="B37" s="754"/>
      <c r="C37" s="754"/>
      <c r="D37" s="756" t="str">
        <f t="shared" si="115"/>
        <v>Local</v>
      </c>
      <c r="E37" s="756" t="str">
        <f t="shared" ca="1" si="116"/>
        <v>P.1 (2)</v>
      </c>
      <c r="F37" s="756" t="str">
        <f t="shared" ca="1" si="117"/>
        <v>-</v>
      </c>
      <c r="G37" s="756"/>
      <c r="H37" s="756" t="str">
        <f t="shared" ca="1" si="118"/>
        <v>-</v>
      </c>
      <c r="I37" s="756" t="str">
        <f t="shared" ca="1" si="119"/>
        <v>-</v>
      </c>
      <c r="J37" s="756"/>
      <c r="K37" s="756" t="str">
        <f t="shared" ca="1" si="120"/>
        <v>-</v>
      </c>
      <c r="L37" s="756" t="str">
        <f t="shared" ca="1" si="121"/>
        <v>-</v>
      </c>
      <c r="M37" s="756"/>
      <c r="N37" s="756" t="str">
        <f t="shared" ca="1" si="122"/>
        <v>-</v>
      </c>
      <c r="O37" s="756" t="str">
        <f t="shared" ca="1" si="123"/>
        <v>-</v>
      </c>
      <c r="P37" s="756"/>
      <c r="Q37" s="756" t="str">
        <f t="shared" ca="1" si="124"/>
        <v>-</v>
      </c>
      <c r="R37" s="756" t="str">
        <f t="shared" ca="1" si="125"/>
        <v>-</v>
      </c>
      <c r="S37" s="756"/>
      <c r="T37" s="756" t="str">
        <f t="shared" ca="1" si="126"/>
        <v>-</v>
      </c>
      <c r="U37" s="756" t="str">
        <f t="shared" ca="1" si="127"/>
        <v>-</v>
      </c>
      <c r="V37" s="178"/>
      <c r="W37" s="819"/>
      <c r="X37" s="195">
        <f ca="1">Horarios!C37</f>
        <v>46188.041666666664</v>
      </c>
      <c r="Y37" s="196">
        <f ca="1">Horarios!C37</f>
        <v>46188.041666666664</v>
      </c>
      <c r="Z37" s="197" t="str">
        <f>$Z$4</f>
        <v>J1</v>
      </c>
      <c r="AA37" s="198" t="str">
        <f ca="1">A39</f>
        <v>Costa de Marfil</v>
      </c>
      <c r="AB37" s="486" t="str" cm="1">
        <f t="array" aca="1" ref="AB37" ca="1">Ver_flag_local</f>
        <v>🇨🇮</v>
      </c>
      <c r="AC37" s="199">
        <v>1</v>
      </c>
      <c r="AD37" s="200">
        <v>0</v>
      </c>
      <c r="AE37" s="491" t="str" cm="1">
        <f t="array" aca="1" ref="AE37" ca="1">Ver_flag_visit</f>
        <v>🇪🇨</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2</v>
      </c>
      <c r="BF37" s="760">
        <f t="shared" ca="1" si="26"/>
        <v>3</v>
      </c>
      <c r="BG37" s="760">
        <f t="shared" ca="1" si="17"/>
        <v>0</v>
      </c>
      <c r="BH37" s="760">
        <f t="shared" ca="1" si="18"/>
        <v>2</v>
      </c>
      <c r="BI37" s="760">
        <f t="shared" ca="1" si="19"/>
        <v>1</v>
      </c>
      <c r="BJ37" s="760">
        <f t="shared" ca="1" si="20"/>
        <v>3</v>
      </c>
      <c r="BK37" s="760">
        <f t="shared" ca="1" si="21"/>
        <v>4</v>
      </c>
      <c r="BL37" s="760">
        <f t="shared" ca="1" si="27"/>
        <v>-1</v>
      </c>
      <c r="BM37" s="760" t="str">
        <f t="shared" ca="1" si="22"/>
        <v>3H</v>
      </c>
      <c r="BN37" s="760" t="str">
        <f t="shared" ca="1" si="23"/>
        <v>3H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2</v>
      </c>
      <c r="BS37" s="769">
        <f ca="1">BP37+COUNTIFS($BQ$6:$BQ$53,BQ37,$BR$6:BR$53,"&gt;"&amp;BR37,$BC$6:$BC$53,INDEX(T_Equipos[Grupo],MATCH(BD37,T_Equipos[NombreEquipo],0)))</f>
        <v>3</v>
      </c>
      <c r="BT37" s="769" t="str">
        <f ca="1">IF(COUNTIFS($BS$6:$BS$53,BS37,$BC$6:$BC$53,INDEX(T_Equipos[Grupo],MATCH(BD37,T_Equipos[NombreEquipo],0)))=1,"-","P."&amp;BS37&amp;" ("&amp;COUNTIFS($BS$6:$BS$53,BS37,$BC$6:$BC$53,INDEX(T_Equipos[Grupo],MATCH(BD37,T_Equipos[NombreEquipo],0)))&amp;")")</f>
        <v>P.3 (2)</v>
      </c>
      <c r="BU37" s="770">
        <f t="shared" ca="1" si="36"/>
        <v>0</v>
      </c>
      <c r="BV37" s="770">
        <f t="shared" ca="1" si="37"/>
        <v>1</v>
      </c>
      <c r="BW37" s="770">
        <f t="shared" ca="1" si="38"/>
        <v>0</v>
      </c>
      <c r="BX37" s="770">
        <f t="shared" ca="1" si="39"/>
        <v>1</v>
      </c>
      <c r="BY37" s="770">
        <f ca="1">BS37+COUNTIFS($BT$6:$BT$53,BT37,$BX$6:BX$53,"&gt;"&amp;BX37,$BC$6:$BC$53,INDEX(T_Equipos[Grupo],MATCH(BD37,T_Equipos[NombreEquipo],0)))</f>
        <v>3</v>
      </c>
      <c r="BZ37" s="769" t="str">
        <f ca="1">IF(COUNTIFS($BY$6:$BY$53,BY37,$BC$6:$BC$53,INDEX(T_Equipos[Grupo],MATCH(BD37,T_Equipos[NombreEquipo],0)))=1,"-","P."&amp;BY37&amp;" ("&amp;COUNTIFS($BY$6:$BY$53,BY37,$BC$6:$BC$53,INDEX(T_Equipos[Grupo],MATCH(BD37,T_Equipos[NombreEquipo],0)))&amp;")")</f>
        <v>P.3 (2)</v>
      </c>
      <c r="CA37" s="770">
        <f t="shared" ca="1" si="40"/>
        <v>1</v>
      </c>
      <c r="CB37" s="770">
        <f t="shared" ca="1" si="41"/>
        <v>1</v>
      </c>
      <c r="CC37" s="770">
        <f t="shared" ca="1" si="42"/>
        <v>0</v>
      </c>
      <c r="CD37" s="770">
        <f ca="1">BY37+COUNTIFS($BZ$6:$BZ$53,BZ37,$CC$6:CC$53,"&gt;"&amp;CC37,$BC$6:$BC$53,INDEX(T_Equipos[Grupo],MATCH(BD37,T_Equipos[NombreEquipo],0)))</f>
        <v>3</v>
      </c>
      <c r="CE37" s="769" t="str">
        <f ca="1">IF(COUNTIFS($CD$6:$CD$53,CD37,$BC$6:$BC$53,INDEX(T_Equipos[Grupo],MATCH(BD37,T_Equipos[NombreEquipo],0)))=1,"-","P."&amp;CD37&amp;" ("&amp;COUNTIFS($CD$6:$CD$53,CD37,$BC$6:$BC$53,INDEX(T_Equipos[Grupo],MATCH(BD37,T_Equipos[NombreEquipo],0)))&amp;")")</f>
        <v>P.3 (2)</v>
      </c>
      <c r="CF37" s="770">
        <f t="shared" ca="1" si="43"/>
        <v>1</v>
      </c>
      <c r="CG37" s="770">
        <f ca="1">CD37+COUNTIFS($CE$6:$CE$53,CE37,$CF$6:CF$53,"&gt;"&amp;CF37,$BC$6:$BC$53,INDEX(T_Equipos[Grupo],MATCH(BD37,T_Equipos[NombreEquipo],0)))</f>
        <v>3</v>
      </c>
      <c r="CH37" s="769" t="str">
        <f ca="1">IF(COUNTIFS($CG$6:$CG$53,CG37,$BC$6:$BC$53,INDEX(T_Equipos[Grupo],MATCH(BD37,T_Equipos[NombreEquipo],0)))=1,"-","P."&amp;CG37&amp;" ("&amp;COUNTIFS($CG$6:$CG$53,CG37,$BC$6:$BC$53,INDEX(T_Equipos[Grupo],MATCH(BD37,T_Equipos[NombreEquipo],0)))&amp;")")</f>
        <v>P.3 (2)</v>
      </c>
      <c r="CI37" s="770">
        <f t="shared" ca="1" si="44"/>
        <v>0</v>
      </c>
      <c r="CJ37" s="770">
        <f t="shared" ca="1" si="45"/>
        <v>1</v>
      </c>
      <c r="CK37" s="770">
        <f t="shared" ca="1" si="46"/>
        <v>0</v>
      </c>
      <c r="CL37" s="770">
        <f t="shared" ca="1" si="47"/>
        <v>1</v>
      </c>
      <c r="CM37" s="770">
        <f ca="1">CG37+COUNTIFS($CH$6:$CH$53,CH37,$CL$6:CL$53,"&gt;"&amp;CL37,$BC$6:$BC$53,INDEX(T_Equipos[Grupo],MATCH(BD37,T_Equipos[NombreEquipo],0)))</f>
        <v>3</v>
      </c>
      <c r="CN37" s="769" t="str">
        <f ca="1">IF(COUNTIFS($CM$6:$CM$53,CM37,$BC$6:$BC$53,INDEX(T_Equipos[Grupo],MATCH(BD37,T_Equipos[NombreEquipo],0)))=1,"-","P."&amp;CM37&amp;" ("&amp;COUNTIFS($CM$6:$CM$53,CM37,$BC$6:$BC$53,INDEX(T_Equipos[Grupo],MATCH(BD37,T_Equipos[NombreEquipo],0)))&amp;")")</f>
        <v>P.3 (2)</v>
      </c>
      <c r="CO37" s="770">
        <f t="shared" ca="1" si="48"/>
        <v>1</v>
      </c>
      <c r="CP37" s="770">
        <f t="shared" ca="1" si="49"/>
        <v>1</v>
      </c>
      <c r="CQ37" s="770">
        <f t="shared" ca="1" si="50"/>
        <v>0</v>
      </c>
      <c r="CR37" s="770">
        <f ca="1">CM37+COUNTIFS($CN$6:$CN$53,CN37,$CQ$6:CQ$53,"&gt;"&amp;CQ37,$BC$6:$BC$53,INDEX(T_Equipos[Grupo],MATCH(BD37,T_Equipos[NombreEquipo],0)))</f>
        <v>3</v>
      </c>
      <c r="CS37" s="769" t="str">
        <f ca="1">IF(COUNTIFS($CR$6:$CR$53,CR37,$BC$6:$BC$53,INDEX(T_Equipos[Grupo],MATCH(BD37,T_Equipos[NombreEquipo],0)))=1,"-","P."&amp;CR37&amp;" ("&amp;COUNTIFS($CR$6:$CR$53,CR37,$BC$6:$BC$53,INDEX(T_Equipos[Grupo],MATCH(BD37,T_Equipos[NombreEquipo],0)))&amp;")")</f>
        <v>P.3 (2)</v>
      </c>
      <c r="CT37" s="770">
        <f t="shared" ca="1" si="51"/>
        <v>1</v>
      </c>
      <c r="CU37" s="770">
        <f ca="1">CR37+COUNTIFS($CS$6:$CS$53,CS37,$CT$6:CT$53,"&gt;"&amp;CT37,$BC$6:$BC$53,INDEX(T_Equipos[Grupo],MATCH(BD37,T_Equipos[NombreEquipo],0)))</f>
        <v>3</v>
      </c>
      <c r="CV37" s="769" t="str">
        <f ca="1">IF(COUNTIFS($CU$6:$CU$53,CU37,$BC$6:$BC$53,INDEX(T_Equipos[Grupo],MATCH(BD37,T_Equipos[NombreEquipo],0)))=1,"-","P."&amp;CU37&amp;" ("&amp;COUNTIFS($CU$6:$CU$53,CU37,$BC$6:$BC$53,INDEX(T_Equipos[Grupo],MATCH(BD37,T_Equipos[NombreEquipo],0)))&amp;")")</f>
        <v>P.3 (2)</v>
      </c>
      <c r="CW37" s="769">
        <f t="shared" ca="1" si="30"/>
        <v>-1</v>
      </c>
      <c r="CX37" s="769">
        <f ca="1">CU37+COUNTIFS($CV$6:$CV$53,CV37,$CW$6:CW$53,"&gt;"&amp;CW37,$BC$6:$BC$53,INDEX(T_Equipos[Grupo],MATCH(BD37,T_Equipos[NombreEquipo],0)))</f>
        <v>3</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3</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3</v>
      </c>
      <c r="DE37" s="768"/>
      <c r="DF37" s="768">
        <f t="shared" ca="1" si="52"/>
        <v>3</v>
      </c>
      <c r="DG37" s="768" t="str">
        <f ca="1">IF(DB37="-","-",COUNTIFS(DF$6:DF$53,"&lt;"&amp;DF37,$BC$6:$BC$53,INDEX(T_Equipos[Grupo],MATCH(BD37,T_Equipos[NombreEquipo],0))))</f>
        <v>-</v>
      </c>
      <c r="DH37" s="768">
        <f ca="1">DA37+COUNTIFS(DB$6:DB$53,DB37,DG$6:DG$53,"&lt;"&amp;DG37,$BC$6:$BC$53,INDEX(T_Equipos[Grupo],MATCH(BD37,T_Equipos[NombreEquipo],0)))</f>
        <v>3</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Arabia Saudita</v>
      </c>
      <c r="DR37" s="756"/>
      <c r="DS37" s="756"/>
      <c r="DT37" s="756" t="str">
        <f t="shared" ca="1" si="15"/>
        <v>Costa de Marfil-Ecuador</v>
      </c>
      <c r="DU37" s="756"/>
      <c r="DV37" s="756"/>
      <c r="DW37" s="8"/>
    </row>
    <row r="38" spans="1:127" ht="16" customHeight="1" x14ac:dyDescent="0.2">
      <c r="A38" s="757" t="str">
        <f ca="1">+Equipos!B19</f>
        <v>Curazao</v>
      </c>
      <c r="B38" s="754"/>
      <c r="C38" s="758"/>
      <c r="D38" s="756" t="str">
        <f t="shared" si="115"/>
        <v>Local</v>
      </c>
      <c r="E38" s="756" t="str">
        <f t="shared" ca="1" si="116"/>
        <v>P.1 (2)</v>
      </c>
      <c r="F38" s="756" t="str">
        <f t="shared" ca="1" si="117"/>
        <v>P.1 (2)</v>
      </c>
      <c r="G38" s="756"/>
      <c r="H38" s="756" t="str">
        <f t="shared" ca="1" si="118"/>
        <v>-</v>
      </c>
      <c r="I38" s="756" t="str">
        <f t="shared" ca="1" si="119"/>
        <v>-</v>
      </c>
      <c r="J38" s="756"/>
      <c r="K38" s="756" t="str">
        <f t="shared" ca="1" si="120"/>
        <v>-</v>
      </c>
      <c r="L38" s="756" t="str">
        <f t="shared" ca="1" si="121"/>
        <v>-</v>
      </c>
      <c r="M38" s="756"/>
      <c r="N38" s="756" t="str">
        <f t="shared" ca="1" si="122"/>
        <v>-</v>
      </c>
      <c r="O38" s="756" t="str">
        <f t="shared" ca="1" si="123"/>
        <v>-</v>
      </c>
      <c r="P38" s="756"/>
      <c r="Q38" s="756" t="str">
        <f t="shared" ca="1" si="124"/>
        <v>-</v>
      </c>
      <c r="R38" s="756" t="str">
        <f t="shared" ca="1" si="125"/>
        <v>-</v>
      </c>
      <c r="S38" s="756"/>
      <c r="T38" s="756" t="str">
        <f t="shared" ca="1" si="126"/>
        <v>-</v>
      </c>
      <c r="U38" s="756" t="str">
        <f t="shared" ca="1" si="127"/>
        <v>-</v>
      </c>
      <c r="V38" s="178"/>
      <c r="W38" s="819"/>
      <c r="X38" s="195">
        <f ca="1">Horarios!C38</f>
        <v>46193.916666666664</v>
      </c>
      <c r="Y38" s="196">
        <f ca="1">Horarios!C38</f>
        <v>46193.916666666664</v>
      </c>
      <c r="Z38" s="197" t="str">
        <f>$Z$6</f>
        <v>J2</v>
      </c>
      <c r="AA38" s="198" t="str">
        <f ca="1">A37</f>
        <v>Alemania</v>
      </c>
      <c r="AB38" s="486" t="str" cm="1">
        <f t="array" aca="1" ref="AB38" ca="1">Ver_flag_local</f>
        <v>🇩🇪</v>
      </c>
      <c r="AC38" s="199">
        <v>2</v>
      </c>
      <c r="AD38" s="200">
        <v>1</v>
      </c>
      <c r="AE38" s="491" t="str" cm="1">
        <f t="array" aca="1" ref="AE38" ca="1">Ver_flag_visit</f>
        <v>🇨🇮</v>
      </c>
      <c r="AF38" s="201" t="str">
        <f ca="1">A39</f>
        <v>Costa de Marfil</v>
      </c>
      <c r="AG38" s="421">
        <f t="shared" si="128"/>
        <v>1</v>
      </c>
      <c r="AH38" s="202">
        <v>33</v>
      </c>
      <c r="AI38" s="19" t="str">
        <f>AJ38&amp;$B$36</f>
        <v>1E</v>
      </c>
      <c r="AJ38" s="217">
        <v>1</v>
      </c>
      <c r="AK38" s="496" t="str" cm="1">
        <f t="array" aca="1" ref="AK38" ca="1">Ver_flag_visit</f>
        <v>🇩🇪</v>
      </c>
      <c r="AL38" s="218" t="str">
        <f ca="1">IFERROR(INDEX($BD$6:$BD$53,MATCH(AI38,$BN$6:$BN$53,0)),"")</f>
        <v>Alemania</v>
      </c>
      <c r="AM38" s="219">
        <f t="shared" ref="AM38:AT41" ca="1" si="132">INDEX($BE$6:$BN$53,MATCH($AL38,$BD$6:$BD$53,0),MATCH(AM$5,$BE$5:$BN$5,0))</f>
        <v>6</v>
      </c>
      <c r="AN38" s="220">
        <f t="shared" ca="1" si="132"/>
        <v>3</v>
      </c>
      <c r="AO38" s="220">
        <f t="shared" ca="1" si="132"/>
        <v>2</v>
      </c>
      <c r="AP38" s="220">
        <f t="shared" ca="1" si="132"/>
        <v>0</v>
      </c>
      <c r="AQ38" s="220">
        <f t="shared" ca="1" si="132"/>
        <v>1</v>
      </c>
      <c r="AR38" s="220">
        <f t="shared" ca="1" si="132"/>
        <v>10</v>
      </c>
      <c r="AS38" s="220">
        <f t="shared" ca="1" si="132"/>
        <v>4</v>
      </c>
      <c r="AT38" s="221">
        <f t="shared" ca="1" si="132"/>
        <v>6</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9</v>
      </c>
      <c r="BF38" s="760">
        <f t="shared" ca="1" si="26"/>
        <v>3</v>
      </c>
      <c r="BG38" s="760">
        <f t="shared" ca="1" si="17"/>
        <v>3</v>
      </c>
      <c r="BH38" s="760">
        <f t="shared" ca="1" si="18"/>
        <v>0</v>
      </c>
      <c r="BI38" s="760">
        <f t="shared" ca="1" si="19"/>
        <v>0</v>
      </c>
      <c r="BJ38" s="760">
        <f t="shared" ca="1" si="20"/>
        <v>10</v>
      </c>
      <c r="BK38" s="760">
        <f t="shared" ca="1" si="21"/>
        <v>2</v>
      </c>
      <c r="BL38" s="760">
        <f t="shared" ca="1" si="27"/>
        <v>8</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9</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 customHeight="1" x14ac:dyDescent="0.2">
      <c r="A39" s="757" t="str">
        <f ca="1">+Equipos!B20</f>
        <v>Costa de Marfil</v>
      </c>
      <c r="B39" s="754"/>
      <c r="C39" s="756"/>
      <c r="D39" s="756" t="str">
        <f t="shared" si="115"/>
        <v>Empate</v>
      </c>
      <c r="E39" s="756" t="str">
        <f t="shared" ca="1" si="116"/>
        <v>-</v>
      </c>
      <c r="F39" s="756" t="str">
        <f t="shared" ca="1" si="117"/>
        <v>-</v>
      </c>
      <c r="G39" s="756"/>
      <c r="H39" s="756" t="str">
        <f t="shared" ca="1" si="118"/>
        <v>-</v>
      </c>
      <c r="I39" s="756" t="str">
        <f t="shared" ca="1" si="119"/>
        <v>-</v>
      </c>
      <c r="J39" s="756"/>
      <c r="K39" s="756" t="str">
        <f t="shared" ca="1" si="120"/>
        <v>-</v>
      </c>
      <c r="L39" s="756" t="str">
        <f t="shared" ca="1" si="121"/>
        <v>-</v>
      </c>
      <c r="M39" s="756"/>
      <c r="N39" s="756" t="str">
        <f t="shared" ca="1" si="122"/>
        <v>-</v>
      </c>
      <c r="O39" s="756" t="str">
        <f t="shared" ca="1" si="123"/>
        <v>-</v>
      </c>
      <c r="P39" s="756"/>
      <c r="Q39" s="756" t="str">
        <f t="shared" ca="1" si="124"/>
        <v>-</v>
      </c>
      <c r="R39" s="756" t="str">
        <f t="shared" ca="1" si="125"/>
        <v>-</v>
      </c>
      <c r="S39" s="756"/>
      <c r="T39" s="756" t="str">
        <f t="shared" ca="1" si="126"/>
        <v>-</v>
      </c>
      <c r="U39" s="756" t="str">
        <f t="shared" ca="1" si="127"/>
        <v>-</v>
      </c>
      <c r="V39" s="178"/>
      <c r="W39" s="819"/>
      <c r="X39" s="195">
        <f ca="1">Horarios!C39</f>
        <v>46194.083333333336</v>
      </c>
      <c r="Y39" s="196">
        <f ca="1">Horarios!C39</f>
        <v>46194.083333333336</v>
      </c>
      <c r="Z39" s="197" t="str">
        <f>$Z$6</f>
        <v>J2</v>
      </c>
      <c r="AA39" s="198" t="str">
        <f ca="1">A40</f>
        <v>Ecuador</v>
      </c>
      <c r="AB39" s="486" t="str" cm="1">
        <f t="array" aca="1" ref="AB39" ca="1">Ver_flag_local</f>
        <v>🇪🇨</v>
      </c>
      <c r="AC39" s="199">
        <v>0</v>
      </c>
      <c r="AD39" s="200">
        <v>0</v>
      </c>
      <c r="AE39" s="491" t="str" cm="1">
        <f t="array" aca="1" ref="AE39" ca="1">Ver_flag_visit</f>
        <v>🇨🇼</v>
      </c>
      <c r="AF39" s="201" t="str">
        <f ca="1">A38</f>
        <v>Curazao</v>
      </c>
      <c r="AG39" s="421">
        <f t="shared" si="128"/>
        <v>1</v>
      </c>
      <c r="AH39" s="202">
        <v>34</v>
      </c>
      <c r="AI39" s="19" t="str">
        <f t="shared" ref="AI39:AI41" si="133">AJ39&amp;$B$36</f>
        <v>2E</v>
      </c>
      <c r="AJ39" s="227">
        <v>2</v>
      </c>
      <c r="AK39" s="494" t="str" cm="1">
        <f t="array" aca="1" ref="AK39" ca="1">Ver_flag_visit</f>
        <v>🇨🇮</v>
      </c>
      <c r="AL39" s="228" t="str">
        <f ca="1">IFERROR(INDEX($BD$6:$BD$53,MATCH(AI39,$BN$6:$BN$53,0)),"")</f>
        <v>Costa de Marfil</v>
      </c>
      <c r="AM39" s="229">
        <f t="shared" ca="1" si="132"/>
        <v>6</v>
      </c>
      <c r="AN39" s="230">
        <f t="shared" ca="1" si="132"/>
        <v>3</v>
      </c>
      <c r="AO39" s="230">
        <f t="shared" ca="1" si="132"/>
        <v>2</v>
      </c>
      <c r="AP39" s="230">
        <f t="shared" ca="1" si="132"/>
        <v>0</v>
      </c>
      <c r="AQ39" s="230">
        <f t="shared" ca="1" si="132"/>
        <v>1</v>
      </c>
      <c r="AR39" s="230">
        <f t="shared" ca="1" si="132"/>
        <v>4</v>
      </c>
      <c r="AS39" s="230">
        <f t="shared" ca="1" si="132"/>
        <v>2</v>
      </c>
      <c r="AT39" s="231">
        <f t="shared" ca="1" si="132"/>
        <v>2</v>
      </c>
      <c r="AU39" s="428">
        <f ca="1">INDEX($DL$6:$DL$53,MATCH(AI39,$DP$6:$DP$53,0))</f>
        <v>1</v>
      </c>
      <c r="AV39" s="223" t="str">
        <f ca="1">INDEX($BD$6:$BD$53,MATCH(AI39,$BM$6:$BM$53,0))</f>
        <v>Costa de Marfil</v>
      </c>
      <c r="AW39" s="435"/>
      <c r="AX39" s="224"/>
      <c r="AY39" s="232" t="str">
        <f ca="1">+A38</f>
        <v>Curazao</v>
      </c>
      <c r="AZ39" s="233"/>
      <c r="BA39" s="181"/>
      <c r="BB39" s="756"/>
      <c r="BC39" s="768" t="str">
        <f ca="1">+INDEX(T_Equipos[Grupo],MATCH(WORLDCUP!BD39,T_Equipos[NombreEquipo],0))</f>
        <v>I</v>
      </c>
      <c r="BD39" s="756" t="str">
        <f ca="1">+Equipos!B35</f>
        <v>Senegal</v>
      </c>
      <c r="BE39" s="760">
        <f t="shared" ca="1" si="25"/>
        <v>3</v>
      </c>
      <c r="BF39" s="760">
        <f t="shared" ca="1" si="26"/>
        <v>3</v>
      </c>
      <c r="BG39" s="760">
        <f t="shared" ca="1" si="17"/>
        <v>1</v>
      </c>
      <c r="BH39" s="760">
        <f t="shared" ca="1" si="18"/>
        <v>0</v>
      </c>
      <c r="BI39" s="760">
        <f t="shared" ca="1" si="19"/>
        <v>2</v>
      </c>
      <c r="BJ39" s="760">
        <f t="shared" ca="1" si="20"/>
        <v>8</v>
      </c>
      <c r="BK39" s="760">
        <f t="shared" ca="1" si="21"/>
        <v>6</v>
      </c>
      <c r="BL39" s="760">
        <f t="shared" ca="1" si="27"/>
        <v>2</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3</v>
      </c>
      <c r="BS39" s="769">
        <f ca="1">BP39+COUNTIFS($BQ$6:$BQ$53,BQ39,$BR$6:BR$53,"&gt;"&amp;BR39,$BC$6:$BC$53,INDEX(T_Equipos[Grupo],MATCH(BD39,T_Equipos[NombreEquipo],0)))</f>
        <v>3</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3</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3</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3</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3</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3</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3</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Noruega</v>
      </c>
      <c r="DR39" s="756"/>
      <c r="DS39" s="756"/>
      <c r="DT39" s="756" t="str">
        <f t="shared" ca="1" si="15"/>
        <v>Ecuador-Curazao</v>
      </c>
      <c r="DU39" s="756"/>
      <c r="DV39" s="756"/>
      <c r="DW39" s="8"/>
    </row>
    <row r="40" spans="1:127" ht="16" customHeight="1" x14ac:dyDescent="0.2">
      <c r="A40" s="757" t="str">
        <f ca="1">+Equipos!B21</f>
        <v>Ecuador</v>
      </c>
      <c r="B40" s="754"/>
      <c r="C40" s="756"/>
      <c r="D40" s="756" t="str">
        <f t="shared" si="115"/>
        <v>Visitante</v>
      </c>
      <c r="E40" s="756" t="str">
        <f t="shared" ca="1" si="116"/>
        <v>-</v>
      </c>
      <c r="F40" s="756" t="str">
        <f t="shared" ca="1" si="117"/>
        <v>P.1 (2)</v>
      </c>
      <c r="G40" s="756"/>
      <c r="H40" s="756" t="str">
        <f t="shared" ca="1" si="118"/>
        <v>-</v>
      </c>
      <c r="I40" s="756" t="str">
        <f t="shared" ca="1" si="119"/>
        <v>-</v>
      </c>
      <c r="J40" s="756"/>
      <c r="K40" s="756" t="str">
        <f t="shared" ca="1" si="120"/>
        <v>-</v>
      </c>
      <c r="L40" s="756" t="str">
        <f t="shared" ca="1" si="121"/>
        <v>-</v>
      </c>
      <c r="M40" s="756"/>
      <c r="N40" s="756" t="str">
        <f t="shared" ca="1" si="122"/>
        <v>-</v>
      </c>
      <c r="O40" s="756" t="str">
        <f t="shared" ca="1" si="123"/>
        <v>-</v>
      </c>
      <c r="P40" s="756"/>
      <c r="Q40" s="756" t="str">
        <f t="shared" ca="1" si="124"/>
        <v>-</v>
      </c>
      <c r="R40" s="756" t="str">
        <f t="shared" ca="1" si="125"/>
        <v>-</v>
      </c>
      <c r="S40" s="756"/>
      <c r="T40" s="756" t="str">
        <f t="shared" ca="1" si="126"/>
        <v>-</v>
      </c>
      <c r="U40" s="756" t="str">
        <f t="shared" ca="1" si="127"/>
        <v>-</v>
      </c>
      <c r="V40" s="178"/>
      <c r="W40" s="819"/>
      <c r="X40" s="195">
        <f ca="1">Horarios!C40</f>
        <v>46198.916666666664</v>
      </c>
      <c r="Y40" s="196">
        <f ca="1">Horarios!C40</f>
        <v>46198.916666666664</v>
      </c>
      <c r="Z40" s="197" t="str">
        <f>$Z$8</f>
        <v>J3</v>
      </c>
      <c r="AA40" s="198" t="str">
        <f ca="1">A38</f>
        <v>Curazao</v>
      </c>
      <c r="AB40" s="486" t="str" cm="1">
        <f t="array" aca="1" ref="AB40" ca="1">Ver_flag_local</f>
        <v>🇨🇼</v>
      </c>
      <c r="AC40" s="199">
        <v>0</v>
      </c>
      <c r="AD40" s="200">
        <v>2</v>
      </c>
      <c r="AE40" s="491" t="str" cm="1">
        <f t="array" aca="1" ref="AE40" ca="1">Ver_flag_visit</f>
        <v>🇨🇮</v>
      </c>
      <c r="AF40" s="201" t="str">
        <f ca="1">A39</f>
        <v>Costa de Marfil</v>
      </c>
      <c r="AG40" s="421">
        <f t="shared" si="128"/>
        <v>1</v>
      </c>
      <c r="AH40" s="202">
        <v>55</v>
      </c>
      <c r="AI40" s="19" t="str">
        <f t="shared" si="133"/>
        <v>3E</v>
      </c>
      <c r="AJ40" s="227">
        <v>3</v>
      </c>
      <c r="AK40" s="494" t="str" cm="1">
        <f t="array" aca="1" ref="AK40" ca="1">Ver_flag_visit</f>
        <v>🇪🇨</v>
      </c>
      <c r="AL40" s="228" t="str">
        <f ca="1">IFERROR(INDEX($BD$6:$BD$53,MATCH(AI40,$BN$6:$BN$53,0)),"")</f>
        <v>Ecuador</v>
      </c>
      <c r="AM40" s="229">
        <f t="shared" ca="1" si="132"/>
        <v>4</v>
      </c>
      <c r="AN40" s="230">
        <f t="shared" ca="1" si="132"/>
        <v>3</v>
      </c>
      <c r="AO40" s="230">
        <f t="shared" ca="1" si="132"/>
        <v>1</v>
      </c>
      <c r="AP40" s="230">
        <f t="shared" ca="1" si="132"/>
        <v>1</v>
      </c>
      <c r="AQ40" s="230">
        <f t="shared" ca="1" si="132"/>
        <v>1</v>
      </c>
      <c r="AR40" s="230">
        <f t="shared" ca="1" si="132"/>
        <v>2</v>
      </c>
      <c r="AS40" s="230">
        <f t="shared" ca="1" si="132"/>
        <v>2</v>
      </c>
      <c r="AT40" s="231">
        <f t="shared" ca="1" si="132"/>
        <v>0</v>
      </c>
      <c r="AU40" s="428">
        <f ca="1">INDEX($DL$6:$DL$53,MATCH(AI40,$DP$6:$DP$53,0))</f>
        <v>1</v>
      </c>
      <c r="AV40" s="223" t="str">
        <f ca="1">INDEX($BD$6:$BD$53,MATCH(AI40,$BM$6:$BM$53,0))</f>
        <v>Ecuador</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1</v>
      </c>
      <c r="BK40" s="760">
        <f t="shared" ca="1" si="21"/>
        <v>12</v>
      </c>
      <c r="BL40" s="760">
        <f t="shared" ca="1" si="27"/>
        <v>-11</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 customHeight="1" thickBot="1" x14ac:dyDescent="0.25">
      <c r="A41" s="751"/>
      <c r="B41" s="751"/>
      <c r="C41" s="751"/>
      <c r="D41" s="756" t="str">
        <f t="shared" si="115"/>
        <v>Local</v>
      </c>
      <c r="E41" s="756" t="str">
        <f t="shared" ca="1" si="116"/>
        <v>-</v>
      </c>
      <c r="F41" s="756" t="str">
        <f t="shared" ca="1" si="117"/>
        <v>P.1 (2)</v>
      </c>
      <c r="G41" s="756"/>
      <c r="H41" s="756" t="str">
        <f t="shared" ca="1" si="118"/>
        <v>-</v>
      </c>
      <c r="I41" s="756" t="str">
        <f t="shared" ca="1" si="119"/>
        <v>-</v>
      </c>
      <c r="J41" s="756"/>
      <c r="K41" s="756" t="str">
        <f t="shared" ca="1" si="120"/>
        <v>-</v>
      </c>
      <c r="L41" s="756" t="str">
        <f t="shared" ca="1" si="121"/>
        <v>-</v>
      </c>
      <c r="M41" s="756"/>
      <c r="N41" s="756" t="str">
        <f t="shared" ca="1" si="122"/>
        <v>-</v>
      </c>
      <c r="O41" s="756" t="str">
        <f t="shared" ca="1" si="123"/>
        <v>-</v>
      </c>
      <c r="P41" s="756"/>
      <c r="Q41" s="756" t="str">
        <f t="shared" ca="1" si="124"/>
        <v>-</v>
      </c>
      <c r="R41" s="756" t="str">
        <f t="shared" ca="1" si="125"/>
        <v>-</v>
      </c>
      <c r="S41" s="756"/>
      <c r="T41" s="756" t="str">
        <f t="shared" ca="1" si="126"/>
        <v>-</v>
      </c>
      <c r="U41" s="756" t="str">
        <f t="shared" ca="1" si="127"/>
        <v>-</v>
      </c>
      <c r="V41" s="178"/>
      <c r="W41" s="820"/>
      <c r="X41" s="234">
        <f ca="1">Horarios!C41</f>
        <v>46198.916666666664</v>
      </c>
      <c r="Y41" s="235">
        <f ca="1">Horarios!C41</f>
        <v>46198.916666666664</v>
      </c>
      <c r="Z41" s="236" t="str">
        <f>$Z$8</f>
        <v>J3</v>
      </c>
      <c r="AA41" s="237" t="str">
        <f ca="1">A40</f>
        <v>Ecuador</v>
      </c>
      <c r="AB41" s="487" t="str" cm="1">
        <f t="array" aca="1" ref="AB41" ca="1">Ver_flag_local</f>
        <v>🇪🇨</v>
      </c>
      <c r="AC41" s="238">
        <v>2</v>
      </c>
      <c r="AD41" s="239">
        <v>1</v>
      </c>
      <c r="AE41" s="492" t="str" cm="1">
        <f t="array" aca="1" ref="AE41" ca="1">Ver_flag_visit</f>
        <v>🇩🇪</v>
      </c>
      <c r="AF41" s="240" t="str">
        <f ca="1">A37</f>
        <v>Alemania</v>
      </c>
      <c r="AG41" s="421">
        <f t="shared" si="128"/>
        <v>1</v>
      </c>
      <c r="AH41" s="202">
        <v>56</v>
      </c>
      <c r="AI41" s="19" t="str">
        <f t="shared" si="133"/>
        <v>4E</v>
      </c>
      <c r="AJ41" s="241">
        <v>4</v>
      </c>
      <c r="AK41" s="495" t="str" cm="1">
        <f t="array" aca="1" ref="AK41" ca="1">Ver_flag_visit</f>
        <v>🇨🇼</v>
      </c>
      <c r="AL41" s="242" t="str">
        <f ca="1">IFERROR(INDEX($BD$6:$BD$53,MATCH(AI41,$BN$6:$BN$53,0)),"")</f>
        <v>Curazao</v>
      </c>
      <c r="AM41" s="243">
        <f t="shared" ca="1" si="132"/>
        <v>1</v>
      </c>
      <c r="AN41" s="244">
        <f t="shared" ca="1" si="132"/>
        <v>3</v>
      </c>
      <c r="AO41" s="244">
        <f t="shared" ca="1" si="132"/>
        <v>0</v>
      </c>
      <c r="AP41" s="244">
        <f t="shared" ca="1" si="132"/>
        <v>1</v>
      </c>
      <c r="AQ41" s="244">
        <f t="shared" ca="1" si="132"/>
        <v>2</v>
      </c>
      <c r="AR41" s="244">
        <f t="shared" ca="1" si="132"/>
        <v>1</v>
      </c>
      <c r="AS41" s="244">
        <f t="shared" ca="1" si="132"/>
        <v>9</v>
      </c>
      <c r="AT41" s="245">
        <f t="shared" ca="1" si="132"/>
        <v>-8</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6</v>
      </c>
      <c r="BF41" s="760">
        <f t="shared" ca="1" si="26"/>
        <v>3</v>
      </c>
      <c r="BG41" s="760">
        <f t="shared" ca="1" si="17"/>
        <v>2</v>
      </c>
      <c r="BH41" s="760">
        <f t="shared" ca="1" si="18"/>
        <v>0</v>
      </c>
      <c r="BI41" s="760">
        <f t="shared" ca="1" si="19"/>
        <v>1</v>
      </c>
      <c r="BJ41" s="760">
        <f t="shared" ca="1" si="20"/>
        <v>8</v>
      </c>
      <c r="BK41" s="760">
        <f t="shared" ca="1" si="21"/>
        <v>7</v>
      </c>
      <c r="BL41" s="760">
        <f t="shared" ca="1" si="27"/>
        <v>1</v>
      </c>
      <c r="BM41" s="760" t="str">
        <f t="shared" ca="1" si="22"/>
        <v>2I</v>
      </c>
      <c r="BN41" s="760" t="str">
        <f t="shared" ca="1" si="23"/>
        <v>2I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6</v>
      </c>
      <c r="BS41" s="769">
        <f ca="1">BP41+COUNTIFS($BQ$6:$BQ$53,BQ41,$BR$6:BR$53,"&gt;"&amp;BR41,$BC$6:$BC$53,INDEX(T_Equipos[Grupo],MATCH(BD41,T_Equipos[NombreEquipo],0)))</f>
        <v>2</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2</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2</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2</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2</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2</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2</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2</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2</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2</v>
      </c>
      <c r="DE41" s="768"/>
      <c r="DF41" s="768">
        <f t="shared" ca="1" si="52"/>
        <v>2</v>
      </c>
      <c r="DG41" s="768" t="str">
        <f ca="1">IF(DB41="-","-",COUNTIFS(DF$6:DF$53,"&lt;"&amp;DF41,$BC$6:$BC$53,INDEX(T_Equipos[Grupo],MATCH(BD41,T_Equipos[NombreEquipo],0))))</f>
        <v>-</v>
      </c>
      <c r="DH41" s="768">
        <f ca="1">DA41+COUNTIFS(DB$6:DB$53,DB41,DG$6:DG$53,"&lt;"&amp;DG41,$BC$6:$BC$53,INDEX(T_Equipos[Grupo],MATCH(BD41,T_Equipos[NombreEquipo],0)))</f>
        <v>2</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6" thickBot="1" x14ac:dyDescent="0.25">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8</v>
      </c>
      <c r="BK42" s="760">
        <f t="shared" ca="1" si="21"/>
        <v>1</v>
      </c>
      <c r="BL42" s="760">
        <f t="shared" ca="1" si="27"/>
        <v>7</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6" thickBot="1" x14ac:dyDescent="0.25">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4</v>
      </c>
      <c r="BF43" s="760">
        <f t="shared" ca="1" si="26"/>
        <v>3</v>
      </c>
      <c r="BG43" s="760">
        <f t="shared" ca="1" si="17"/>
        <v>1</v>
      </c>
      <c r="BH43" s="760">
        <f t="shared" ca="1" si="18"/>
        <v>1</v>
      </c>
      <c r="BI43" s="760">
        <f t="shared" ca="1" si="19"/>
        <v>1</v>
      </c>
      <c r="BJ43" s="760">
        <f t="shared" ca="1" si="20"/>
        <v>5</v>
      </c>
      <c r="BK43" s="760">
        <f t="shared" ca="1" si="21"/>
        <v>7</v>
      </c>
      <c r="BL43" s="760">
        <f t="shared" ca="1" si="27"/>
        <v>-2</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4</v>
      </c>
      <c r="BS43" s="769">
        <f ca="1">BP43+COUNTIFS($BQ$6:$BQ$53,BQ43,$BR$6:BR$53,"&gt;"&amp;BR43,$BC$6:$BC$53,INDEX(T_Equipos[Grupo],MATCH(BD43,T_Equipos[NombreEquipo],0)))</f>
        <v>2</v>
      </c>
      <c r="BT43" s="769" t="str">
        <f ca="1">IF(COUNTIFS($BS$6:$BS$53,BS43,$BC$6:$BC$53,INDEX(T_Equipos[Grupo],MATCH(BD43,T_Equipos[NombreEquipo],0)))=1,"-","P."&amp;BS43&amp;" ("&amp;COUNTIFS($BS$6:$BS$53,BS43,$BC$6:$BC$53,INDEX(T_Equipos[Grupo],MATCH(BD43,T_Equipos[NombreEquipo],0)))&amp;")")</f>
        <v>P.2 (2)</v>
      </c>
      <c r="BU43" s="770">
        <f t="shared" ca="1" si="36"/>
        <v>0</v>
      </c>
      <c r="BV43" s="770">
        <f t="shared" ca="1" si="37"/>
        <v>1</v>
      </c>
      <c r="BW43" s="770">
        <f t="shared" ca="1" si="38"/>
        <v>0</v>
      </c>
      <c r="BX43" s="770">
        <f t="shared" ca="1" si="39"/>
        <v>1</v>
      </c>
      <c r="BY43" s="770">
        <f ca="1">BS43+COUNTIFS($BT$6:$BT$53,BT43,$BX$6:BX$53,"&gt;"&amp;BX43,$BC$6:$BC$53,INDEX(T_Equipos[Grupo],MATCH(BD43,T_Equipos[NombreEquipo],0)))</f>
        <v>2</v>
      </c>
      <c r="BZ43" s="769" t="str">
        <f ca="1">IF(COUNTIFS($BY$6:$BY$53,BY43,$BC$6:$BC$53,INDEX(T_Equipos[Grupo],MATCH(BD43,T_Equipos[NombreEquipo],0)))=1,"-","P."&amp;BY43&amp;" ("&amp;COUNTIFS($BY$6:$BY$53,BY43,$BC$6:$BC$53,INDEX(T_Equipos[Grupo],MATCH(BD43,T_Equipos[NombreEquipo],0)))&amp;")")</f>
        <v>P.2 (2)</v>
      </c>
      <c r="CA43" s="770">
        <f t="shared" ca="1" si="40"/>
        <v>3</v>
      </c>
      <c r="CB43" s="770">
        <f t="shared" ca="1" si="41"/>
        <v>3</v>
      </c>
      <c r="CC43" s="770">
        <f t="shared" ca="1" si="42"/>
        <v>0</v>
      </c>
      <c r="CD43" s="770">
        <f ca="1">BY43+COUNTIFS($BZ$6:$BZ$53,BZ43,$CC$6:CC$53,"&gt;"&amp;CC43,$BC$6:$BC$53,INDEX(T_Equipos[Grupo],MATCH(BD43,T_Equipos[NombreEquipo],0)))</f>
        <v>2</v>
      </c>
      <c r="CE43" s="769" t="str">
        <f ca="1">IF(COUNTIFS($CD$6:$CD$53,CD43,$BC$6:$BC$53,INDEX(T_Equipos[Grupo],MATCH(BD43,T_Equipos[NombreEquipo],0)))=1,"-","P."&amp;CD43&amp;" ("&amp;COUNTIFS($CD$6:$CD$53,CD43,$BC$6:$BC$53,INDEX(T_Equipos[Grupo],MATCH(BD43,T_Equipos[NombreEquipo],0)))&amp;")")</f>
        <v>P.2 (2)</v>
      </c>
      <c r="CF43" s="770">
        <f t="shared" ca="1" si="43"/>
        <v>3</v>
      </c>
      <c r="CG43" s="770">
        <f ca="1">CD43+COUNTIFS($CE$6:$CE$53,CE43,$CF$6:CF$53,"&gt;"&amp;CF43,$BC$6:$BC$53,INDEX(T_Equipos[Grupo],MATCH(BD43,T_Equipos[NombreEquipo],0)))</f>
        <v>2</v>
      </c>
      <c r="CH43" s="769" t="str">
        <f ca="1">IF(COUNTIFS($CG$6:$CG$53,CG43,$BC$6:$BC$53,INDEX(T_Equipos[Grupo],MATCH(BD43,T_Equipos[NombreEquipo],0)))=1,"-","P."&amp;CG43&amp;" ("&amp;COUNTIFS($CG$6:$CG$53,CG43,$BC$6:$BC$53,INDEX(T_Equipos[Grupo],MATCH(BD43,T_Equipos[NombreEquipo],0)))&amp;")")</f>
        <v>P.2 (2)</v>
      </c>
      <c r="CI43" s="770">
        <f t="shared" ca="1" si="44"/>
        <v>0</v>
      </c>
      <c r="CJ43" s="770">
        <f t="shared" ca="1" si="45"/>
        <v>1</v>
      </c>
      <c r="CK43" s="770">
        <f t="shared" ca="1" si="46"/>
        <v>0</v>
      </c>
      <c r="CL43" s="770">
        <f t="shared" ca="1" si="47"/>
        <v>1</v>
      </c>
      <c r="CM43" s="770">
        <f ca="1">CG43+COUNTIFS($CH$6:$CH$53,CH43,$CL$6:CL$53,"&gt;"&amp;CL43,$BC$6:$BC$53,INDEX(T_Equipos[Grupo],MATCH(BD43,T_Equipos[NombreEquipo],0)))</f>
        <v>2</v>
      </c>
      <c r="CN43" s="769" t="str">
        <f ca="1">IF(COUNTIFS($CM$6:$CM$53,CM43,$BC$6:$BC$53,INDEX(T_Equipos[Grupo],MATCH(BD43,T_Equipos[NombreEquipo],0)))=1,"-","P."&amp;CM43&amp;" ("&amp;COUNTIFS($CM$6:$CM$53,CM43,$BC$6:$BC$53,INDEX(T_Equipos[Grupo],MATCH(BD43,T_Equipos[NombreEquipo],0)))&amp;")")</f>
        <v>P.2 (2)</v>
      </c>
      <c r="CO43" s="770">
        <f t="shared" ca="1" si="48"/>
        <v>3</v>
      </c>
      <c r="CP43" s="770">
        <f t="shared" ca="1" si="49"/>
        <v>3</v>
      </c>
      <c r="CQ43" s="770">
        <f t="shared" ca="1" si="50"/>
        <v>0</v>
      </c>
      <c r="CR43" s="770">
        <f ca="1">CM43+COUNTIFS($CN$6:$CN$53,CN43,$CQ$6:CQ$53,"&gt;"&amp;CQ43,$BC$6:$BC$53,INDEX(T_Equipos[Grupo],MATCH(BD43,T_Equipos[NombreEquipo],0)))</f>
        <v>2</v>
      </c>
      <c r="CS43" s="769" t="str">
        <f ca="1">IF(COUNTIFS($CR$6:$CR$53,CR43,$BC$6:$BC$53,INDEX(T_Equipos[Grupo],MATCH(BD43,T_Equipos[NombreEquipo],0)))=1,"-","P."&amp;CR43&amp;" ("&amp;COUNTIFS($CR$6:$CR$53,CR43,$BC$6:$BC$53,INDEX(T_Equipos[Grupo],MATCH(BD43,T_Equipos[NombreEquipo],0)))&amp;")")</f>
        <v>P.2 (2)</v>
      </c>
      <c r="CT43" s="770">
        <f t="shared" ca="1" si="51"/>
        <v>3</v>
      </c>
      <c r="CU43" s="770">
        <f ca="1">CR43+COUNTIFS($CS$6:$CS$53,CS43,$CT$6:CT$53,"&gt;"&amp;CT43,$BC$6:$BC$53,INDEX(T_Equipos[Grupo],MATCH(BD43,T_Equipos[NombreEquipo],0)))</f>
        <v>2</v>
      </c>
      <c r="CV43" s="769" t="str">
        <f ca="1">IF(COUNTIFS($CU$6:$CU$53,CU43,$BC$6:$BC$53,INDEX(T_Equipos[Grupo],MATCH(BD43,T_Equipos[NombreEquipo],0)))=1,"-","P."&amp;CU43&amp;" ("&amp;COUNTIFS($CU$6:$CU$53,CU43,$BC$6:$BC$53,INDEX(T_Equipos[Grupo],MATCH(BD43,T_Equipos[NombreEquipo],0)))&amp;")")</f>
        <v>P.2 (2)</v>
      </c>
      <c r="CW43" s="769">
        <f t="shared" ca="1" si="30"/>
        <v>-2</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6" customHeight="1" thickBot="1" x14ac:dyDescent="0.25">
      <c r="A44" s="753" t="s">
        <v>30</v>
      </c>
      <c r="B44" s="754" t="s">
        <v>4</v>
      </c>
      <c r="C44" s="755">
        <f>COUNTIF(Equipos!$C$2:$C$49,WORLDCUP!B44)</f>
        <v>4</v>
      </c>
      <c r="D44" s="756" t="str">
        <f t="shared" ref="D44:D50" si="136">IF(OR(AC44="",AD44=""),"Pendiente",IF(AC44&gt;AD44,"Local",IF(AC44&lt;AD44,"Visitante","Empate")))</f>
        <v>Empate</v>
      </c>
      <c r="E44" s="756" t="str">
        <f t="shared" ref="E44:E49" ca="1" si="137">IF(D44="Pendiente","-",INDEX($BT$6:$BT$53,MATCH($AA44,$BD$6:$BD$53,0)))</f>
        <v>-</v>
      </c>
      <c r="F44" s="756" t="str">
        <f t="shared" ref="F44:F49" ca="1" si="138">IF(D44="Pendiente","-",INDEX($BT$6:$BT$53,MATCH($AF44,$BD$6:$BD$53,0)))</f>
        <v>-</v>
      </c>
      <c r="G44" s="756"/>
      <c r="H44" s="756" t="str">
        <f t="shared" ref="H44:H49" ca="1" si="139">IF(D44="Pendiente","-",INDEX($BZ$6:$BZ$53,MATCH($AA44,$BD$6:$BD$53,0)))</f>
        <v>-</v>
      </c>
      <c r="I44" s="756" t="str">
        <f t="shared" ref="I44:I49" ca="1" si="140">IF(D44="Pendiente","-",INDEX($BZ$6:$BZ$53,MATCH($AF44,$BD$6:$BD$53,0)))</f>
        <v>-</v>
      </c>
      <c r="J44" s="756"/>
      <c r="K44" s="756" t="str">
        <f t="shared" ref="K44:K49" ca="1" si="141">IF(D44="Pendiente","-",INDEX($CE$6:$CE$53,MATCH($AA44,$BD$6:$BD$53,0)))</f>
        <v>-</v>
      </c>
      <c r="L44" s="756" t="str">
        <f t="shared" ref="L44:L49" ca="1" si="142">IF(D44="Pendiente","-",INDEX($CE$6:$CE$53,MATCH($AF44,$BD$6:$BD$53,0)))</f>
        <v>-</v>
      </c>
      <c r="M44" s="756"/>
      <c r="N44" s="756" t="str">
        <f t="shared" ref="N44:N49" ca="1" si="143">IF(D44="Pendiente","-",INDEX($CH$6:$CH$53,MATCH($AA44,$BD$6:$BD$53,0)))</f>
        <v>-</v>
      </c>
      <c r="O44" s="756" t="str">
        <f t="shared" ref="O44:O49" ca="1" si="144">IF(D44="Pendiente","-",INDEX($CH$6:$CH$53,MATCH($AF44,$BD$6:$BD$53,0)))</f>
        <v>-</v>
      </c>
      <c r="P44" s="756"/>
      <c r="Q44" s="756" t="str">
        <f t="shared" ref="Q44:Q49" ca="1" si="145">IF(D44="Pendiente","-",INDEX($CN$6:$CN$53,MATCH($AA44,$BD$6:$BD$53,0)))</f>
        <v>-</v>
      </c>
      <c r="R44" s="756" t="str">
        <f t="shared" ref="R44:R49" ca="1" si="146">IF(D44="Pendiente","-",INDEX($CN$6:$CN$53,MATCH($AF44,$BD$6:$BD$53,0)))</f>
        <v>-</v>
      </c>
      <c r="S44" s="756"/>
      <c r="T44" s="756" t="str">
        <f t="shared" ref="T44:T49" ca="1" si="147">IF(D44="Pendiente","-",INDEX($CS$6:$CS$53,MATCH($AA44,$BD$6:$BD$53,0)))</f>
        <v>-</v>
      </c>
      <c r="U44" s="756" t="str">
        <f t="shared" ref="U44:U49" ca="1" si="148">IF(D44="Pendiente","-",INDEX($CS$6:$CS$53,MATCH($AF44,$BD$6:$BD$53,0)))</f>
        <v>-</v>
      </c>
      <c r="V44" s="178"/>
      <c r="W44" s="829" t="s">
        <v>4</v>
      </c>
      <c r="X44" s="195">
        <f ca="1">Horarios!C44</f>
        <v>46187.916666666664</v>
      </c>
      <c r="Y44" s="196">
        <f ca="1">Horarios!C44</f>
        <v>46187.916666666664</v>
      </c>
      <c r="Z44" s="197" t="str">
        <f>$Z$4</f>
        <v>J1</v>
      </c>
      <c r="AA44" s="198" t="str">
        <f ca="1">A45</f>
        <v>Países Bajos</v>
      </c>
      <c r="AB44" s="486" t="str" cm="1">
        <f t="array" aca="1" ref="AB44" ca="1">Ver_flag_local</f>
        <v>🇳🇱</v>
      </c>
      <c r="AC44" s="199">
        <v>2</v>
      </c>
      <c r="AD44" s="200">
        <v>2</v>
      </c>
      <c r="AE44" s="491" t="str" cm="1">
        <f t="array" aca="1" ref="AE44" ca="1">Ver_flag_visit</f>
        <v>🇯🇵</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4</v>
      </c>
      <c r="BF44" s="760">
        <f t="shared" ca="1" si="26"/>
        <v>3</v>
      </c>
      <c r="BG44" s="760">
        <f t="shared" ca="1" si="17"/>
        <v>1</v>
      </c>
      <c r="BH44" s="760">
        <f t="shared" ca="1" si="18"/>
        <v>1</v>
      </c>
      <c r="BI44" s="760">
        <f t="shared" ca="1" si="19"/>
        <v>1</v>
      </c>
      <c r="BJ44" s="760">
        <f t="shared" ca="1" si="20"/>
        <v>6</v>
      </c>
      <c r="BK44" s="760">
        <f t="shared" ca="1" si="21"/>
        <v>6</v>
      </c>
      <c r="BL44" s="760">
        <f t="shared" ca="1" si="27"/>
        <v>0</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4</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P.2 (2)</v>
      </c>
      <c r="BU44" s="770">
        <f t="shared" ca="1" si="36"/>
        <v>0</v>
      </c>
      <c r="BV44" s="770">
        <f t="shared" ca="1" si="37"/>
        <v>1</v>
      </c>
      <c r="BW44" s="770">
        <f t="shared" ca="1" si="38"/>
        <v>0</v>
      </c>
      <c r="BX44" s="770">
        <f t="shared" ca="1" si="39"/>
        <v>1</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P.2 (2)</v>
      </c>
      <c r="CA44" s="770">
        <f t="shared" ca="1" si="40"/>
        <v>3</v>
      </c>
      <c r="CB44" s="770">
        <f t="shared" ca="1" si="41"/>
        <v>3</v>
      </c>
      <c r="CC44" s="770">
        <f t="shared" ca="1" si="42"/>
        <v>0</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P.2 (2)</v>
      </c>
      <c r="CF44" s="770">
        <f t="shared" ca="1" si="43"/>
        <v>3</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P.2 (2)</v>
      </c>
      <c r="CI44" s="770">
        <f t="shared" ca="1" si="44"/>
        <v>0</v>
      </c>
      <c r="CJ44" s="770">
        <f t="shared" ca="1" si="45"/>
        <v>1</v>
      </c>
      <c r="CK44" s="770">
        <f t="shared" ca="1" si="46"/>
        <v>0</v>
      </c>
      <c r="CL44" s="770">
        <f t="shared" ca="1" si="47"/>
        <v>1</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P.2 (2)</v>
      </c>
      <c r="CO44" s="770">
        <f t="shared" ca="1" si="48"/>
        <v>3</v>
      </c>
      <c r="CP44" s="770">
        <f t="shared" ca="1" si="49"/>
        <v>3</v>
      </c>
      <c r="CQ44" s="770">
        <f t="shared" ca="1" si="50"/>
        <v>0</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P.2 (2)</v>
      </c>
      <c r="CT44" s="770">
        <f t="shared" ca="1" si="51"/>
        <v>3</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P.2 (2)</v>
      </c>
      <c r="CW44" s="769">
        <f t="shared" ca="1" si="30"/>
        <v>0</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6" customHeight="1" x14ac:dyDescent="0.2">
      <c r="A45" s="757" t="str">
        <f ca="1">+Equipos!B22</f>
        <v>Países Bajos</v>
      </c>
      <c r="B45" s="754"/>
      <c r="C45" s="754"/>
      <c r="D45" s="756" t="str">
        <f t="shared" si="136"/>
        <v>Local</v>
      </c>
      <c r="E45" s="756" t="str">
        <f t="shared" ca="1" si="137"/>
        <v>-</v>
      </c>
      <c r="F45" s="756" t="str">
        <f t="shared" ca="1" si="138"/>
        <v>-</v>
      </c>
      <c r="G45" s="756"/>
      <c r="H45" s="756" t="str">
        <f t="shared" ca="1" si="139"/>
        <v>-</v>
      </c>
      <c r="I45" s="756" t="str">
        <f t="shared" ca="1" si="140"/>
        <v>-</v>
      </c>
      <c r="J45" s="756"/>
      <c r="K45" s="756" t="str">
        <f t="shared" ca="1" si="141"/>
        <v>-</v>
      </c>
      <c r="L45" s="756" t="str">
        <f t="shared" ca="1" si="142"/>
        <v>-</v>
      </c>
      <c r="M45" s="756"/>
      <c r="N45" s="756" t="str">
        <f t="shared" ca="1" si="143"/>
        <v>-</v>
      </c>
      <c r="O45" s="756" t="str">
        <f t="shared" ca="1" si="144"/>
        <v>-</v>
      </c>
      <c r="P45" s="756"/>
      <c r="Q45" s="756" t="str">
        <f t="shared" ca="1" si="145"/>
        <v>-</v>
      </c>
      <c r="R45" s="756" t="str">
        <f t="shared" ca="1" si="146"/>
        <v>-</v>
      </c>
      <c r="S45" s="756"/>
      <c r="T45" s="756" t="str">
        <f t="shared" ca="1" si="147"/>
        <v>-</v>
      </c>
      <c r="U45" s="756" t="str">
        <f t="shared" ca="1" si="148"/>
        <v>-</v>
      </c>
      <c r="V45" s="178"/>
      <c r="W45" s="829"/>
      <c r="X45" s="195">
        <f ca="1">Horarios!C45</f>
        <v>46188.166666666664</v>
      </c>
      <c r="Y45" s="196">
        <f ca="1">Horarios!C45</f>
        <v>46188.166666666664</v>
      </c>
      <c r="Z45" s="197" t="str">
        <f>$Z$4</f>
        <v>J1</v>
      </c>
      <c r="AA45" s="198" t="str">
        <f ca="1">A47</f>
        <v>Suecia</v>
      </c>
      <c r="AB45" s="486" t="str" cm="1">
        <f t="array" aca="1" ref="AB45" ca="1">Ver_flag_local</f>
        <v>🇸🇪</v>
      </c>
      <c r="AC45" s="199">
        <v>5</v>
      </c>
      <c r="AD45" s="200">
        <v>1</v>
      </c>
      <c r="AE45" s="491" t="str" cm="1">
        <f t="array" aca="1" ref="AE45" ca="1">Ver_flag_visit</f>
        <v>🇹🇳</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3</v>
      </c>
      <c r="BG45" s="760">
        <f t="shared" ca="1" si="17"/>
        <v>0</v>
      </c>
      <c r="BH45" s="760">
        <f t="shared" ca="1" si="18"/>
        <v>0</v>
      </c>
      <c r="BI45" s="760">
        <f t="shared" ca="1" si="19"/>
        <v>3</v>
      </c>
      <c r="BJ45" s="760">
        <f t="shared" ca="1" si="20"/>
        <v>3</v>
      </c>
      <c r="BK45" s="760">
        <f t="shared" ca="1" si="21"/>
        <v>8</v>
      </c>
      <c r="BL45" s="760">
        <f t="shared" ca="1" si="27"/>
        <v>-5</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6" customHeight="1" x14ac:dyDescent="0.2">
      <c r="A46" s="757" t="str">
        <f ca="1">+Equipos!B23</f>
        <v>Japón</v>
      </c>
      <c r="B46" s="754"/>
      <c r="C46" s="758"/>
      <c r="D46" s="756" t="str">
        <f t="shared" si="136"/>
        <v>Local</v>
      </c>
      <c r="E46" s="756" t="str">
        <f t="shared" ca="1" si="137"/>
        <v>-</v>
      </c>
      <c r="F46" s="756" t="str">
        <f t="shared" ca="1" si="138"/>
        <v>-</v>
      </c>
      <c r="G46" s="756"/>
      <c r="H46" s="756" t="str">
        <f t="shared" ca="1" si="139"/>
        <v>-</v>
      </c>
      <c r="I46" s="756" t="str">
        <f t="shared" ca="1" si="140"/>
        <v>-</v>
      </c>
      <c r="J46" s="756"/>
      <c r="K46" s="756" t="str">
        <f t="shared" ca="1" si="141"/>
        <v>-</v>
      </c>
      <c r="L46" s="756" t="str">
        <f t="shared" ca="1" si="142"/>
        <v>-</v>
      </c>
      <c r="M46" s="756"/>
      <c r="N46" s="756" t="str">
        <f t="shared" ca="1" si="143"/>
        <v>-</v>
      </c>
      <c r="O46" s="756" t="str">
        <f t="shared" ca="1" si="144"/>
        <v>-</v>
      </c>
      <c r="P46" s="756"/>
      <c r="Q46" s="756" t="str">
        <f t="shared" ca="1" si="145"/>
        <v>-</v>
      </c>
      <c r="R46" s="756" t="str">
        <f t="shared" ca="1" si="146"/>
        <v>-</v>
      </c>
      <c r="S46" s="756"/>
      <c r="T46" s="756" t="str">
        <f t="shared" ca="1" si="147"/>
        <v>-</v>
      </c>
      <c r="U46" s="756" t="str">
        <f t="shared" ca="1" si="148"/>
        <v>-</v>
      </c>
      <c r="V46" s="178"/>
      <c r="W46" s="829"/>
      <c r="X46" s="195">
        <f ca="1">Horarios!C46</f>
        <v>46193.791666666664</v>
      </c>
      <c r="Y46" s="196">
        <f ca="1">Horarios!C46</f>
        <v>46193.791666666664</v>
      </c>
      <c r="Z46" s="197" t="str">
        <f>$Z$6</f>
        <v>J2</v>
      </c>
      <c r="AA46" s="198" t="str">
        <f ca="1">A45</f>
        <v>Países Bajos</v>
      </c>
      <c r="AB46" s="486" t="str" cm="1">
        <f t="array" aca="1" ref="AB46" ca="1">Ver_flag_local</f>
        <v>🇳🇱</v>
      </c>
      <c r="AC46" s="199">
        <v>5</v>
      </c>
      <c r="AD46" s="200">
        <v>1</v>
      </c>
      <c r="AE46" s="491" t="str" cm="1">
        <f t="array" aca="1" ref="AE46" ca="1">Ver_flag_visit</f>
        <v>🇸🇪</v>
      </c>
      <c r="AF46" s="201" t="str">
        <f ca="1">A47</f>
        <v>Suecia</v>
      </c>
      <c r="AG46" s="421">
        <f t="shared" si="149"/>
        <v>1</v>
      </c>
      <c r="AH46" s="202">
        <v>35</v>
      </c>
      <c r="AI46" s="19" t="str">
        <f>AJ46&amp;$B$44</f>
        <v>1F</v>
      </c>
      <c r="AJ46" s="217">
        <v>1</v>
      </c>
      <c r="AK46" s="496" t="str" cm="1">
        <f t="array" aca="1" ref="AK46" ca="1">Ver_flag_visit</f>
        <v>🇳🇱</v>
      </c>
      <c r="AL46" s="218" t="str">
        <f ca="1">IFERROR(INDEX($BD$6:$BD$53,MATCH(AI46,$BN$6:$BN$53,0)),"")</f>
        <v>Países Bajos</v>
      </c>
      <c r="AM46" s="219">
        <f t="shared" ref="AM46:AT49" ca="1" si="153">INDEX($BE$6:$BN$53,MATCH($AL46,$BD$6:$BD$53,0),MATCH(AM$5,$BE$5:$BN$5,0))</f>
        <v>7</v>
      </c>
      <c r="AN46" s="220">
        <f t="shared" ca="1" si="153"/>
        <v>3</v>
      </c>
      <c r="AO46" s="220">
        <f t="shared" ca="1" si="153"/>
        <v>2</v>
      </c>
      <c r="AP46" s="220">
        <f t="shared" ca="1" si="153"/>
        <v>1</v>
      </c>
      <c r="AQ46" s="220">
        <f t="shared" ca="1" si="153"/>
        <v>0</v>
      </c>
      <c r="AR46" s="220">
        <f t="shared" ca="1" si="153"/>
        <v>10</v>
      </c>
      <c r="AS46" s="220">
        <f t="shared" ca="1" si="153"/>
        <v>4</v>
      </c>
      <c r="AT46" s="221">
        <f t="shared" ca="1" si="153"/>
        <v>6</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5</v>
      </c>
      <c r="BF46" s="760">
        <f t="shared" ca="1" si="26"/>
        <v>3</v>
      </c>
      <c r="BG46" s="760">
        <f t="shared" ca="1" si="17"/>
        <v>1</v>
      </c>
      <c r="BH46" s="760">
        <f t="shared" ca="1" si="18"/>
        <v>2</v>
      </c>
      <c r="BI46" s="760">
        <f t="shared" ca="1" si="19"/>
        <v>0</v>
      </c>
      <c r="BJ46" s="760">
        <f t="shared" ca="1" si="20"/>
        <v>6</v>
      </c>
      <c r="BK46" s="760">
        <f t="shared" ca="1" si="21"/>
        <v>1</v>
      </c>
      <c r="BL46" s="760">
        <f t="shared" ca="1" si="27"/>
        <v>5</v>
      </c>
      <c r="BM46" s="760" t="str">
        <f t="shared" ca="1" si="22"/>
        <v>2K</v>
      </c>
      <c r="BN46" s="760" t="str">
        <f t="shared" ca="1" si="23"/>
        <v>2K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5</v>
      </c>
      <c r="BS46" s="769">
        <f ca="1">BP46+COUNTIFS($BQ$6:$BQ$53,BQ46,$BR$6:BR$53,"&gt;"&amp;BR46,$BC$6:$BC$53,INDEX(T_Equipos[Grupo],MATCH(BD46,T_Equipos[NombreEquipo],0)))</f>
        <v>2</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2</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2</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2</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2</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2</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2</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2</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2</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2</v>
      </c>
      <c r="DE46" s="768"/>
      <c r="DF46" s="768">
        <f t="shared" ca="1" si="52"/>
        <v>2</v>
      </c>
      <c r="DG46" s="768" t="str">
        <f ca="1">IF(DB46="-","-",COUNTIFS(DF$6:DF$53,"&lt;"&amp;DF46,$BC$6:$BC$53,INDEX(T_Equipos[Grupo],MATCH(BD46,T_Equipos[NombreEquipo],0))))</f>
        <v>-</v>
      </c>
      <c r="DH46" s="768">
        <f ca="1">DA46+COUNTIFS(DB$6:DB$53,DB46,DG$6:DG$53,"&lt;"&amp;DG46,$BC$6:$BC$53,INDEX(T_Equipos[Grupo],MATCH(BD46,T_Equipos[NombreEquipo],0)))</f>
        <v>2</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Colombia</v>
      </c>
      <c r="DR46" s="756"/>
      <c r="DS46" s="756"/>
      <c r="DT46" s="756" t="str">
        <f t="shared" ca="1" si="15"/>
        <v>Países Bajos-Suecia</v>
      </c>
      <c r="DU46" s="756"/>
      <c r="DV46" s="756"/>
      <c r="DW46" s="8"/>
    </row>
    <row r="47" spans="1:127" ht="16" customHeight="1" x14ac:dyDescent="0.2">
      <c r="A47" s="757" t="str">
        <f ca="1">+Equipos!B24</f>
        <v>Suecia</v>
      </c>
      <c r="B47" s="754"/>
      <c r="C47" s="756"/>
      <c r="D47" s="756" t="str">
        <f t="shared" si="136"/>
        <v>Visitante</v>
      </c>
      <c r="E47" s="756" t="str">
        <f t="shared" ca="1" si="137"/>
        <v>-</v>
      </c>
      <c r="F47" s="756" t="str">
        <f t="shared" ca="1" si="138"/>
        <v>-</v>
      </c>
      <c r="G47" s="756"/>
      <c r="H47" s="756" t="str">
        <f t="shared" ca="1" si="139"/>
        <v>-</v>
      </c>
      <c r="I47" s="756" t="str">
        <f t="shared" ca="1" si="140"/>
        <v>-</v>
      </c>
      <c r="J47" s="756"/>
      <c r="K47" s="756" t="str">
        <f t="shared" ca="1" si="141"/>
        <v>-</v>
      </c>
      <c r="L47" s="756" t="str">
        <f t="shared" ca="1" si="142"/>
        <v>-</v>
      </c>
      <c r="M47" s="756"/>
      <c r="N47" s="756" t="str">
        <f t="shared" ca="1" si="143"/>
        <v>-</v>
      </c>
      <c r="O47" s="756" t="str">
        <f t="shared" ca="1" si="144"/>
        <v>-</v>
      </c>
      <c r="P47" s="756"/>
      <c r="Q47" s="756" t="str">
        <f t="shared" ca="1" si="145"/>
        <v>-</v>
      </c>
      <c r="R47" s="756" t="str">
        <f t="shared" ca="1" si="146"/>
        <v>-</v>
      </c>
      <c r="S47" s="756"/>
      <c r="T47" s="756" t="str">
        <f t="shared" ca="1" si="147"/>
        <v>-</v>
      </c>
      <c r="U47" s="756" t="str">
        <f t="shared" ca="1" si="148"/>
        <v>-</v>
      </c>
      <c r="V47" s="178"/>
      <c r="W47" s="829"/>
      <c r="X47" s="195">
        <f ca="1">Horarios!C47</f>
        <v>46194.25</v>
      </c>
      <c r="Y47" s="196">
        <f ca="1">Horarios!C47</f>
        <v>46194.25</v>
      </c>
      <c r="Z47" s="197" t="str">
        <f>$Z$6</f>
        <v>J2</v>
      </c>
      <c r="AA47" s="198" t="str">
        <f ca="1">A48</f>
        <v>Túnez</v>
      </c>
      <c r="AB47" s="486" t="str" cm="1">
        <f t="array" aca="1" ref="AB47" ca="1">Ver_flag_local</f>
        <v>🇹🇳</v>
      </c>
      <c r="AC47" s="199">
        <v>0</v>
      </c>
      <c r="AD47" s="200">
        <v>4</v>
      </c>
      <c r="AE47" s="491" t="str" cm="1">
        <f t="array" aca="1" ref="AE47" ca="1">Ver_flag_visit</f>
        <v>🇯🇵</v>
      </c>
      <c r="AF47" s="201" t="str">
        <f ca="1">A46</f>
        <v>Japón</v>
      </c>
      <c r="AG47" s="421">
        <f t="shared" si="149"/>
        <v>1</v>
      </c>
      <c r="AH47" s="202">
        <v>36</v>
      </c>
      <c r="AI47" s="19" t="str">
        <f t="shared" ref="AI47:AI49" si="154">AJ47&amp;$B$44</f>
        <v>2F</v>
      </c>
      <c r="AJ47" s="227">
        <v>2</v>
      </c>
      <c r="AK47" s="494" t="str" cm="1">
        <f t="array" aca="1" ref="AK47" ca="1">Ver_flag_visit</f>
        <v>🇯🇵</v>
      </c>
      <c r="AL47" s="228" t="str">
        <f ca="1">IFERROR(INDEX($BD$6:$BD$53,MATCH(AI47,$BN$6:$BN$53,0)),"")</f>
        <v>Japón</v>
      </c>
      <c r="AM47" s="229">
        <f t="shared" ca="1" si="153"/>
        <v>5</v>
      </c>
      <c r="AN47" s="230">
        <f t="shared" ca="1" si="153"/>
        <v>3</v>
      </c>
      <c r="AO47" s="230">
        <f t="shared" ca="1" si="153"/>
        <v>1</v>
      </c>
      <c r="AP47" s="230">
        <f t="shared" ca="1" si="153"/>
        <v>2</v>
      </c>
      <c r="AQ47" s="230">
        <f t="shared" ca="1" si="153"/>
        <v>0</v>
      </c>
      <c r="AR47" s="230">
        <f t="shared" ca="1" si="153"/>
        <v>7</v>
      </c>
      <c r="AS47" s="230">
        <f t="shared" ca="1" si="153"/>
        <v>3</v>
      </c>
      <c r="AT47" s="231">
        <f t="shared" ca="1" si="153"/>
        <v>4</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4</v>
      </c>
      <c r="BF47" s="760">
        <f t="shared" ca="1" si="26"/>
        <v>3</v>
      </c>
      <c r="BG47" s="760">
        <f t="shared" ca="1" si="17"/>
        <v>1</v>
      </c>
      <c r="BH47" s="760">
        <f t="shared" ca="1" si="18"/>
        <v>1</v>
      </c>
      <c r="BI47" s="760">
        <f t="shared" ca="1" si="19"/>
        <v>1</v>
      </c>
      <c r="BJ47" s="760">
        <f t="shared" ca="1" si="20"/>
        <v>4</v>
      </c>
      <c r="BK47" s="760">
        <f t="shared" ca="1" si="21"/>
        <v>3</v>
      </c>
      <c r="BL47" s="760">
        <f t="shared" ca="1" si="27"/>
        <v>1</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4</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v>
      </c>
      <c r="BU47" s="770" t="str">
        <f t="shared" ca="1" si="36"/>
        <v>-</v>
      </c>
      <c r="BV47" s="770" t="str">
        <f t="shared" ca="1" si="37"/>
        <v>-</v>
      </c>
      <c r="BW47" s="770" t="str">
        <f t="shared" ca="1" si="38"/>
        <v>-</v>
      </c>
      <c r="BX47" s="770" t="str">
        <f t="shared" ca="1" si="39"/>
        <v>-</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v>
      </c>
      <c r="CA47" s="770" t="str">
        <f t="shared" ca="1" si="40"/>
        <v>-</v>
      </c>
      <c r="CB47" s="770" t="str">
        <f t="shared" ca="1" si="41"/>
        <v>-</v>
      </c>
      <c r="CC47" s="770" t="str">
        <f t="shared" ca="1" si="42"/>
        <v>-</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v>
      </c>
      <c r="CF47" s="770" t="str">
        <f t="shared" ca="1" si="43"/>
        <v>-</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v>
      </c>
      <c r="CI47" s="770" t="str">
        <f t="shared" ca="1" si="44"/>
        <v>-</v>
      </c>
      <c r="CJ47" s="770" t="str">
        <f t="shared" ca="1" si="45"/>
        <v>-</v>
      </c>
      <c r="CK47" s="770" t="str">
        <f t="shared" ca="1" si="46"/>
        <v>-</v>
      </c>
      <c r="CL47" s="770" t="str">
        <f t="shared" ca="1" si="47"/>
        <v>-</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v>
      </c>
      <c r="CO47" s="770" t="str">
        <f t="shared" ca="1" si="48"/>
        <v>-</v>
      </c>
      <c r="CP47" s="770" t="str">
        <f t="shared" ca="1" si="49"/>
        <v>-</v>
      </c>
      <c r="CQ47" s="770" t="str">
        <f t="shared" ca="1" si="50"/>
        <v>-</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v>
      </c>
      <c r="CT47" s="770" t="str">
        <f t="shared" ca="1" si="51"/>
        <v>-</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v>
      </c>
      <c r="CW47" s="769" t="str">
        <f t="shared" ca="1" si="30"/>
        <v>-</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3</v>
      </c>
      <c r="DE47" s="768"/>
      <c r="DF47" s="768">
        <f t="shared" ca="1" si="52"/>
        <v>3</v>
      </c>
      <c r="DG47" s="768" t="str">
        <f ca="1">IF(DB47="-","-",COUNTIFS(DF$6:DF$53,"&lt;"&amp;DF47,$BC$6:$BC$53,INDEX(T_Equipos[Grupo],MATCH(BD47,T_Equipos[NombreEquipo],0))))</f>
        <v>-</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Portugal</v>
      </c>
      <c r="DR47" s="756"/>
      <c r="DS47" s="756"/>
      <c r="DT47" s="756" t="str">
        <f t="shared" ca="1" si="15"/>
        <v>Túnez-Japón</v>
      </c>
      <c r="DU47" s="756"/>
      <c r="DV47" s="756"/>
      <c r="DW47" s="8"/>
    </row>
    <row r="48" spans="1:127" ht="16" customHeight="1" x14ac:dyDescent="0.2">
      <c r="A48" s="757" t="str">
        <f ca="1">+Equipos!B25</f>
        <v>Túnez</v>
      </c>
      <c r="B48" s="754"/>
      <c r="C48" s="756"/>
      <c r="D48" s="756" t="str">
        <f t="shared" si="136"/>
        <v>Empate</v>
      </c>
      <c r="E48" s="756" t="str">
        <f t="shared" ca="1" si="137"/>
        <v>-</v>
      </c>
      <c r="F48" s="756" t="str">
        <f t="shared" ca="1" si="138"/>
        <v>-</v>
      </c>
      <c r="G48" s="756"/>
      <c r="H48" s="756" t="str">
        <f t="shared" ca="1" si="139"/>
        <v>-</v>
      </c>
      <c r="I48" s="756" t="str">
        <f t="shared" ca="1" si="140"/>
        <v>-</v>
      </c>
      <c r="J48" s="756"/>
      <c r="K48" s="756" t="str">
        <f t="shared" ca="1" si="141"/>
        <v>-</v>
      </c>
      <c r="L48" s="756" t="str">
        <f t="shared" ca="1" si="142"/>
        <v>-</v>
      </c>
      <c r="M48" s="756"/>
      <c r="N48" s="756" t="str">
        <f t="shared" ca="1" si="143"/>
        <v>-</v>
      </c>
      <c r="O48" s="756" t="str">
        <f t="shared" ca="1" si="144"/>
        <v>-</v>
      </c>
      <c r="P48" s="756"/>
      <c r="Q48" s="756" t="str">
        <f t="shared" ca="1" si="145"/>
        <v>-</v>
      </c>
      <c r="R48" s="756" t="str">
        <f t="shared" ca="1" si="146"/>
        <v>-</v>
      </c>
      <c r="S48" s="756"/>
      <c r="T48" s="756" t="str">
        <f t="shared" ca="1" si="147"/>
        <v>-</v>
      </c>
      <c r="U48" s="756" t="str">
        <f t="shared" ca="1" si="148"/>
        <v>-</v>
      </c>
      <c r="V48" s="178"/>
      <c r="W48" s="829"/>
      <c r="X48" s="195">
        <f ca="1">Horarios!C48</f>
        <v>46199.041666666664</v>
      </c>
      <c r="Y48" s="196">
        <f ca="1">Horarios!C48</f>
        <v>46199.041666666664</v>
      </c>
      <c r="Z48" s="197" t="str">
        <f>$Z$8</f>
        <v>J3</v>
      </c>
      <c r="AA48" s="198" t="str">
        <f ca="1">A46</f>
        <v>Japón</v>
      </c>
      <c r="AB48" s="486" t="str" cm="1">
        <f t="array" aca="1" ref="AB48" ca="1">Ver_flag_local</f>
        <v>🇯🇵</v>
      </c>
      <c r="AC48" s="199">
        <v>1</v>
      </c>
      <c r="AD48" s="200">
        <v>1</v>
      </c>
      <c r="AE48" s="491" t="str" cm="1">
        <f t="array" aca="1" ref="AE48" ca="1">Ver_flag_visit</f>
        <v>🇸🇪</v>
      </c>
      <c r="AF48" s="201" t="str">
        <f ca="1">A47</f>
        <v>Suecia</v>
      </c>
      <c r="AG48" s="421">
        <f t="shared" si="149"/>
        <v>1</v>
      </c>
      <c r="AH48" s="202">
        <v>57</v>
      </c>
      <c r="AI48" s="19" t="str">
        <f t="shared" si="154"/>
        <v>3F</v>
      </c>
      <c r="AJ48" s="227">
        <v>3</v>
      </c>
      <c r="AK48" s="494" t="str" cm="1">
        <f t="array" aca="1" ref="AK48" ca="1">Ver_flag_visit</f>
        <v>🇸🇪</v>
      </c>
      <c r="AL48" s="228" t="str">
        <f ca="1">IFERROR(INDEX($BD$6:$BD$53,MATCH(AI48,$BN$6:$BN$53,0)),"")</f>
        <v>Suecia</v>
      </c>
      <c r="AM48" s="229">
        <f t="shared" ca="1" si="153"/>
        <v>4</v>
      </c>
      <c r="AN48" s="230">
        <f t="shared" ca="1" si="153"/>
        <v>3</v>
      </c>
      <c r="AO48" s="230">
        <f t="shared" ca="1" si="153"/>
        <v>1</v>
      </c>
      <c r="AP48" s="230">
        <f t="shared" ca="1" si="153"/>
        <v>1</v>
      </c>
      <c r="AQ48" s="230">
        <f t="shared" ca="1" si="153"/>
        <v>1</v>
      </c>
      <c r="AR48" s="230">
        <f t="shared" ca="1" si="153"/>
        <v>7</v>
      </c>
      <c r="AS48" s="230">
        <f t="shared" ca="1" si="153"/>
        <v>7</v>
      </c>
      <c r="AT48" s="231">
        <f t="shared" ca="1" si="153"/>
        <v>0</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3</v>
      </c>
      <c r="BG48" s="760">
        <f t="shared" ca="1" si="17"/>
        <v>0</v>
      </c>
      <c r="BH48" s="760">
        <f t="shared" ca="1" si="18"/>
        <v>0</v>
      </c>
      <c r="BI48" s="760">
        <f t="shared" ca="1" si="19"/>
        <v>3</v>
      </c>
      <c r="BJ48" s="760">
        <f t="shared" ca="1" si="20"/>
        <v>2</v>
      </c>
      <c r="BK48" s="760">
        <f t="shared" ca="1" si="21"/>
        <v>11</v>
      </c>
      <c r="BL48" s="760">
        <f t="shared" ca="1" si="27"/>
        <v>-9</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4</v>
      </c>
      <c r="BT48" s="769" t="str">
        <f ca="1">IF(COUNTIFS($BS$6:$BS$53,BS48,$BC$6:$BC$53,INDEX(T_Equipos[Grupo],MATCH(BD48,T_Equipos[NombreEquipo],0)))=1,"-","P."&amp;BS48&amp;" ("&amp;COUNTIFS($BS$6:$BS$53,BS48,$BC$6:$BC$53,INDEX(T_Equipos[Grupo],MATCH(BD48,T_Equipos[NombreEquipo],0)))&amp;")")</f>
        <v>-</v>
      </c>
      <c r="BU48" s="770" t="str">
        <f t="shared" ca="1" si="36"/>
        <v>-</v>
      </c>
      <c r="BV48" s="770" t="str">
        <f t="shared" ca="1" si="37"/>
        <v>-</v>
      </c>
      <c r="BW48" s="770" t="str">
        <f t="shared" ca="1" si="38"/>
        <v>-</v>
      </c>
      <c r="BX48" s="770" t="str">
        <f t="shared" ca="1" si="39"/>
        <v>-</v>
      </c>
      <c r="BY48" s="770">
        <f ca="1">BS48+COUNTIFS($BT$6:$BT$53,BT48,$BX$6:BX$53,"&gt;"&amp;BX48,$BC$6:$BC$53,INDEX(T_Equipos[Grupo],MATCH(BD48,T_Equipos[NombreEquipo],0)))</f>
        <v>4</v>
      </c>
      <c r="BZ48" s="769" t="str">
        <f ca="1">IF(COUNTIFS($BY$6:$BY$53,BY48,$BC$6:$BC$53,INDEX(T_Equipos[Grupo],MATCH(BD48,T_Equipos[NombreEquipo],0)))=1,"-","P."&amp;BY48&amp;" ("&amp;COUNTIFS($BY$6:$BY$53,BY48,$BC$6:$BC$53,INDEX(T_Equipos[Grupo],MATCH(BD48,T_Equipos[NombreEquipo],0)))&amp;")")</f>
        <v>-</v>
      </c>
      <c r="CA48" s="770" t="str">
        <f t="shared" ca="1" si="40"/>
        <v>-</v>
      </c>
      <c r="CB48" s="770" t="str">
        <f t="shared" ca="1" si="41"/>
        <v>-</v>
      </c>
      <c r="CC48" s="770" t="str">
        <f t="shared" ca="1" si="42"/>
        <v>-</v>
      </c>
      <c r="CD48" s="770">
        <f ca="1">BY48+COUNTIFS($BZ$6:$BZ$53,BZ48,$CC$6:CC$53,"&gt;"&amp;CC48,$BC$6:$BC$53,INDEX(T_Equipos[Grupo],MATCH(BD48,T_Equipos[NombreEquipo],0)))</f>
        <v>4</v>
      </c>
      <c r="CE48" s="769" t="str">
        <f ca="1">IF(COUNTIFS($CD$6:$CD$53,CD48,$BC$6:$BC$53,INDEX(T_Equipos[Grupo],MATCH(BD48,T_Equipos[NombreEquipo],0)))=1,"-","P."&amp;CD48&amp;" ("&amp;COUNTIFS($CD$6:$CD$53,CD48,$BC$6:$BC$53,INDEX(T_Equipos[Grupo],MATCH(BD48,T_Equipos[NombreEquipo],0)))&amp;")")</f>
        <v>-</v>
      </c>
      <c r="CF48" s="770" t="str">
        <f t="shared" ca="1" si="43"/>
        <v>-</v>
      </c>
      <c r="CG48" s="770">
        <f ca="1">CD48+COUNTIFS($CE$6:$CE$53,CE48,$CF$6:CF$53,"&gt;"&amp;CF48,$BC$6:$BC$53,INDEX(T_Equipos[Grupo],MATCH(BD48,T_Equipos[NombreEquipo],0)))</f>
        <v>4</v>
      </c>
      <c r="CH48" s="769" t="str">
        <f ca="1">IF(COUNTIFS($CG$6:$CG$53,CG48,$BC$6:$BC$53,INDEX(T_Equipos[Grupo],MATCH(BD48,T_Equipos[NombreEquipo],0)))=1,"-","P."&amp;CG48&amp;" ("&amp;COUNTIFS($CG$6:$CG$53,CG48,$BC$6:$BC$53,INDEX(T_Equipos[Grupo],MATCH(BD48,T_Equipos[NombreEquipo],0)))&amp;")")</f>
        <v>-</v>
      </c>
      <c r="CI48" s="770" t="str">
        <f t="shared" ca="1" si="44"/>
        <v>-</v>
      </c>
      <c r="CJ48" s="770" t="str">
        <f t="shared" ca="1" si="45"/>
        <v>-</v>
      </c>
      <c r="CK48" s="770" t="str">
        <f t="shared" ca="1" si="46"/>
        <v>-</v>
      </c>
      <c r="CL48" s="770" t="str">
        <f t="shared" ca="1" si="47"/>
        <v>-</v>
      </c>
      <c r="CM48" s="770">
        <f ca="1">CG48+COUNTIFS($CH$6:$CH$53,CH48,$CL$6:CL$53,"&gt;"&amp;CL48,$BC$6:$BC$53,INDEX(T_Equipos[Grupo],MATCH(BD48,T_Equipos[NombreEquipo],0)))</f>
        <v>4</v>
      </c>
      <c r="CN48" s="769" t="str">
        <f ca="1">IF(COUNTIFS($CM$6:$CM$53,CM48,$BC$6:$BC$53,INDEX(T_Equipos[Grupo],MATCH(BD48,T_Equipos[NombreEquipo],0)))=1,"-","P."&amp;CM48&amp;" ("&amp;COUNTIFS($CM$6:$CM$53,CM48,$BC$6:$BC$53,INDEX(T_Equipos[Grupo],MATCH(BD48,T_Equipos[NombreEquipo],0)))&amp;")")</f>
        <v>-</v>
      </c>
      <c r="CO48" s="770" t="str">
        <f t="shared" ca="1" si="48"/>
        <v>-</v>
      </c>
      <c r="CP48" s="770" t="str">
        <f t="shared" ca="1" si="49"/>
        <v>-</v>
      </c>
      <c r="CQ48" s="770" t="str">
        <f t="shared" ca="1" si="50"/>
        <v>-</v>
      </c>
      <c r="CR48" s="770">
        <f ca="1">CM48+COUNTIFS($CN$6:$CN$53,CN48,$CQ$6:CQ$53,"&gt;"&amp;CQ48,$BC$6:$BC$53,INDEX(T_Equipos[Grupo],MATCH(BD48,T_Equipos[NombreEquipo],0)))</f>
        <v>4</v>
      </c>
      <c r="CS48" s="769" t="str">
        <f ca="1">IF(COUNTIFS($CR$6:$CR$53,CR48,$BC$6:$BC$53,INDEX(T_Equipos[Grupo],MATCH(BD48,T_Equipos[NombreEquipo],0)))=1,"-","P."&amp;CR48&amp;" ("&amp;COUNTIFS($CR$6:$CR$53,CR48,$BC$6:$BC$53,INDEX(T_Equipos[Grupo],MATCH(BD48,T_Equipos[NombreEquipo],0)))&amp;")")</f>
        <v>-</v>
      </c>
      <c r="CT48" s="770" t="str">
        <f t="shared" ca="1" si="51"/>
        <v>-</v>
      </c>
      <c r="CU48" s="770">
        <f ca="1">CR48+COUNTIFS($CS$6:$CS$53,CS48,$CT$6:CT$53,"&gt;"&amp;CT48,$BC$6:$BC$53,INDEX(T_Equipos[Grupo],MATCH(BD48,T_Equipos[NombreEquipo],0)))</f>
        <v>4</v>
      </c>
      <c r="CV48" s="769" t="str">
        <f ca="1">IF(COUNTIFS($CU$6:$CU$53,CU48,$BC$6:$BC$53,INDEX(T_Equipos[Grupo],MATCH(BD48,T_Equipos[NombreEquipo],0)))=1,"-","P."&amp;CU48&amp;" ("&amp;COUNTIFS($CU$6:$CU$53,CU48,$BC$6:$BC$53,INDEX(T_Equipos[Grupo],MATCH(BD48,T_Equipos[NombreEquipo],0)))&amp;")")</f>
        <v>-</v>
      </c>
      <c r="CW48" s="769" t="str">
        <f t="shared" ca="1" si="30"/>
        <v>-</v>
      </c>
      <c r="CX48" s="769">
        <f ca="1">CU48+COUNTIFS($CV$6:$CV$53,CV48,$CW$6:CW$53,"&gt;"&amp;CW48,$BC$6:$BC$53,INDEX(T_Equipos[Grupo],MATCH(BD48,T_Equipos[NombreEquipo],0)))</f>
        <v>4</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4</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4</v>
      </c>
      <c r="DE48" s="768"/>
      <c r="DF48" s="768">
        <f t="shared" ca="1" si="52"/>
        <v>4</v>
      </c>
      <c r="DG48" s="768" t="str">
        <f ca="1">IF(DB48="-","-",COUNTIFS(DF$6:DF$53,"&lt;"&amp;DF48,$BC$6:$BC$53,INDEX(T_Equipos[Grupo],MATCH(BD48,T_Equipos[NombreEquipo],0))))</f>
        <v>-</v>
      </c>
      <c r="DH48" s="768">
        <f ca="1">DA48+COUNTIFS(DB$6:DB$53,DB48,DG$6:DG$53,"&lt;"&amp;DG48,$BC$6:$BC$53,INDEX(T_Equipos[Grupo],MATCH(BD48,T_Equipos[NombreEquipo],0)))</f>
        <v>4</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RD Congo</v>
      </c>
      <c r="DR48" s="756"/>
      <c r="DS48" s="756"/>
      <c r="DT48" s="756" t="str">
        <f t="shared" ca="1" si="15"/>
        <v>Japón-Suecia</v>
      </c>
      <c r="DU48" s="756"/>
      <c r="DV48" s="756"/>
      <c r="DW48" s="8"/>
    </row>
    <row r="49" spans="1:127" ht="17" customHeight="1" thickBot="1" x14ac:dyDescent="0.25">
      <c r="A49" s="751"/>
      <c r="B49" s="751"/>
      <c r="C49" s="751"/>
      <c r="D49" s="756" t="str">
        <f t="shared" si="136"/>
        <v>Visitante</v>
      </c>
      <c r="E49" s="756" t="str">
        <f t="shared" ca="1" si="137"/>
        <v>-</v>
      </c>
      <c r="F49" s="756" t="str">
        <f t="shared" ca="1" si="138"/>
        <v>-</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30"/>
      <c r="X49" s="234">
        <f ca="1">Horarios!C49</f>
        <v>46199.041666666664</v>
      </c>
      <c r="Y49" s="235">
        <f ca="1">Horarios!C49</f>
        <v>46199.041666666664</v>
      </c>
      <c r="Z49" s="236" t="str">
        <f>$Z$8</f>
        <v>J3</v>
      </c>
      <c r="AA49" s="237" t="str">
        <f ca="1">A48</f>
        <v>Túnez</v>
      </c>
      <c r="AB49" s="487" t="str" cm="1">
        <f t="array" aca="1" ref="AB49" ca="1">Ver_flag_local</f>
        <v>🇹🇳</v>
      </c>
      <c r="AC49" s="238">
        <v>1</v>
      </c>
      <c r="AD49" s="239">
        <v>3</v>
      </c>
      <c r="AE49" s="492" t="str" cm="1">
        <f t="array" aca="1" ref="AE49" ca="1">Ver_flag_visit</f>
        <v>🇳🇱</v>
      </c>
      <c r="AF49" s="240" t="str">
        <f ca="1">A45</f>
        <v>Países Bajos</v>
      </c>
      <c r="AG49" s="421">
        <f t="shared" si="149"/>
        <v>1</v>
      </c>
      <c r="AH49" s="202">
        <v>58</v>
      </c>
      <c r="AI49" s="19" t="str">
        <f t="shared" si="154"/>
        <v>4F</v>
      </c>
      <c r="AJ49" s="241">
        <v>4</v>
      </c>
      <c r="AK49" s="495" t="str" cm="1">
        <f t="array" aca="1" ref="AK49" ca="1">Ver_flag_visit</f>
        <v>🇹🇳</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2</v>
      </c>
      <c r="AS49" s="244">
        <f t="shared" ca="1" si="153"/>
        <v>12</v>
      </c>
      <c r="AT49" s="245">
        <f t="shared" ca="1" si="153"/>
        <v>-10</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7</v>
      </c>
      <c r="BF49" s="760">
        <f t="shared" ca="1" si="26"/>
        <v>3</v>
      </c>
      <c r="BG49" s="760">
        <f t="shared" ca="1" si="17"/>
        <v>2</v>
      </c>
      <c r="BH49" s="760">
        <f t="shared" ca="1" si="18"/>
        <v>1</v>
      </c>
      <c r="BI49" s="760">
        <f t="shared" ca="1" si="19"/>
        <v>0</v>
      </c>
      <c r="BJ49" s="760">
        <f t="shared" ca="1" si="20"/>
        <v>4</v>
      </c>
      <c r="BK49" s="760">
        <f t="shared" ca="1" si="21"/>
        <v>1</v>
      </c>
      <c r="BL49" s="760">
        <f t="shared" ca="1" si="27"/>
        <v>3</v>
      </c>
      <c r="BM49" s="760" t="str">
        <f t="shared" ca="1" si="22"/>
        <v>1K</v>
      </c>
      <c r="BN49" s="760" t="str">
        <f t="shared" ca="1" si="23"/>
        <v>1K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7</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v>
      </c>
      <c r="BU49" s="770" t="str">
        <f t="shared" ca="1" si="36"/>
        <v>-</v>
      </c>
      <c r="BV49" s="770" t="str">
        <f t="shared" ca="1" si="37"/>
        <v>-</v>
      </c>
      <c r="BW49" s="770" t="str">
        <f t="shared" ca="1" si="38"/>
        <v>-</v>
      </c>
      <c r="BX49" s="770" t="str">
        <f t="shared" ca="1" si="39"/>
        <v>-</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v>
      </c>
      <c r="CA49" s="770" t="str">
        <f t="shared" ca="1" si="40"/>
        <v>-</v>
      </c>
      <c r="CB49" s="770" t="str">
        <f t="shared" ca="1" si="41"/>
        <v>-</v>
      </c>
      <c r="CC49" s="770" t="str">
        <f t="shared" ca="1" si="42"/>
        <v>-</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v>
      </c>
      <c r="CF49" s="770" t="str">
        <f t="shared" ca="1" si="43"/>
        <v>-</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v>
      </c>
      <c r="CI49" s="770" t="str">
        <f t="shared" ca="1" si="44"/>
        <v>-</v>
      </c>
      <c r="CJ49" s="770" t="str">
        <f t="shared" ca="1" si="45"/>
        <v>-</v>
      </c>
      <c r="CK49" s="770" t="str">
        <f t="shared" ca="1" si="46"/>
        <v>-</v>
      </c>
      <c r="CL49" s="770" t="str">
        <f t="shared" ca="1" si="47"/>
        <v>-</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v>
      </c>
      <c r="CO49" s="770" t="str">
        <f t="shared" ca="1" si="48"/>
        <v>-</v>
      </c>
      <c r="CP49" s="770" t="str">
        <f t="shared" ca="1" si="49"/>
        <v>-</v>
      </c>
      <c r="CQ49" s="770" t="str">
        <f t="shared" ca="1" si="50"/>
        <v>-</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v>
      </c>
      <c r="CT49" s="770" t="str">
        <f t="shared" ca="1" si="51"/>
        <v>-</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v>
      </c>
      <c r="CW49" s="769" t="str">
        <f t="shared" ca="1" si="30"/>
        <v>-</v>
      </c>
      <c r="CX49" s="769">
        <f ca="1">CU49+COUNTIFS($CV$6:$CV$53,CV49,$CW$6:CW$53,"&gt;"&amp;CW49,$BC$6:$BC$53,INDEX(T_Equipos[Grupo],MATCH(BD49,T_Equipos[NombreEquipo],0)))</f>
        <v>1</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1</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1</v>
      </c>
      <c r="DE49" s="768"/>
      <c r="DF49" s="768">
        <f t="shared" ca="1" si="52"/>
        <v>1</v>
      </c>
      <c r="DG49" s="768" t="str">
        <f ca="1">IF(DB49="-","-",COUNTIFS(DF$6:DF$53,"&lt;"&amp;DF49,$BC$6:$BC$53,INDEX(T_Equipos[Grupo],MATCH(BD49,T_Equipos[NombreEquipo],0))))</f>
        <v>-</v>
      </c>
      <c r="DH49" s="768">
        <f ca="1">DA49+COUNTIFS(DB$6:DB$53,DB49,DG$6:DG$53,"&lt;"&amp;DG49,$BC$6:$BC$53,INDEX(T_Equipos[Grupo],MATCH(BD49,T_Equipos[NombreEquipo],0)))</f>
        <v>1</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Uzbekistán</v>
      </c>
      <c r="DR49" s="756"/>
      <c r="DS49" s="756"/>
      <c r="DT49" s="756" t="str">
        <f t="shared" ca="1" si="15"/>
        <v>Túnez-Países Bajos</v>
      </c>
      <c r="DU49" s="756"/>
      <c r="DV49" s="756"/>
      <c r="DW49" s="8"/>
    </row>
    <row r="50" spans="1:127" ht="16" thickBot="1" x14ac:dyDescent="0.25">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7</v>
      </c>
      <c r="BF50" s="760">
        <f t="shared" ca="1" si="26"/>
        <v>3</v>
      </c>
      <c r="BG50" s="760">
        <f t="shared" ca="1" si="17"/>
        <v>2</v>
      </c>
      <c r="BH50" s="760">
        <f t="shared" ca="1" si="18"/>
        <v>1</v>
      </c>
      <c r="BI50" s="760">
        <f t="shared" ca="1" si="19"/>
        <v>0</v>
      </c>
      <c r="BJ50" s="760">
        <f t="shared" ca="1" si="20"/>
        <v>6</v>
      </c>
      <c r="BK50" s="760">
        <f t="shared" ca="1" si="21"/>
        <v>2</v>
      </c>
      <c r="BL50" s="760">
        <f t="shared" ca="1" si="27"/>
        <v>4</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7</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6" thickBot="1" x14ac:dyDescent="0.25">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6</v>
      </c>
      <c r="BF51" s="760">
        <f t="shared" ca="1" si="26"/>
        <v>3</v>
      </c>
      <c r="BG51" s="760">
        <f t="shared" ca="1" si="17"/>
        <v>2</v>
      </c>
      <c r="BH51" s="760">
        <f t="shared" ca="1" si="18"/>
        <v>0</v>
      </c>
      <c r="BI51" s="760">
        <f t="shared" ca="1" si="19"/>
        <v>1</v>
      </c>
      <c r="BJ51" s="760">
        <f t="shared" ca="1" si="20"/>
        <v>6</v>
      </c>
      <c r="BK51" s="760">
        <f t="shared" ca="1" si="21"/>
        <v>6</v>
      </c>
      <c r="BL51" s="760">
        <f t="shared" ca="1" si="27"/>
        <v>0</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6</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x14ac:dyDescent="0.25">
      <c r="A52" s="753" t="s">
        <v>30</v>
      </c>
      <c r="B52" s="754" t="s">
        <v>6</v>
      </c>
      <c r="C52" s="755">
        <f>COUNTIF(Equipos!$C$2:$C$49,WORLDCUP!B52)</f>
        <v>4</v>
      </c>
      <c r="D52" s="756" t="str">
        <f t="shared" ref="D52:D57" si="155">IF(OR(AC52="",AD52=""),"Pendiente",IF(AC52&gt;AD52,"Local",IF(AC52&lt;AD52,"Visitante","Empate")))</f>
        <v>Empate</v>
      </c>
      <c r="E52" s="756" t="str">
        <f t="shared" ref="E52:E57" ca="1" si="156">IF(D52="Pendiente","-",INDEX($BT$6:$BT$53,MATCH($AA52,$BD$6:$BD$53,0)))</f>
        <v>P.1 (2)</v>
      </c>
      <c r="F52" s="756" t="str">
        <f t="shared" ref="F52:F57" ca="1" si="157">IF(D52="Pendiente","-",INDEX($BT$6:$BT$53,MATCH($AF52,$BD$6:$BD$53,0)))</f>
        <v>P.1 (2)</v>
      </c>
      <c r="G52" s="756"/>
      <c r="H52" s="756" t="str">
        <f t="shared" ref="H52:H57" ca="1" si="158">IF(D52="Pendiente","-",INDEX($BZ$6:$BZ$53,MATCH($AA52,$BD$6:$BD$53,0)))</f>
        <v>P.1 (2)</v>
      </c>
      <c r="I52" s="756" t="str">
        <f t="shared" ref="I52:I57" ca="1" si="159">IF(D52="Pendiente","-",INDEX($BZ$6:$BZ$53,MATCH($AF52,$BD$6:$BD$53,0)))</f>
        <v>P.1 (2)</v>
      </c>
      <c r="J52" s="756"/>
      <c r="K52" s="756" t="str">
        <f t="shared" ref="K52:K57" ca="1" si="160">IF(D52="Pendiente","-",INDEX($CE$6:$CE$53,MATCH($AA52,$BD$6:$BD$53,0)))</f>
        <v>P.1 (2)</v>
      </c>
      <c r="L52" s="756" t="str">
        <f t="shared" ref="L52:L57" ca="1" si="161">IF(D52="Pendiente","-",INDEX($CE$6:$CE$53,MATCH($AF52,$BD$6:$BD$53,0)))</f>
        <v>P.1 (2)</v>
      </c>
      <c r="M52" s="756"/>
      <c r="N52" s="756" t="str">
        <f t="shared" ref="N52:N57" ca="1" si="162">IF(D52="Pendiente","-",INDEX($CH$6:$CH$53,MATCH($AA52,$BD$6:$BD$53,0)))</f>
        <v>P.1 (2)</v>
      </c>
      <c r="O52" s="756" t="str">
        <f t="shared" ref="O52:O57" ca="1" si="163">IF(D52="Pendiente","-",INDEX($CH$6:$CH$53,MATCH($AF52,$BD$6:$BD$53,0)))</f>
        <v>P.1 (2)</v>
      </c>
      <c r="P52" s="756"/>
      <c r="Q52" s="756" t="str">
        <f t="shared" ref="Q52:Q57" ca="1" si="164">IF(D52="Pendiente","-",INDEX($CN$6:$CN$53,MATCH($AA52,$BD$6:$BD$53,0)))</f>
        <v>P.1 (2)</v>
      </c>
      <c r="R52" s="756" t="str">
        <f t="shared" ref="R52:R57" ca="1" si="165">IF(D52="Pendiente","-",INDEX($CN$6:$CN$53,MATCH($AF52,$BD$6:$BD$53,0)))</f>
        <v>P.1 (2)</v>
      </c>
      <c r="S52" s="756"/>
      <c r="T52" s="756" t="str">
        <f t="shared" ref="T52:T57" ca="1" si="166">IF(D52="Pendiente","-",INDEX($CS$6:$CS$53,MATCH($AA52,$BD$6:$BD$53,0)))</f>
        <v>P.1 (2)</v>
      </c>
      <c r="U52" s="756" t="str">
        <f t="shared" ref="U52:U57" ca="1" si="167">IF(D52="Pendiente","-",INDEX($CS$6:$CS$53,MATCH($AF52,$BD$6:$BD$53,0)))</f>
        <v>P.1 (2)</v>
      </c>
      <c r="V52" s="178"/>
      <c r="W52" s="849" t="s">
        <v>6</v>
      </c>
      <c r="X52" s="195">
        <f ca="1">Horarios!C52</f>
        <v>46188.875</v>
      </c>
      <c r="Y52" s="196">
        <f ca="1">Horarios!C52</f>
        <v>46188.875</v>
      </c>
      <c r="Z52" s="197" t="str">
        <f>$Z$4</f>
        <v>J1</v>
      </c>
      <c r="AA52" s="198" t="str">
        <f ca="1">A53</f>
        <v>Bélgica</v>
      </c>
      <c r="AB52" s="486" t="str" cm="1">
        <f t="array" aca="1" ref="AB52" ca="1">Ver_flag_local</f>
        <v>🇧🇪</v>
      </c>
      <c r="AC52" s="199">
        <v>1</v>
      </c>
      <c r="AD52" s="200">
        <v>1</v>
      </c>
      <c r="AE52" s="491" t="str" cm="1">
        <f t="array" aca="1" ref="AE52" ca="1">Ver_flag_visit</f>
        <v>🇪🇬</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4</v>
      </c>
      <c r="BF52" s="760">
        <f t="shared" ca="1" si="26"/>
        <v>3</v>
      </c>
      <c r="BG52" s="760">
        <f t="shared" ca="1" si="17"/>
        <v>1</v>
      </c>
      <c r="BH52" s="760">
        <f t="shared" ca="1" si="18"/>
        <v>1</v>
      </c>
      <c r="BI52" s="760">
        <f t="shared" ca="1" si="19"/>
        <v>1</v>
      </c>
      <c r="BJ52" s="760">
        <f t="shared" ca="1" si="20"/>
        <v>2</v>
      </c>
      <c r="BK52" s="760">
        <f t="shared" ca="1" si="21"/>
        <v>2</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4</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ht="16" x14ac:dyDescent="0.2">
      <c r="A53" s="757" t="str">
        <f ca="1">+Equipos!B26</f>
        <v>Bélgica</v>
      </c>
      <c r="B53" s="754"/>
      <c r="C53" s="754"/>
      <c r="D53" s="756" t="str">
        <f t="shared" si="155"/>
        <v>Empate</v>
      </c>
      <c r="E53" s="756" t="str">
        <f t="shared" ca="1" si="156"/>
        <v>-</v>
      </c>
      <c r="F53" s="756" t="str">
        <f t="shared" ca="1" si="157"/>
        <v>-</v>
      </c>
      <c r="G53" s="756"/>
      <c r="H53" s="756" t="str">
        <f t="shared" ca="1" si="158"/>
        <v>-</v>
      </c>
      <c r="I53" s="756" t="str">
        <f t="shared" ca="1" si="159"/>
        <v>-</v>
      </c>
      <c r="J53" s="756"/>
      <c r="K53" s="756" t="str">
        <f t="shared" ca="1" si="160"/>
        <v>-</v>
      </c>
      <c r="L53" s="756" t="str">
        <f t="shared" ca="1" si="161"/>
        <v>-</v>
      </c>
      <c r="M53" s="756"/>
      <c r="N53" s="756" t="str">
        <f t="shared" ca="1" si="162"/>
        <v>-</v>
      </c>
      <c r="O53" s="756" t="str">
        <f t="shared" ca="1" si="163"/>
        <v>-</v>
      </c>
      <c r="P53" s="756"/>
      <c r="Q53" s="756" t="str">
        <f t="shared" ca="1" si="164"/>
        <v>-</v>
      </c>
      <c r="R53" s="756" t="str">
        <f t="shared" ca="1" si="165"/>
        <v>-</v>
      </c>
      <c r="S53" s="756"/>
      <c r="T53" s="756" t="str">
        <f t="shared" ca="1" si="166"/>
        <v>-</v>
      </c>
      <c r="U53" s="756" t="str">
        <f t="shared" ca="1" si="167"/>
        <v>-</v>
      </c>
      <c r="V53" s="178"/>
      <c r="W53" s="849"/>
      <c r="X53" s="195">
        <f ca="1">Horarios!C53</f>
        <v>46189.125</v>
      </c>
      <c r="Y53" s="196">
        <f ca="1">Horarios!C53</f>
        <v>46189.125</v>
      </c>
      <c r="Z53" s="197" t="str">
        <f>$Z$4</f>
        <v>J1</v>
      </c>
      <c r="AA53" s="198" t="str">
        <f ca="1">A55</f>
        <v>Irán</v>
      </c>
      <c r="AB53" s="486" t="str" cm="1">
        <f t="array" aca="1" ref="AB53" ca="1">Ver_flag_local</f>
        <v>🇮🇷</v>
      </c>
      <c r="AC53" s="199">
        <v>2</v>
      </c>
      <c r="AD53" s="200">
        <v>2</v>
      </c>
      <c r="AE53" s="491" t="str" cm="1">
        <f t="array" aca="1" ref="AE53" ca="1">Ver_flag_visit</f>
        <v>🇳🇿</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1</v>
      </c>
      <c r="BK53" s="760">
        <f t="shared" ca="1" si="21"/>
        <v>5</v>
      </c>
      <c r="BL53" s="760">
        <f t="shared" ca="1" si="27"/>
        <v>-4</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ht="16" x14ac:dyDescent="0.2">
      <c r="A54" s="757" t="str">
        <f ca="1">+Equipos!B27</f>
        <v>Egipto</v>
      </c>
      <c r="B54" s="754"/>
      <c r="C54" s="758"/>
      <c r="D54" s="756" t="str">
        <f t="shared" si="155"/>
        <v>Empate</v>
      </c>
      <c r="E54" s="756" t="str">
        <f t="shared" ca="1" si="156"/>
        <v>P.1 (2)</v>
      </c>
      <c r="F54" s="756" t="str">
        <f t="shared" ca="1" si="157"/>
        <v>-</v>
      </c>
      <c r="G54" s="756"/>
      <c r="H54" s="756" t="str">
        <f t="shared" ca="1" si="158"/>
        <v>P.1 (2)</v>
      </c>
      <c r="I54" s="756" t="str">
        <f t="shared" ca="1" si="159"/>
        <v>-</v>
      </c>
      <c r="J54" s="756"/>
      <c r="K54" s="756" t="str">
        <f t="shared" ca="1" si="160"/>
        <v>P.1 (2)</v>
      </c>
      <c r="L54" s="756" t="str">
        <f t="shared" ca="1" si="161"/>
        <v>-</v>
      </c>
      <c r="M54" s="756"/>
      <c r="N54" s="756" t="str">
        <f t="shared" ca="1" si="162"/>
        <v>P.1 (2)</v>
      </c>
      <c r="O54" s="756" t="str">
        <f t="shared" ca="1" si="163"/>
        <v>-</v>
      </c>
      <c r="P54" s="756"/>
      <c r="Q54" s="756" t="str">
        <f t="shared" ca="1" si="164"/>
        <v>P.1 (2)</v>
      </c>
      <c r="R54" s="756" t="str">
        <f t="shared" ca="1" si="165"/>
        <v>-</v>
      </c>
      <c r="S54" s="756"/>
      <c r="T54" s="756" t="str">
        <f t="shared" ca="1" si="166"/>
        <v>P.1 (2)</v>
      </c>
      <c r="U54" s="756" t="str">
        <f t="shared" ca="1" si="167"/>
        <v>-</v>
      </c>
      <c r="V54" s="178"/>
      <c r="W54" s="849"/>
      <c r="X54" s="195">
        <f ca="1">Horarios!C54</f>
        <v>46194.875</v>
      </c>
      <c r="Y54" s="196">
        <f ca="1">Horarios!C54</f>
        <v>46194.875</v>
      </c>
      <c r="Z54" s="197" t="str">
        <f>$Z$6</f>
        <v>J2</v>
      </c>
      <c r="AA54" s="198" t="str">
        <f ca="1">A53</f>
        <v>Bélgica</v>
      </c>
      <c r="AB54" s="486" t="str" cm="1">
        <f t="array" aca="1" ref="AB54" ca="1">Ver_flag_local</f>
        <v>🇧🇪</v>
      </c>
      <c r="AC54" s="199">
        <v>0</v>
      </c>
      <c r="AD54" s="200">
        <v>0</v>
      </c>
      <c r="AE54" s="491" t="str" cm="1">
        <f t="array" aca="1" ref="AE54" ca="1">Ver_flag_visit</f>
        <v>🇮🇷</v>
      </c>
      <c r="AF54" s="201" t="str">
        <f ca="1">A55</f>
        <v>Irán</v>
      </c>
      <c r="AG54" s="421">
        <f t="shared" si="168"/>
        <v>1</v>
      </c>
      <c r="AH54" s="202">
        <v>39</v>
      </c>
      <c r="AI54" s="19" t="str">
        <f>AJ54&amp;$B$52</f>
        <v>1G</v>
      </c>
      <c r="AJ54" s="217">
        <v>1</v>
      </c>
      <c r="AK54" s="496" t="str" cm="1">
        <f t="array" aca="1" ref="AK54" ca="1">Ver_flag_visit</f>
        <v>🇧🇪</v>
      </c>
      <c r="AL54" s="218" t="str">
        <f ca="1">IFERROR(INDEX($BD$6:$BD$53,MATCH(AI54,$BN$6:$BN$53,0)),"")</f>
        <v>Bélgica</v>
      </c>
      <c r="AM54" s="219">
        <f t="shared" ref="AM54:AT57" ca="1" si="172">INDEX($BE$6:$BN$53,MATCH($AL54,$BD$6:$BD$53,0),MATCH(AM$5,$BE$5:$BN$5,0))</f>
        <v>5</v>
      </c>
      <c r="AN54" s="220">
        <f t="shared" ca="1" si="172"/>
        <v>3</v>
      </c>
      <c r="AO54" s="220">
        <f t="shared" ca="1" si="172"/>
        <v>1</v>
      </c>
      <c r="AP54" s="220">
        <f t="shared" ca="1" si="172"/>
        <v>2</v>
      </c>
      <c r="AQ54" s="220">
        <f t="shared" ca="1" si="172"/>
        <v>0</v>
      </c>
      <c r="AR54" s="220">
        <f t="shared" ca="1" si="172"/>
        <v>6</v>
      </c>
      <c r="AS54" s="220">
        <f t="shared" ca="1" si="172"/>
        <v>2</v>
      </c>
      <c r="AT54" s="221">
        <f t="shared" ca="1" si="172"/>
        <v>4</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ht="16" x14ac:dyDescent="0.2">
      <c r="A55" s="757" t="str">
        <f ca="1">+Equipos!B28</f>
        <v>Irán</v>
      </c>
      <c r="B55" s="754"/>
      <c r="C55" s="756"/>
      <c r="D55" s="756" t="str">
        <f t="shared" si="155"/>
        <v>Visitante</v>
      </c>
      <c r="E55" s="756" t="str">
        <f t="shared" ca="1" si="156"/>
        <v>-</v>
      </c>
      <c r="F55" s="756" t="str">
        <f t="shared" ca="1" si="157"/>
        <v>P.1 (2)</v>
      </c>
      <c r="G55" s="756"/>
      <c r="H55" s="756" t="str">
        <f t="shared" ca="1" si="158"/>
        <v>-</v>
      </c>
      <c r="I55" s="756" t="str">
        <f t="shared" ca="1" si="159"/>
        <v>P.1 (2)</v>
      </c>
      <c r="J55" s="756"/>
      <c r="K55" s="756" t="str">
        <f t="shared" ca="1" si="160"/>
        <v>-</v>
      </c>
      <c r="L55" s="756" t="str">
        <f t="shared" ca="1" si="161"/>
        <v>P.1 (2)</v>
      </c>
      <c r="M55" s="756"/>
      <c r="N55" s="756" t="str">
        <f t="shared" ca="1" si="162"/>
        <v>-</v>
      </c>
      <c r="O55" s="756" t="str">
        <f t="shared" ca="1" si="163"/>
        <v>P.1 (2)</v>
      </c>
      <c r="P55" s="756"/>
      <c r="Q55" s="756" t="str">
        <f t="shared" ca="1" si="164"/>
        <v>-</v>
      </c>
      <c r="R55" s="756" t="str">
        <f t="shared" ca="1" si="165"/>
        <v>P.1 (2)</v>
      </c>
      <c r="S55" s="756"/>
      <c r="T55" s="756" t="str">
        <f t="shared" ca="1" si="166"/>
        <v>-</v>
      </c>
      <c r="U55" s="756" t="str">
        <f t="shared" ca="1" si="167"/>
        <v>P.1 (2)</v>
      </c>
      <c r="V55" s="178"/>
      <c r="W55" s="849"/>
      <c r="X55" s="195">
        <f ca="1">Horarios!C55</f>
        <v>46195.125</v>
      </c>
      <c r="Y55" s="196">
        <f ca="1">Horarios!C55</f>
        <v>46195.125</v>
      </c>
      <c r="Z55" s="197" t="str">
        <f>$Z$6</f>
        <v>J2</v>
      </c>
      <c r="AA55" s="198" t="str">
        <f ca="1">A56</f>
        <v>Nueva Zelanda</v>
      </c>
      <c r="AB55" s="486" t="str" cm="1">
        <f t="array" aca="1" ref="AB55" ca="1">Ver_flag_local</f>
        <v>🇳🇿</v>
      </c>
      <c r="AC55" s="199">
        <v>1</v>
      </c>
      <c r="AD55" s="200">
        <v>3</v>
      </c>
      <c r="AE55" s="491" t="str" cm="1">
        <f t="array" aca="1" ref="AE55" ca="1">Ver_flag_visit</f>
        <v>🇪🇬</v>
      </c>
      <c r="AF55" s="201" t="str">
        <f ca="1">A54</f>
        <v>Egipto</v>
      </c>
      <c r="AG55" s="421">
        <f t="shared" si="168"/>
        <v>1</v>
      </c>
      <c r="AH55" s="202">
        <v>40</v>
      </c>
      <c r="AI55" s="19" t="str">
        <f t="shared" ref="AI55:AI57" si="173">AJ55&amp;$B$52</f>
        <v>2G</v>
      </c>
      <c r="AJ55" s="227">
        <v>2</v>
      </c>
      <c r="AK55" s="494" t="str" cm="1">
        <f t="array" aca="1" ref="AK55" ca="1">Ver_flag_visit</f>
        <v>🇪🇬</v>
      </c>
      <c r="AL55" s="228" t="str">
        <f ca="1">IFERROR(INDEX($BD$6:$BD$53,MATCH(AI55,$BN$6:$BN$53,0)),"")</f>
        <v>Egipto</v>
      </c>
      <c r="AM55" s="229">
        <f t="shared" ca="1" si="172"/>
        <v>5</v>
      </c>
      <c r="AN55" s="230">
        <f t="shared" ca="1" si="172"/>
        <v>3</v>
      </c>
      <c r="AO55" s="230">
        <f t="shared" ca="1" si="172"/>
        <v>1</v>
      </c>
      <c r="AP55" s="230">
        <f t="shared" ca="1" si="172"/>
        <v>2</v>
      </c>
      <c r="AQ55" s="230">
        <f t="shared" ca="1" si="172"/>
        <v>0</v>
      </c>
      <c r="AR55" s="230">
        <f t="shared" ca="1" si="172"/>
        <v>5</v>
      </c>
      <c r="AS55" s="230">
        <f t="shared" ca="1" si="172"/>
        <v>3</v>
      </c>
      <c r="AT55" s="231">
        <f t="shared" ca="1" si="172"/>
        <v>2</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ht="16" x14ac:dyDescent="0.2">
      <c r="A56" s="757" t="str">
        <f ca="1">+Equipos!B29</f>
        <v>Nueva Zelanda</v>
      </c>
      <c r="B56" s="754"/>
      <c r="C56" s="756"/>
      <c r="D56" s="756" t="str">
        <f t="shared" si="155"/>
        <v>Empate</v>
      </c>
      <c r="E56" s="756" t="str">
        <f t="shared" ca="1" si="156"/>
        <v>P.1 (2)</v>
      </c>
      <c r="F56" s="756" t="str">
        <f t="shared" ca="1" si="157"/>
        <v>-</v>
      </c>
      <c r="G56" s="756"/>
      <c r="H56" s="756" t="str">
        <f t="shared" ca="1" si="158"/>
        <v>P.1 (2)</v>
      </c>
      <c r="I56" s="756" t="str">
        <f t="shared" ca="1" si="159"/>
        <v>-</v>
      </c>
      <c r="J56" s="756"/>
      <c r="K56" s="756" t="str">
        <f t="shared" ca="1" si="160"/>
        <v>P.1 (2)</v>
      </c>
      <c r="L56" s="756" t="str">
        <f t="shared" ca="1" si="161"/>
        <v>-</v>
      </c>
      <c r="M56" s="756"/>
      <c r="N56" s="756" t="str">
        <f t="shared" ca="1" si="162"/>
        <v>P.1 (2)</v>
      </c>
      <c r="O56" s="756" t="str">
        <f t="shared" ca="1" si="163"/>
        <v>-</v>
      </c>
      <c r="P56" s="756"/>
      <c r="Q56" s="756" t="str">
        <f t="shared" ca="1" si="164"/>
        <v>P.1 (2)</v>
      </c>
      <c r="R56" s="756" t="str">
        <f t="shared" ca="1" si="165"/>
        <v>-</v>
      </c>
      <c r="S56" s="756"/>
      <c r="T56" s="756" t="str">
        <f t="shared" ca="1" si="166"/>
        <v>P.1 (2)</v>
      </c>
      <c r="U56" s="756" t="str">
        <f t="shared" ca="1" si="167"/>
        <v>-</v>
      </c>
      <c r="V56" s="178"/>
      <c r="W56" s="849"/>
      <c r="X56" s="195">
        <f ca="1">Horarios!C56</f>
        <v>46200.208333333336</v>
      </c>
      <c r="Y56" s="196">
        <f ca="1">Horarios!C56</f>
        <v>46200.208333333336</v>
      </c>
      <c r="Z56" s="197" t="str">
        <f>$Z$8</f>
        <v>J3</v>
      </c>
      <c r="AA56" s="198" t="str">
        <f ca="1">A54</f>
        <v>Egipto</v>
      </c>
      <c r="AB56" s="486" t="str" cm="1">
        <f t="array" aca="1" ref="AB56" ca="1">Ver_flag_local</f>
        <v>🇪🇬</v>
      </c>
      <c r="AC56" s="199">
        <v>1</v>
      </c>
      <c r="AD56" s="200">
        <v>1</v>
      </c>
      <c r="AE56" s="491" t="str" cm="1">
        <f t="array" aca="1" ref="AE56" ca="1">Ver_flag_visit</f>
        <v>🇮🇷</v>
      </c>
      <c r="AF56" s="201" t="str">
        <f ca="1">A55</f>
        <v>Irán</v>
      </c>
      <c r="AG56" s="421">
        <f t="shared" si="168"/>
        <v>1</v>
      </c>
      <c r="AH56" s="202">
        <v>63</v>
      </c>
      <c r="AI56" s="19" t="str">
        <f t="shared" si="173"/>
        <v>3G</v>
      </c>
      <c r="AJ56" s="227">
        <v>3</v>
      </c>
      <c r="AK56" s="494" t="str" cm="1">
        <f t="array" aca="1" ref="AK56" ca="1">Ver_flag_visit</f>
        <v>🇮🇷</v>
      </c>
      <c r="AL56" s="228" t="str">
        <f ca="1">IFERROR(INDEX($BD$6:$BD$53,MATCH(AI56,$BN$6:$BN$53,0)),"")</f>
        <v>Irán</v>
      </c>
      <c r="AM56" s="229">
        <f t="shared" ca="1" si="172"/>
        <v>3</v>
      </c>
      <c r="AN56" s="230">
        <f t="shared" ca="1" si="172"/>
        <v>3</v>
      </c>
      <c r="AO56" s="230">
        <f t="shared" ca="1" si="172"/>
        <v>0</v>
      </c>
      <c r="AP56" s="230">
        <f t="shared" ca="1" si="172"/>
        <v>3</v>
      </c>
      <c r="AQ56" s="230">
        <f t="shared" ca="1" si="172"/>
        <v>0</v>
      </c>
      <c r="AR56" s="230">
        <f t="shared" ca="1" si="172"/>
        <v>3</v>
      </c>
      <c r="AS56" s="230">
        <f t="shared" ca="1" si="172"/>
        <v>3</v>
      </c>
      <c r="AT56" s="231">
        <f t="shared" ca="1" si="172"/>
        <v>0</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7" thickBot="1" x14ac:dyDescent="0.25">
      <c r="A57" s="751"/>
      <c r="B57" s="754"/>
      <c r="C57" s="751"/>
      <c r="D57" s="756" t="str">
        <f t="shared" si="155"/>
        <v>Visitante</v>
      </c>
      <c r="E57" s="756" t="str">
        <f t="shared" ca="1" si="156"/>
        <v>-</v>
      </c>
      <c r="F57" s="756" t="str">
        <f t="shared" ca="1" si="157"/>
        <v>P.1 (2)</v>
      </c>
      <c r="G57" s="756"/>
      <c r="H57" s="756" t="str">
        <f t="shared" ca="1" si="158"/>
        <v>-</v>
      </c>
      <c r="I57" s="756" t="str">
        <f t="shared" ca="1" si="159"/>
        <v>P.1 (2)</v>
      </c>
      <c r="J57" s="756"/>
      <c r="K57" s="756" t="str">
        <f t="shared" ca="1" si="160"/>
        <v>-</v>
      </c>
      <c r="L57" s="756" t="str">
        <f t="shared" ca="1" si="161"/>
        <v>P.1 (2)</v>
      </c>
      <c r="M57" s="756"/>
      <c r="N57" s="756" t="str">
        <f t="shared" ca="1" si="162"/>
        <v>-</v>
      </c>
      <c r="O57" s="756" t="str">
        <f t="shared" ca="1" si="163"/>
        <v>P.1 (2)</v>
      </c>
      <c r="P57" s="756"/>
      <c r="Q57" s="756" t="str">
        <f t="shared" ca="1" si="164"/>
        <v>-</v>
      </c>
      <c r="R57" s="756" t="str">
        <f t="shared" ca="1" si="165"/>
        <v>P.1 (2)</v>
      </c>
      <c r="S57" s="756"/>
      <c r="T57" s="756" t="str">
        <f t="shared" ca="1" si="166"/>
        <v>-</v>
      </c>
      <c r="U57" s="756" t="str">
        <f t="shared" ca="1" si="167"/>
        <v>P.1 (2)</v>
      </c>
      <c r="V57" s="178"/>
      <c r="W57" s="850"/>
      <c r="X57" s="234">
        <f ca="1">Horarios!C57</f>
        <v>46200.208333333336</v>
      </c>
      <c r="Y57" s="235">
        <f ca="1">Horarios!C57</f>
        <v>46200.208333333336</v>
      </c>
      <c r="Z57" s="236" t="str">
        <f>$Z$8</f>
        <v>J3</v>
      </c>
      <c r="AA57" s="237" t="str">
        <f ca="1">A56</f>
        <v>Nueva Zelanda</v>
      </c>
      <c r="AB57" s="487" t="str" cm="1">
        <f t="array" aca="1" ref="AB57" ca="1">Ver_flag_local</f>
        <v>🇳🇿</v>
      </c>
      <c r="AC57" s="238">
        <v>1</v>
      </c>
      <c r="AD57" s="239">
        <v>5</v>
      </c>
      <c r="AE57" s="492" t="str" cm="1">
        <f t="array" aca="1" ref="AE57" ca="1">Ver_flag_visit</f>
        <v>🇧🇪</v>
      </c>
      <c r="AF57" s="240" t="str">
        <f ca="1">A53</f>
        <v>Bélgica</v>
      </c>
      <c r="AG57" s="421">
        <f t="shared" si="168"/>
        <v>1</v>
      </c>
      <c r="AH57" s="202">
        <v>64</v>
      </c>
      <c r="AI57" s="19" t="str">
        <f t="shared" si="173"/>
        <v>4G</v>
      </c>
      <c r="AJ57" s="241">
        <v>4</v>
      </c>
      <c r="AK57" s="495" t="str" cm="1">
        <f t="array" aca="1" ref="AK57" ca="1">Ver_flag_visit</f>
        <v>🇳🇿</v>
      </c>
      <c r="AL57" s="242" t="str">
        <f ca="1">IFERROR(INDEX($BD$6:$BD$53,MATCH(AI57,$BN$6:$BN$53,0)),"")</f>
        <v>Nueva Zelanda</v>
      </c>
      <c r="AM57" s="243">
        <f t="shared" ca="1" si="172"/>
        <v>1</v>
      </c>
      <c r="AN57" s="244">
        <f t="shared" ca="1" si="172"/>
        <v>3</v>
      </c>
      <c r="AO57" s="244">
        <f t="shared" ca="1" si="172"/>
        <v>0</v>
      </c>
      <c r="AP57" s="244">
        <f t="shared" ca="1" si="172"/>
        <v>1</v>
      </c>
      <c r="AQ57" s="244">
        <f t="shared" ca="1" si="172"/>
        <v>2</v>
      </c>
      <c r="AR57" s="244">
        <f t="shared" ca="1" si="172"/>
        <v>4</v>
      </c>
      <c r="AS57" s="244">
        <f t="shared" ca="1" si="172"/>
        <v>10</v>
      </c>
      <c r="AT57" s="245">
        <f t="shared" ca="1" si="172"/>
        <v>-6</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x14ac:dyDescent="0.25">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3</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0</v>
      </c>
      <c r="BI58" s="760">
        <f t="shared" ref="BI58:BI69" ca="1" si="176">CHOOSE(IF($BB$57=2, 2, 1),
  INDEX($BI$6:$BI$53,MATCH($BB58,$BN$6:$BN$53,0)),
  INDEX($BI$6:$BI$53,MATCH($BB58,$BN$6:$BN$53,0))-(COUNTIFS(FGLocal,$BD58,FGVisitante,INDEX($BD$6:$BD$53,MATCH(BO58,$BN$6:$BN$53,0)),Ganador,"Visitante")+COUNTIFS(FGVisitante,$BD58,FGLocal,INDEX($BD$6:$BD$53,MATCH(BO58,$BN$6:$BN$53,0)),Ganador,"Local"))
)</f>
        <v>2</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60">
        <f ca="1">BJ58-BK58</f>
        <v>-1</v>
      </c>
      <c r="BM58" s="760">
        <f ca="1">CB58</f>
        <v>10</v>
      </c>
      <c r="BN58" s="760">
        <f ca="1">CF58</f>
        <v>10</v>
      </c>
      <c r="BO58" s="750" t="str">
        <f>"4"&amp;BC58</f>
        <v>4A</v>
      </c>
      <c r="BP58" s="750"/>
      <c r="BQ58" s="750"/>
      <c r="BR58" s="760">
        <f t="shared" ref="BR58:BR69" ca="1" si="179">+BE58</f>
        <v>3</v>
      </c>
      <c r="BS58" s="760">
        <f ca="1">COUNTIFS(BR$58:BR$69,"&gt;"&amp;BR58)+1</f>
        <v>8</v>
      </c>
      <c r="BT58" s="760" t="str">
        <f ca="1">IF(COUNTIF(BS$58:BS$69,BS58)=1,"-","Pos. "&amp;BS58&amp;" ("&amp;COUNTIF(BS$58:BS$69,BS58)&amp;")")</f>
        <v>Pos. 8 (4)</v>
      </c>
      <c r="BU58" s="760">
        <f t="shared" ref="BU58:BU69" ca="1" si="180">IF(BT58="-","-",BL58)</f>
        <v>-1</v>
      </c>
      <c r="BV58" s="760">
        <f t="shared" ref="BV58:BV69" ca="1" si="181">BS58+COUNTIFS(BT$58:BT$69,BT58,BU$58:BU$69,"&gt;"&amp;BU58)</f>
        <v>10</v>
      </c>
      <c r="BW58" s="760" t="str">
        <f t="shared" ref="BW58:BW69" ca="1" si="182">IF(COUNTIF(BV$58:BV$69,BV58)=1,"-","Pos. "&amp;BV58&amp;" ("&amp;COUNTIF(BV$58:BV$69,BV58)&amp;")")</f>
        <v>-</v>
      </c>
      <c r="BX58" s="760" t="str">
        <f t="shared" ref="BX58:BX69" ca="1" si="183">IF(BW58="-","-",BJ58)</f>
        <v>-</v>
      </c>
      <c r="BY58" s="760">
        <f t="shared" ref="BY58:BY69" ca="1" si="184">BV58+COUNTIFS(BW$58:BW$69,BW58,BX$58:BX$69,"&gt;"&amp;BX58)</f>
        <v>10</v>
      </c>
      <c r="BZ58" s="760" t="str">
        <f t="shared" ref="BZ58:BZ69" ca="1" si="185">IF(COUNTIF(BY$58:BY$69,BY58)=1,"-","Pos. "&amp;BY58&amp;" ("&amp;COUNTIF(BY$58:BY$69,BY58)&amp;")")</f>
        <v>-</v>
      </c>
      <c r="CA58" s="760" t="str">
        <f ca="1">IF(BZ58="-","-",COUNTIF($BD$58:$BD$69,"&gt;"&amp;BD58))</f>
        <v>-</v>
      </c>
      <c r="CB58" s="760">
        <f ca="1">BY58+COUNTIFS(BZ$58:BZ$69,BZ58,CA$58:CA$69,"&gt;"&amp;CA58)</f>
        <v>10</v>
      </c>
      <c r="CC58" s="760"/>
      <c r="CD58" s="760">
        <f ca="1">IF(OR(INDEX($AW$102:$AW$113,MATCH($BD58,$AV$102:$AV$113,0))="",BZ58="-"),CB58,INDEX($AW$102:$AW$113,MATCH($BD58,$AV$102:$AV$113,0))+CB58/1000)</f>
        <v>10</v>
      </c>
      <c r="CE58" s="760" t="str">
        <f ca="1">IF(BZ58="-","-",COUNTIF(CD$58:CD$69,"&lt;"&amp;CD58))</f>
        <v>-</v>
      </c>
      <c r="CF58" s="760">
        <f ca="1">BY58+COUNTIFS(BZ$58:BZ$69,BZ58,CE$58:CE$69,"&lt;"&amp;CE58)</f>
        <v>10</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RD Congo</v>
      </c>
      <c r="DR58" s="756"/>
      <c r="DS58" s="756"/>
      <c r="DT58" s="756" t="str">
        <f t="shared" si="15"/>
        <v>-</v>
      </c>
      <c r="DU58" s="756"/>
      <c r="DV58" s="756"/>
      <c r="DW58" s="8"/>
    </row>
    <row r="59" spans="1:127" ht="16" thickBot="1" x14ac:dyDescent="0.25">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4</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1</v>
      </c>
      <c r="BI59" s="760">
        <f t="shared" ca="1" si="176"/>
        <v>1</v>
      </c>
      <c r="BJ59" s="760">
        <f t="shared" ca="1" si="177"/>
        <v>5</v>
      </c>
      <c r="BK59" s="760">
        <f t="shared" ca="1" si="178"/>
        <v>6</v>
      </c>
      <c r="BL59" s="760">
        <f t="shared" ref="BL59:BL69" ca="1" si="193">BJ59-BK59</f>
        <v>-1</v>
      </c>
      <c r="BM59" s="760">
        <f t="shared" ref="BM59:BM69" ca="1" si="194">CB59</f>
        <v>5</v>
      </c>
      <c r="BN59" s="760">
        <f t="shared" ref="BN59:BN69" ca="1" si="195">CF59</f>
        <v>5</v>
      </c>
      <c r="BO59" s="750" t="str">
        <f t="shared" ref="BO59:BO69" si="196">"4"&amp;BC59</f>
        <v>4B</v>
      </c>
      <c r="BP59" s="750"/>
      <c r="BQ59" s="750"/>
      <c r="BR59" s="760">
        <f t="shared" ca="1" si="179"/>
        <v>4</v>
      </c>
      <c r="BS59" s="760">
        <f t="shared" ref="BS59:BS69" ca="1" si="197">COUNTIFS(BR$58:BR$69,"&gt;"&amp;BR59)+1</f>
        <v>1</v>
      </c>
      <c r="BT59" s="760" t="str">
        <f t="shared" ref="BT59:BT69" ca="1" si="198">IF(COUNTIF(BS$58:BS$69,BS59)=1,"-","Pos. "&amp;BS59&amp;" ("&amp;COUNTIF(BS$58:BS$69,BS59)&amp;")")</f>
        <v>Pos. 1 (7)</v>
      </c>
      <c r="BU59" s="760">
        <f t="shared" ca="1" si="180"/>
        <v>-1</v>
      </c>
      <c r="BV59" s="760">
        <f t="shared" ca="1" si="181"/>
        <v>5</v>
      </c>
      <c r="BW59" s="760" t="str">
        <f t="shared" ca="1" si="182"/>
        <v>-</v>
      </c>
      <c r="BX59" s="760" t="str">
        <f t="shared" ca="1" si="183"/>
        <v>-</v>
      </c>
      <c r="BY59" s="760">
        <f t="shared" ca="1" si="184"/>
        <v>5</v>
      </c>
      <c r="BZ59" s="760" t="str">
        <f t="shared" ca="1" si="185"/>
        <v>-</v>
      </c>
      <c r="CA59" s="760" t="str">
        <f t="shared" ref="CA59:CA69" ca="1" si="199">IF(BZ59="-","-",COUNTIF($BD$58:$BD$69,"&gt;"&amp;BD59))</f>
        <v>-</v>
      </c>
      <c r="CB59" s="760">
        <f t="shared" ref="CB59:CB68" ca="1" si="200">BY59+COUNTIFS(BZ$58:BZ$69,BZ59,CA$58:CA$69,"&gt;"&amp;CA59)</f>
        <v>5</v>
      </c>
      <c r="CC59" s="760"/>
      <c r="CD59" s="760">
        <f t="shared" ref="CD59:CD69" ca="1" si="201">IF(OR(INDEX($AW$102:$AW$113,MATCH($BD59,$AV$102:$AV$113,0))="",BZ59="-"),CB59,INDEX($AW$102:$AW$113,MATCH($BD59,$AV$102:$AV$113,0))+CB59/1000)</f>
        <v>5</v>
      </c>
      <c r="CE59" s="760" t="str">
        <f t="shared" ref="CE59:CE69" ca="1" si="202">IF(BZ59="-","-",COUNTIF(CD$58:CD$69,"&lt;"&amp;CD59))</f>
        <v>-</v>
      </c>
      <c r="CF59" s="760">
        <f t="shared" ref="CF59:CF69" ca="1" si="203">BY59+COUNTIFS(BZ$58:BZ$69,BZ59,CE$58:CE$69,"&lt;"&amp;CE59)</f>
        <v>5</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Suecia</v>
      </c>
      <c r="DR59" s="756"/>
      <c r="DS59" s="756"/>
      <c r="DT59" s="756" t="str">
        <f t="shared" si="15"/>
        <v>Casa-Fuera</v>
      </c>
      <c r="DU59" s="756"/>
      <c r="DV59" s="756"/>
      <c r="DW59" s="8"/>
    </row>
    <row r="60" spans="1:127" ht="15" customHeight="1" thickBot="1" x14ac:dyDescent="0.25">
      <c r="A60" s="753" t="s">
        <v>30</v>
      </c>
      <c r="B60" s="754" t="s">
        <v>437</v>
      </c>
      <c r="C60" s="755">
        <f>COUNTIF(Equipos!$C$2:$C$49,WORLDCUP!B60)</f>
        <v>4</v>
      </c>
      <c r="D60" s="756" t="str">
        <f t="shared" ref="D60:D65" si="206">IF(OR(AC60="",AD60=""),"Pendiente",IF(AC60&gt;AD60,"Local",IF(AC60&lt;AD60,"Visitante","Empate")))</f>
        <v>Empate</v>
      </c>
      <c r="E60" s="756" t="str">
        <f t="shared" ref="E60:E65" ca="1" si="207">IF(D60="Pendiente","-",INDEX($BT$6:$BT$53,MATCH($AA60,$BD$6:$BD$53,0)))</f>
        <v>-</v>
      </c>
      <c r="F60" s="756" t="str">
        <f t="shared" ref="F60:F65" ca="1" si="208">IF(D60="Pendiente","-",INDEX($BT$6:$BT$53,MATCH($AF60,$BD$6:$BD$53,0)))</f>
        <v>-</v>
      </c>
      <c r="G60" s="756"/>
      <c r="H60" s="756" t="str">
        <f t="shared" ref="H60:H65" ca="1" si="209">IF(D60="Pendiente","-",INDEX($BZ$6:$BZ$53,MATCH($AA60,$BD$6:$BD$53,0)))</f>
        <v>-</v>
      </c>
      <c r="I60" s="756" t="str">
        <f t="shared" ref="I60:I65" ca="1" si="210">IF(D60="Pendiente","-",INDEX($BZ$6:$BZ$53,MATCH($AF60,$BD$6:$BD$53,0)))</f>
        <v>-</v>
      </c>
      <c r="J60" s="756"/>
      <c r="K60" s="756" t="str">
        <f t="shared" ref="K60:K65" ca="1" si="211">IF(D60="Pendiente","-",INDEX($CE$6:$CE$53,MATCH($AA60,$BD$6:$BD$53,0)))</f>
        <v>-</v>
      </c>
      <c r="L60" s="756" t="str">
        <f t="shared" ref="L60:L65" ca="1" si="212">IF(D60="Pendiente","-",INDEX($CE$6:$CE$53,MATCH($AF60,$BD$6:$BD$53,0)))</f>
        <v>-</v>
      </c>
      <c r="M60" s="756"/>
      <c r="N60" s="756" t="str">
        <f t="shared" ref="N60:N65" ca="1" si="213">IF(D60="Pendiente","-",INDEX($CH$6:$CH$53,MATCH($AA60,$BD$6:$BD$53,0)))</f>
        <v>-</v>
      </c>
      <c r="O60" s="756" t="str">
        <f t="shared" ref="O60:O65" ca="1" si="214">IF(D60="Pendiente","-",INDEX($CH$6:$CH$53,MATCH($AF60,$BD$6:$BD$53,0)))</f>
        <v>-</v>
      </c>
      <c r="P60" s="756"/>
      <c r="Q60" s="756" t="str">
        <f t="shared" ref="Q60:Q65" ca="1" si="215">IF(D60="Pendiente","-",INDEX($CN$6:$CN$53,MATCH($AA60,$BD$6:$BD$53,0)))</f>
        <v>-</v>
      </c>
      <c r="R60" s="756" t="str">
        <f t="shared" ref="R60:R65" ca="1" si="216">IF(D60="Pendiente","-",INDEX($CN$6:$CN$53,MATCH($AF60,$BD$6:$BD$53,0)))</f>
        <v>-</v>
      </c>
      <c r="S60" s="756"/>
      <c r="T60" s="756" t="str">
        <f t="shared" ref="T60:T65" ca="1" si="217">IF(D60="Pendiente","-",INDEX($CS$6:$CS$53,MATCH($AA60,$BD$6:$BD$53,0)))</f>
        <v>-</v>
      </c>
      <c r="U60" s="756" t="str">
        <f t="shared" ref="U60:U65" ca="1" si="218">IF(D60="Pendiente","-",INDEX($CS$6:$CS$53,MATCH($AF60,$BD$6:$BD$53,0)))</f>
        <v>-</v>
      </c>
      <c r="V60" s="178"/>
      <c r="W60" s="831" t="s">
        <v>437</v>
      </c>
      <c r="X60" s="195">
        <f ca="1">Horarios!C60</f>
        <v>46188.75</v>
      </c>
      <c r="Y60" s="196">
        <f ca="1">Horarios!C60</f>
        <v>46188.75</v>
      </c>
      <c r="Z60" s="197" t="str">
        <f>$Z$4</f>
        <v>J1</v>
      </c>
      <c r="AA60" s="198" t="str">
        <f ca="1">A61</f>
        <v>España</v>
      </c>
      <c r="AB60" s="486" t="str" cm="1">
        <f t="array" aca="1" ref="AB60" ca="1">Ver_flag_local</f>
        <v>🇪🇸</v>
      </c>
      <c r="AC60" s="199">
        <v>0</v>
      </c>
      <c r="AD60" s="200">
        <v>0</v>
      </c>
      <c r="AE60" s="491" t="str" cm="1">
        <f t="array" aca="1" ref="AE60" ca="1">Ver_flag_visit</f>
        <v>🇨🇻</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1</v>
      </c>
      <c r="BK60" s="760">
        <f t="shared" ca="1" si="178"/>
        <v>4</v>
      </c>
      <c r="BL60" s="760">
        <f t="shared" ca="1" si="193"/>
        <v>-3</v>
      </c>
      <c r="BM60" s="760">
        <f t="shared" ca="1" si="194"/>
        <v>11</v>
      </c>
      <c r="BN60" s="760">
        <f t="shared" ca="1" si="195"/>
        <v>11</v>
      </c>
      <c r="BO60" s="750" t="str">
        <f t="shared" si="196"/>
        <v>4C</v>
      </c>
      <c r="BP60" s="750"/>
      <c r="BQ60" s="750"/>
      <c r="BR60" s="760">
        <f t="shared" ca="1" si="179"/>
        <v>3</v>
      </c>
      <c r="BS60" s="760">
        <f t="shared" ca="1" si="197"/>
        <v>8</v>
      </c>
      <c r="BT60" s="760" t="str">
        <f t="shared" ca="1" si="198"/>
        <v>Pos. 8 (4)</v>
      </c>
      <c r="BU60" s="760">
        <f t="shared" ca="1" si="180"/>
        <v>-3</v>
      </c>
      <c r="BV60" s="760">
        <f t="shared" ca="1" si="181"/>
        <v>11</v>
      </c>
      <c r="BW60" s="760" t="str">
        <f t="shared" ca="1" si="182"/>
        <v>-</v>
      </c>
      <c r="BX60" s="760" t="str">
        <f t="shared" ca="1" si="183"/>
        <v>-</v>
      </c>
      <c r="BY60" s="760">
        <f t="shared" ca="1" si="184"/>
        <v>11</v>
      </c>
      <c r="BZ60" s="760" t="str">
        <f t="shared" ca="1" si="185"/>
        <v>-</v>
      </c>
      <c r="CA60" s="760" t="str">
        <f t="shared" ca="1" si="199"/>
        <v>-</v>
      </c>
      <c r="CB60" s="760">
        <f t="shared" ca="1" si="200"/>
        <v>11</v>
      </c>
      <c r="CC60" s="760"/>
      <c r="CD60" s="760">
        <f t="shared" ca="1" si="201"/>
        <v>11</v>
      </c>
      <c r="CE60" s="760" t="str">
        <f t="shared" ca="1" si="202"/>
        <v>-</v>
      </c>
      <c r="CF60" s="760">
        <f t="shared" ca="1" si="203"/>
        <v>11</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2</v>
      </c>
      <c r="DM60" s="750" t="str">
        <f t="shared" ca="1" si="187"/>
        <v>3.2</v>
      </c>
      <c r="DN60" s="756" t="e" cm="1" vm="1">
        <f t="array" aca="1" ref="DN60" ca="1">OFFSET(Horarios!$P$3,DJ60-1,0,DL60,1)</f>
        <v>#VALUE!</v>
      </c>
      <c r="DO60" s="756"/>
      <c r="DP60" s="756">
        <v>3</v>
      </c>
      <c r="DQ60" s="756" t="str">
        <f t="shared" ca="1" si="205"/>
        <v>Ecuador</v>
      </c>
      <c r="DR60" s="756"/>
      <c r="DS60" s="756"/>
      <c r="DT60" s="756" t="str">
        <f t="shared" ca="1" si="15"/>
        <v>España-Cabo Verde</v>
      </c>
      <c r="DU60" s="756"/>
      <c r="DV60" s="756"/>
      <c r="DW60" s="8"/>
    </row>
    <row r="61" spans="1:127" ht="16" x14ac:dyDescent="0.2">
      <c r="A61" s="757" t="str">
        <f ca="1">+Equipos!B30</f>
        <v>España</v>
      </c>
      <c r="B61" s="754"/>
      <c r="C61" s="754"/>
      <c r="D61" s="756" t="str">
        <f t="shared" si="206"/>
        <v>Empate</v>
      </c>
      <c r="E61" s="756" t="str">
        <f t="shared" ca="1" si="207"/>
        <v>P.3 (2)</v>
      </c>
      <c r="F61" s="756" t="str">
        <f t="shared" ca="1" si="208"/>
        <v>P.3 (2)</v>
      </c>
      <c r="G61" s="756"/>
      <c r="H61" s="756" t="str">
        <f t="shared" ca="1" si="209"/>
        <v>P.3 (2)</v>
      </c>
      <c r="I61" s="756" t="str">
        <f t="shared" ca="1" si="210"/>
        <v>P.3 (2)</v>
      </c>
      <c r="J61" s="756"/>
      <c r="K61" s="756" t="str">
        <f t="shared" ca="1" si="211"/>
        <v>P.3 (2)</v>
      </c>
      <c r="L61" s="756" t="str">
        <f t="shared" ca="1" si="212"/>
        <v>P.3 (2)</v>
      </c>
      <c r="M61" s="756"/>
      <c r="N61" s="756" t="str">
        <f t="shared" ca="1" si="213"/>
        <v>P.3 (2)</v>
      </c>
      <c r="O61" s="756" t="str">
        <f t="shared" ca="1" si="214"/>
        <v>P.3 (2)</v>
      </c>
      <c r="P61" s="756"/>
      <c r="Q61" s="756" t="str">
        <f t="shared" ca="1" si="215"/>
        <v>P.3 (2)</v>
      </c>
      <c r="R61" s="756" t="str">
        <f t="shared" ca="1" si="216"/>
        <v>P.3 (2)</v>
      </c>
      <c r="S61" s="756"/>
      <c r="T61" s="756" t="str">
        <f t="shared" ca="1" si="217"/>
        <v>P.3 (2)</v>
      </c>
      <c r="U61" s="756" t="str">
        <f t="shared" ca="1" si="218"/>
        <v>P.3 (2)</v>
      </c>
      <c r="V61" s="178"/>
      <c r="W61" s="831"/>
      <c r="X61" s="195">
        <f ca="1">Horarios!C61</f>
        <v>46189</v>
      </c>
      <c r="Y61" s="196">
        <f ca="1">Horarios!C61</f>
        <v>46189</v>
      </c>
      <c r="Z61" s="197" t="str">
        <f>$Z$4</f>
        <v>J1</v>
      </c>
      <c r="AA61" s="198" t="str">
        <f ca="1">A63</f>
        <v>Arabia Saudita</v>
      </c>
      <c r="AB61" s="486" t="str" cm="1">
        <f t="array" aca="1" ref="AB61" ca="1">Ver_flag_local</f>
        <v>🇸🇦</v>
      </c>
      <c r="AC61" s="199">
        <v>1</v>
      </c>
      <c r="AD61" s="200">
        <v>1</v>
      </c>
      <c r="AE61" s="491" t="str" cm="1">
        <f t="array" aca="1" ref="AE61" ca="1">Ver_flag_visit</f>
        <v>🇺🇾</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4</v>
      </c>
      <c r="BF61" s="760">
        <f t="shared" ca="1" si="190"/>
        <v>3</v>
      </c>
      <c r="BG61" s="760">
        <f t="shared" ca="1" si="191"/>
        <v>1</v>
      </c>
      <c r="BH61" s="760">
        <f t="shared" ca="1" si="192"/>
        <v>1</v>
      </c>
      <c r="BI61" s="760">
        <f t="shared" ca="1" si="176"/>
        <v>1</v>
      </c>
      <c r="BJ61" s="760">
        <f t="shared" ca="1" si="177"/>
        <v>2</v>
      </c>
      <c r="BK61" s="760">
        <f t="shared" ca="1" si="178"/>
        <v>4</v>
      </c>
      <c r="BL61" s="760">
        <f t="shared" ca="1" si="193"/>
        <v>-2</v>
      </c>
      <c r="BM61" s="760">
        <f t="shared" ca="1" si="194"/>
        <v>7</v>
      </c>
      <c r="BN61" s="760">
        <f t="shared" ca="1" si="195"/>
        <v>7</v>
      </c>
      <c r="BO61" s="750" t="str">
        <f t="shared" si="196"/>
        <v>4D</v>
      </c>
      <c r="BP61" s="750"/>
      <c r="BQ61" s="750"/>
      <c r="BR61" s="760">
        <f t="shared" ca="1" si="179"/>
        <v>4</v>
      </c>
      <c r="BS61" s="760">
        <f t="shared" ca="1" si="197"/>
        <v>1</v>
      </c>
      <c r="BT61" s="760" t="str">
        <f t="shared" ca="1" si="198"/>
        <v>Pos. 1 (7)</v>
      </c>
      <c r="BU61" s="760">
        <f t="shared" ca="1" si="180"/>
        <v>-2</v>
      </c>
      <c r="BV61" s="760">
        <f t="shared" ca="1" si="181"/>
        <v>6</v>
      </c>
      <c r="BW61" s="760" t="str">
        <f t="shared" ca="1" si="182"/>
        <v>Pos. 6 (2)</v>
      </c>
      <c r="BX61" s="760">
        <f t="shared" ca="1" si="183"/>
        <v>2</v>
      </c>
      <c r="BY61" s="760">
        <f t="shared" ca="1" si="184"/>
        <v>7</v>
      </c>
      <c r="BZ61" s="760" t="str">
        <f t="shared" ca="1" si="185"/>
        <v>-</v>
      </c>
      <c r="CA61" s="760" t="str">
        <f t="shared" ca="1" si="199"/>
        <v>-</v>
      </c>
      <c r="CB61" s="760">
        <f t="shared" ca="1" si="200"/>
        <v>7</v>
      </c>
      <c r="CC61" s="760"/>
      <c r="CD61" s="760">
        <f t="shared" ca="1" si="201"/>
        <v>7</v>
      </c>
      <c r="CE61" s="760" t="str">
        <f t="shared" ca="1" si="202"/>
        <v>-</v>
      </c>
      <c r="CF61" s="760">
        <f t="shared" ca="1" si="203"/>
        <v>7</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3</v>
      </c>
      <c r="DK61" s="756"/>
      <c r="DL61" s="756">
        <f t="shared" ca="1" si="204"/>
        <v>2</v>
      </c>
      <c r="DM61" s="750" t="str">
        <f t="shared" ca="1" si="187"/>
        <v>3.2</v>
      </c>
      <c r="DN61" s="756" t="e" cm="1" vm="1">
        <f t="array" aca="1" ref="DN61" ca="1">OFFSET(Horarios!$P$3,DJ61-1,0,DL61,1)</f>
        <v>#VALUE!</v>
      </c>
      <c r="DO61" s="756"/>
      <c r="DP61" s="756">
        <v>4</v>
      </c>
      <c r="DQ61" s="756" t="str">
        <f t="shared" ca="1" si="205"/>
        <v>Ghana</v>
      </c>
      <c r="DR61" s="756"/>
      <c r="DS61" s="756"/>
      <c r="DT61" s="756" t="str">
        <f t="shared" ca="1" si="15"/>
        <v>Arabia Saudita-Uruguay</v>
      </c>
      <c r="DU61" s="756"/>
      <c r="DV61" s="756"/>
      <c r="DW61" s="8"/>
    </row>
    <row r="62" spans="1:127" ht="16" x14ac:dyDescent="0.2">
      <c r="A62" s="757" t="str">
        <f ca="1">+Equipos!B31</f>
        <v>Cabo Verde</v>
      </c>
      <c r="B62" s="754"/>
      <c r="C62" s="758"/>
      <c r="D62" s="756" t="str">
        <f t="shared" si="206"/>
        <v>Local</v>
      </c>
      <c r="E62" s="756" t="str">
        <f t="shared" ca="1" si="207"/>
        <v>-</v>
      </c>
      <c r="F62" s="756" t="str">
        <f t="shared" ca="1" si="208"/>
        <v>P.3 (2)</v>
      </c>
      <c r="G62" s="756"/>
      <c r="H62" s="756" t="str">
        <f t="shared" ca="1" si="209"/>
        <v>-</v>
      </c>
      <c r="I62" s="756" t="str">
        <f t="shared" ca="1" si="210"/>
        <v>P.3 (2)</v>
      </c>
      <c r="J62" s="756"/>
      <c r="K62" s="756" t="str">
        <f t="shared" ca="1" si="211"/>
        <v>-</v>
      </c>
      <c r="L62" s="756" t="str">
        <f t="shared" ca="1" si="212"/>
        <v>P.3 (2)</v>
      </c>
      <c r="M62" s="756"/>
      <c r="N62" s="756" t="str">
        <f t="shared" ca="1" si="213"/>
        <v>-</v>
      </c>
      <c r="O62" s="756" t="str">
        <f t="shared" ca="1" si="214"/>
        <v>P.3 (2)</v>
      </c>
      <c r="P62" s="756"/>
      <c r="Q62" s="756" t="str">
        <f t="shared" ca="1" si="215"/>
        <v>-</v>
      </c>
      <c r="R62" s="756" t="str">
        <f t="shared" ca="1" si="216"/>
        <v>P.3 (2)</v>
      </c>
      <c r="S62" s="756"/>
      <c r="T62" s="756" t="str">
        <f t="shared" ca="1" si="217"/>
        <v>-</v>
      </c>
      <c r="U62" s="756" t="str">
        <f t="shared" ca="1" si="218"/>
        <v>P.3 (2)</v>
      </c>
      <c r="V62" s="178"/>
      <c r="W62" s="831"/>
      <c r="X62" s="195">
        <f ca="1">Horarios!C62</f>
        <v>46194.75</v>
      </c>
      <c r="Y62" s="196">
        <f ca="1">Horarios!C62</f>
        <v>46194.75</v>
      </c>
      <c r="Z62" s="197" t="str">
        <f>$Z$6</f>
        <v>J2</v>
      </c>
      <c r="AA62" s="198" t="str">
        <f ca="1">A61</f>
        <v>España</v>
      </c>
      <c r="AB62" s="486" t="str" cm="1">
        <f t="array" aca="1" ref="AB62" ca="1">Ver_flag_local</f>
        <v>🇪🇸</v>
      </c>
      <c r="AC62" s="199">
        <v>4</v>
      </c>
      <c r="AD62" s="200">
        <v>0</v>
      </c>
      <c r="AE62" s="491" t="str" cm="1">
        <f t="array" aca="1" ref="AE62" ca="1">Ver_flag_visit</f>
        <v>🇸🇦</v>
      </c>
      <c r="AF62" s="201" t="str">
        <f ca="1">A63</f>
        <v>Arabia Saudita</v>
      </c>
      <c r="AG62" s="421">
        <f t="shared" si="219"/>
        <v>1</v>
      </c>
      <c r="AH62" s="202">
        <v>38</v>
      </c>
      <c r="AI62" s="19" t="str">
        <f>AJ62&amp;$B$60</f>
        <v>1H</v>
      </c>
      <c r="AJ62" s="217">
        <v>1</v>
      </c>
      <c r="AK62" s="496" t="str" cm="1">
        <f t="array" aca="1" ref="AK62" ca="1">Ver_flag_visit</f>
        <v>🇪🇸</v>
      </c>
      <c r="AL62" s="218" t="str">
        <f ca="1">IFERROR(INDEX($BD$6:$BD$53,MATCH(AI62,$BN$6:$BN$53,0)),"")</f>
        <v>España</v>
      </c>
      <c r="AM62" s="219">
        <f t="shared" ref="AM62:AT65" ca="1" si="223">INDEX($BE$6:$BN$53,MATCH($AL62,$BD$6:$BD$53,0),MATCH(AM$5,$BE$5:$BN$5,0))</f>
        <v>7</v>
      </c>
      <c r="AN62" s="220">
        <f t="shared" ca="1" si="223"/>
        <v>3</v>
      </c>
      <c r="AO62" s="220">
        <f t="shared" ca="1" si="223"/>
        <v>2</v>
      </c>
      <c r="AP62" s="220">
        <f t="shared" ca="1" si="223"/>
        <v>1</v>
      </c>
      <c r="AQ62" s="220">
        <f t="shared" ca="1" si="223"/>
        <v>0</v>
      </c>
      <c r="AR62" s="220">
        <f t="shared" ca="1" si="223"/>
        <v>5</v>
      </c>
      <c r="AS62" s="220">
        <f t="shared" ca="1" si="223"/>
        <v>0</v>
      </c>
      <c r="AT62" s="221">
        <f t="shared" ca="1" si="223"/>
        <v>5</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Ecuador</v>
      </c>
      <c r="BE62" s="760">
        <f t="shared" ca="1" si="189"/>
        <v>4</v>
      </c>
      <c r="BF62" s="760">
        <f t="shared" ca="1" si="190"/>
        <v>3</v>
      </c>
      <c r="BG62" s="760">
        <f t="shared" ca="1" si="191"/>
        <v>1</v>
      </c>
      <c r="BH62" s="760">
        <f t="shared" ca="1" si="192"/>
        <v>1</v>
      </c>
      <c r="BI62" s="760">
        <f t="shared" ca="1" si="176"/>
        <v>1</v>
      </c>
      <c r="BJ62" s="760">
        <f t="shared" ca="1" si="177"/>
        <v>2</v>
      </c>
      <c r="BK62" s="760">
        <f t="shared" ca="1" si="178"/>
        <v>2</v>
      </c>
      <c r="BL62" s="760">
        <f t="shared" ca="1" si="193"/>
        <v>0</v>
      </c>
      <c r="BM62" s="760">
        <f t="shared" ca="1" si="194"/>
        <v>3</v>
      </c>
      <c r="BN62" s="760">
        <f t="shared" ca="1" si="195"/>
        <v>4</v>
      </c>
      <c r="BO62" s="750" t="str">
        <f t="shared" si="196"/>
        <v>4E</v>
      </c>
      <c r="BP62" s="750"/>
      <c r="BQ62" s="750"/>
      <c r="BR62" s="760">
        <f t="shared" ca="1" si="179"/>
        <v>4</v>
      </c>
      <c r="BS62" s="760">
        <f t="shared" ca="1" si="197"/>
        <v>1</v>
      </c>
      <c r="BT62" s="760" t="str">
        <f t="shared" ca="1" si="198"/>
        <v>Pos. 1 (7)</v>
      </c>
      <c r="BU62" s="760">
        <f t="shared" ca="1" si="180"/>
        <v>0</v>
      </c>
      <c r="BV62" s="760">
        <f t="shared" ca="1" si="181"/>
        <v>2</v>
      </c>
      <c r="BW62" s="760" t="str">
        <f t="shared" ca="1" si="182"/>
        <v>Pos. 2 (3)</v>
      </c>
      <c r="BX62" s="760">
        <f t="shared" ca="1" si="183"/>
        <v>2</v>
      </c>
      <c r="BY62" s="760">
        <f t="shared" ca="1" si="184"/>
        <v>3</v>
      </c>
      <c r="BZ62" s="760" t="str">
        <f t="shared" ca="1" si="185"/>
        <v>Pos. 3 (2)</v>
      </c>
      <c r="CA62" s="760">
        <f t="shared" ca="1" si="199"/>
        <v>8</v>
      </c>
      <c r="CB62" s="760">
        <f t="shared" ca="1" si="200"/>
        <v>3</v>
      </c>
      <c r="CC62" s="760"/>
      <c r="CD62" s="760">
        <f t="shared" ca="1" si="201"/>
        <v>4.0030000000000001</v>
      </c>
      <c r="CE62" s="760">
        <f t="shared" ca="1" si="202"/>
        <v>3</v>
      </c>
      <c r="CF62" s="760">
        <f t="shared" ca="1" si="203"/>
        <v>4</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Bosnia y Herzegovina</v>
      </c>
      <c r="DR62" s="756"/>
      <c r="DS62" s="756"/>
      <c r="DT62" s="756" t="str">
        <f t="shared" ca="1" si="15"/>
        <v>España-Arabia Saudita</v>
      </c>
      <c r="DU62" s="756"/>
      <c r="DV62" s="756"/>
      <c r="DW62" s="8"/>
    </row>
    <row r="63" spans="1:127" ht="16" x14ac:dyDescent="0.2">
      <c r="A63" s="757" t="str">
        <f ca="1">+Equipos!B32</f>
        <v>Arabia Saudita</v>
      </c>
      <c r="B63" s="754"/>
      <c r="C63" s="756"/>
      <c r="D63" s="756" t="str">
        <f t="shared" si="206"/>
        <v>Empate</v>
      </c>
      <c r="E63" s="756" t="str">
        <f t="shared" ca="1" si="207"/>
        <v>P.3 (2)</v>
      </c>
      <c r="F63" s="756" t="str">
        <f t="shared" ca="1" si="208"/>
        <v>-</v>
      </c>
      <c r="G63" s="756"/>
      <c r="H63" s="756" t="str">
        <f t="shared" ca="1" si="209"/>
        <v>P.3 (2)</v>
      </c>
      <c r="I63" s="756" t="str">
        <f t="shared" ca="1" si="210"/>
        <v>-</v>
      </c>
      <c r="J63" s="756"/>
      <c r="K63" s="756" t="str">
        <f t="shared" ca="1" si="211"/>
        <v>P.3 (2)</v>
      </c>
      <c r="L63" s="756" t="str">
        <f t="shared" ca="1" si="212"/>
        <v>-</v>
      </c>
      <c r="M63" s="756"/>
      <c r="N63" s="756" t="str">
        <f t="shared" ca="1" si="213"/>
        <v>P.3 (2)</v>
      </c>
      <c r="O63" s="756" t="str">
        <f t="shared" ca="1" si="214"/>
        <v>-</v>
      </c>
      <c r="P63" s="756"/>
      <c r="Q63" s="756" t="str">
        <f t="shared" ca="1" si="215"/>
        <v>P.3 (2)</v>
      </c>
      <c r="R63" s="756" t="str">
        <f t="shared" ca="1" si="216"/>
        <v>-</v>
      </c>
      <c r="S63" s="756"/>
      <c r="T63" s="756" t="str">
        <f t="shared" ca="1" si="217"/>
        <v>P.3 (2)</v>
      </c>
      <c r="U63" s="756" t="str">
        <f t="shared" ca="1" si="218"/>
        <v>-</v>
      </c>
      <c r="V63" s="178"/>
      <c r="W63" s="831"/>
      <c r="X63" s="195">
        <f ca="1">Horarios!C63</f>
        <v>46195</v>
      </c>
      <c r="Y63" s="196">
        <f ca="1">Horarios!C63</f>
        <v>46195</v>
      </c>
      <c r="Z63" s="197" t="str">
        <f>$Z$6</f>
        <v>J2</v>
      </c>
      <c r="AA63" s="198" t="str">
        <f ca="1">A64</f>
        <v>Uruguay</v>
      </c>
      <c r="AB63" s="486" t="str" cm="1">
        <f t="array" aca="1" ref="AB63" ca="1">Ver_flag_local</f>
        <v>🇺🇾</v>
      </c>
      <c r="AC63" s="199">
        <v>2</v>
      </c>
      <c r="AD63" s="200">
        <v>2</v>
      </c>
      <c r="AE63" s="491" t="str" cm="1">
        <f t="array" aca="1" ref="AE63" ca="1">Ver_flag_visit</f>
        <v>🇨🇻</v>
      </c>
      <c r="AF63" s="201" t="str">
        <f ca="1">A62</f>
        <v>Cabo Verde</v>
      </c>
      <c r="AG63" s="421">
        <f t="shared" si="219"/>
        <v>1</v>
      </c>
      <c r="AH63" s="202">
        <v>37</v>
      </c>
      <c r="AI63" s="19" t="str">
        <f t="shared" ref="AI63:AI65" si="224">AJ63&amp;$B$60</f>
        <v>2H</v>
      </c>
      <c r="AJ63" s="227">
        <v>2</v>
      </c>
      <c r="AK63" s="494" t="str" cm="1">
        <f t="array" aca="1" ref="AK63" ca="1">Ver_flag_visit</f>
        <v>🇨🇻</v>
      </c>
      <c r="AL63" s="228" t="str">
        <f ca="1">IFERROR(INDEX($BD$6:$BD$53,MATCH(AI63,$BN$6:$BN$53,0)),"")</f>
        <v>Cabo Verde</v>
      </c>
      <c r="AM63" s="229">
        <f t="shared" ca="1" si="223"/>
        <v>3</v>
      </c>
      <c r="AN63" s="230">
        <f t="shared" ca="1" si="223"/>
        <v>3</v>
      </c>
      <c r="AO63" s="230">
        <f t="shared" ca="1" si="223"/>
        <v>0</v>
      </c>
      <c r="AP63" s="230">
        <f t="shared" ca="1" si="223"/>
        <v>3</v>
      </c>
      <c r="AQ63" s="230">
        <f t="shared" ca="1" si="223"/>
        <v>0</v>
      </c>
      <c r="AR63" s="230">
        <f t="shared" ca="1" si="223"/>
        <v>2</v>
      </c>
      <c r="AS63" s="230">
        <f t="shared" ca="1" si="223"/>
        <v>2</v>
      </c>
      <c r="AT63" s="231">
        <f t="shared" ca="1" si="223"/>
        <v>0</v>
      </c>
      <c r="AU63" s="428">
        <f ca="1">INDEX($DL$6:$DL$53,MATCH(AI63,$DP$6:$DP$53,0))</f>
        <v>1</v>
      </c>
      <c r="AV63" s="223" t="str">
        <f ca="1">INDEX($BD$6:$BD$53,MATCH(AI63,$BM$6:$BM$53,0))</f>
        <v>Cabo Verde</v>
      </c>
      <c r="AW63" s="435"/>
      <c r="AX63" s="224"/>
      <c r="AY63" s="232" t="str">
        <f ca="1">+A62</f>
        <v>Cabo Verde</v>
      </c>
      <c r="AZ63" s="233"/>
      <c r="BA63" s="181"/>
      <c r="BB63" s="771" t="str">
        <f t="shared" si="188"/>
        <v>3F</v>
      </c>
      <c r="BC63" s="768" t="s">
        <v>4</v>
      </c>
      <c r="BD63" s="756" t="str">
        <f t="shared" ca="1" si="175"/>
        <v>Suecia</v>
      </c>
      <c r="BE63" s="760">
        <f t="shared" ca="1" si="189"/>
        <v>4</v>
      </c>
      <c r="BF63" s="760">
        <f t="shared" ca="1" si="190"/>
        <v>3</v>
      </c>
      <c r="BG63" s="760">
        <f t="shared" ca="1" si="191"/>
        <v>1</v>
      </c>
      <c r="BH63" s="760">
        <f t="shared" ca="1" si="192"/>
        <v>1</v>
      </c>
      <c r="BI63" s="760">
        <f t="shared" ca="1" si="176"/>
        <v>1</v>
      </c>
      <c r="BJ63" s="760">
        <f t="shared" ca="1" si="177"/>
        <v>7</v>
      </c>
      <c r="BK63" s="760">
        <f t="shared" ca="1" si="178"/>
        <v>7</v>
      </c>
      <c r="BL63" s="760">
        <f t="shared" ca="1" si="193"/>
        <v>0</v>
      </c>
      <c r="BM63" s="760">
        <f t="shared" ca="1" si="194"/>
        <v>2</v>
      </c>
      <c r="BN63" s="760">
        <f t="shared" ca="1" si="195"/>
        <v>2</v>
      </c>
      <c r="BO63" s="750" t="str">
        <f t="shared" si="196"/>
        <v>4F</v>
      </c>
      <c r="BP63" s="750"/>
      <c r="BQ63" s="750"/>
      <c r="BR63" s="760">
        <f t="shared" ca="1" si="179"/>
        <v>4</v>
      </c>
      <c r="BS63" s="760">
        <f t="shared" ca="1" si="197"/>
        <v>1</v>
      </c>
      <c r="BT63" s="760" t="str">
        <f t="shared" ca="1" si="198"/>
        <v>Pos. 1 (7)</v>
      </c>
      <c r="BU63" s="760">
        <f t="shared" ca="1" si="180"/>
        <v>0</v>
      </c>
      <c r="BV63" s="760">
        <f t="shared" ca="1" si="181"/>
        <v>2</v>
      </c>
      <c r="BW63" s="760" t="str">
        <f t="shared" ca="1" si="182"/>
        <v>Pos. 2 (3)</v>
      </c>
      <c r="BX63" s="760">
        <f t="shared" ca="1" si="183"/>
        <v>7</v>
      </c>
      <c r="BY63" s="760">
        <f t="shared" ca="1" si="184"/>
        <v>2</v>
      </c>
      <c r="BZ63" s="760" t="str">
        <f t="shared" ca="1" si="185"/>
        <v>-</v>
      </c>
      <c r="CA63" s="760" t="str">
        <f t="shared" ca="1" si="199"/>
        <v>-</v>
      </c>
      <c r="CB63" s="760">
        <f t="shared" ca="1" si="200"/>
        <v>2</v>
      </c>
      <c r="CC63" s="760"/>
      <c r="CD63" s="760">
        <f t="shared" ca="1" si="201"/>
        <v>2</v>
      </c>
      <c r="CE63" s="760" t="str">
        <f t="shared" ca="1" si="202"/>
        <v>-</v>
      </c>
      <c r="CF63" s="760">
        <f t="shared" ca="1" si="203"/>
        <v>2</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Argelia</v>
      </c>
      <c r="DR63" s="756"/>
      <c r="DS63" s="756"/>
      <c r="DT63" s="756" t="str">
        <f t="shared" ca="1" si="15"/>
        <v>Uruguay-Cabo Verde</v>
      </c>
      <c r="DU63" s="756"/>
      <c r="DV63" s="756"/>
      <c r="DW63" s="8"/>
    </row>
    <row r="64" spans="1:127" ht="16" x14ac:dyDescent="0.2">
      <c r="A64" s="757" t="str">
        <f ca="1">+Equipos!B33</f>
        <v>Uruguay</v>
      </c>
      <c r="B64" s="754"/>
      <c r="C64" s="756"/>
      <c r="D64" s="756" t="str">
        <f t="shared" si="206"/>
        <v>Empate</v>
      </c>
      <c r="E64" s="756" t="str">
        <f t="shared" ca="1" si="207"/>
        <v>-</v>
      </c>
      <c r="F64" s="756" t="str">
        <f t="shared" ca="1" si="208"/>
        <v>P.3 (2)</v>
      </c>
      <c r="G64" s="756"/>
      <c r="H64" s="756" t="str">
        <f t="shared" ca="1" si="209"/>
        <v>-</v>
      </c>
      <c r="I64" s="756" t="str">
        <f t="shared" ca="1" si="210"/>
        <v>P.3 (2)</v>
      </c>
      <c r="J64" s="756"/>
      <c r="K64" s="756" t="str">
        <f t="shared" ca="1" si="211"/>
        <v>-</v>
      </c>
      <c r="L64" s="756" t="str">
        <f t="shared" ca="1" si="212"/>
        <v>P.3 (2)</v>
      </c>
      <c r="M64" s="756"/>
      <c r="N64" s="756" t="str">
        <f t="shared" ca="1" si="213"/>
        <v>-</v>
      </c>
      <c r="O64" s="756" t="str">
        <f t="shared" ca="1" si="214"/>
        <v>P.3 (2)</v>
      </c>
      <c r="P64" s="756"/>
      <c r="Q64" s="756" t="str">
        <f t="shared" ca="1" si="215"/>
        <v>-</v>
      </c>
      <c r="R64" s="756" t="str">
        <f t="shared" ca="1" si="216"/>
        <v>P.3 (2)</v>
      </c>
      <c r="S64" s="756"/>
      <c r="T64" s="756" t="str">
        <f t="shared" ca="1" si="217"/>
        <v>-</v>
      </c>
      <c r="U64" s="756" t="str">
        <f t="shared" ca="1" si="218"/>
        <v>P.3 (2)</v>
      </c>
      <c r="V64" s="178"/>
      <c r="W64" s="831"/>
      <c r="X64" s="195">
        <f ca="1">Horarios!C64</f>
        <v>46200.083333333336</v>
      </c>
      <c r="Y64" s="196">
        <f ca="1">Horarios!C64</f>
        <v>46200.083333333336</v>
      </c>
      <c r="Z64" s="197" t="str">
        <f>$Z$8</f>
        <v>J3</v>
      </c>
      <c r="AA64" s="198" t="str">
        <f ca="1">A62</f>
        <v>Cabo Verde</v>
      </c>
      <c r="AB64" s="486" t="str" cm="1">
        <f t="array" aca="1" ref="AB64" ca="1">Ver_flag_local</f>
        <v>🇨🇻</v>
      </c>
      <c r="AC64" s="199">
        <v>0</v>
      </c>
      <c r="AD64" s="200">
        <v>0</v>
      </c>
      <c r="AE64" s="491" t="str" cm="1">
        <f t="array" aca="1" ref="AE64" ca="1">Ver_flag_visit</f>
        <v>🇸🇦</v>
      </c>
      <c r="AF64" s="201" t="str">
        <f ca="1">A63</f>
        <v>Arabia Saudita</v>
      </c>
      <c r="AG64" s="421">
        <f t="shared" si="219"/>
        <v>1</v>
      </c>
      <c r="AH64" s="202">
        <v>65</v>
      </c>
      <c r="AI64" s="19" t="str">
        <f t="shared" si="224"/>
        <v>3H</v>
      </c>
      <c r="AJ64" s="227">
        <v>3</v>
      </c>
      <c r="AK64" s="494" t="str" cm="1">
        <f t="array" aca="1" ref="AK64" ca="1">Ver_flag_visit</f>
        <v>🇺🇾</v>
      </c>
      <c r="AL64" s="228" t="str">
        <f ca="1">IFERROR(INDEX($BD$6:$BD$53,MATCH(AI64,$BN$6:$BN$53,0)),"")</f>
        <v>Uruguay</v>
      </c>
      <c r="AM64" s="229">
        <f t="shared" ca="1" si="223"/>
        <v>2</v>
      </c>
      <c r="AN64" s="230">
        <f t="shared" ca="1" si="223"/>
        <v>3</v>
      </c>
      <c r="AO64" s="230">
        <f t="shared" ca="1" si="223"/>
        <v>0</v>
      </c>
      <c r="AP64" s="230">
        <f t="shared" ca="1" si="223"/>
        <v>2</v>
      </c>
      <c r="AQ64" s="230">
        <f t="shared" ca="1" si="223"/>
        <v>1</v>
      </c>
      <c r="AR64" s="230">
        <f t="shared" ca="1" si="223"/>
        <v>3</v>
      </c>
      <c r="AS64" s="230">
        <f t="shared" ca="1" si="223"/>
        <v>4</v>
      </c>
      <c r="AT64" s="231">
        <f t="shared" ca="1" si="223"/>
        <v>-1</v>
      </c>
      <c r="AU64" s="428">
        <f ca="1">INDEX($DL$6:$DL$53,MATCH(AI64,$DP$6:$DP$53,0))</f>
        <v>1</v>
      </c>
      <c r="AV64" s="223" t="str">
        <f ca="1">INDEX($BD$6:$BD$53,MATCH(AI64,$BM$6:$BM$53,0))</f>
        <v>Uruguay</v>
      </c>
      <c r="AW64" s="435"/>
      <c r="AX64" s="224"/>
      <c r="AY64" s="225" t="str">
        <f ca="1">+A63</f>
        <v>Arabia Saudita</v>
      </c>
      <c r="AZ64" s="226"/>
      <c r="BA64" s="181"/>
      <c r="BB64" s="771" t="str">
        <f t="shared" si="188"/>
        <v>3G</v>
      </c>
      <c r="BC64" s="768" t="s">
        <v>6</v>
      </c>
      <c r="BD64" s="756" t="str">
        <f t="shared" ca="1" si="175"/>
        <v>Irán</v>
      </c>
      <c r="BE64" s="760">
        <f t="shared" ca="1" si="189"/>
        <v>3</v>
      </c>
      <c r="BF64" s="760">
        <f t="shared" ca="1" si="190"/>
        <v>3</v>
      </c>
      <c r="BG64" s="760">
        <f t="shared" ca="1" si="191"/>
        <v>0</v>
      </c>
      <c r="BH64" s="760">
        <f t="shared" ca="1" si="192"/>
        <v>3</v>
      </c>
      <c r="BI64" s="760">
        <f t="shared" ca="1" si="176"/>
        <v>0</v>
      </c>
      <c r="BJ64" s="760">
        <f t="shared" ca="1" si="177"/>
        <v>3</v>
      </c>
      <c r="BK64" s="760">
        <f t="shared" ca="1" si="178"/>
        <v>3</v>
      </c>
      <c r="BL64" s="760">
        <f t="shared" ca="1" si="193"/>
        <v>0</v>
      </c>
      <c r="BM64" s="760">
        <f t="shared" ca="1" si="194"/>
        <v>9</v>
      </c>
      <c r="BN64" s="760">
        <f t="shared" ca="1" si="195"/>
        <v>9</v>
      </c>
      <c r="BO64" s="750" t="str">
        <f t="shared" si="196"/>
        <v>4G</v>
      </c>
      <c r="BP64" s="750"/>
      <c r="BQ64" s="750"/>
      <c r="BR64" s="760">
        <f t="shared" ca="1" si="179"/>
        <v>3</v>
      </c>
      <c r="BS64" s="760">
        <f t="shared" ca="1" si="197"/>
        <v>8</v>
      </c>
      <c r="BT64" s="760" t="str">
        <f t="shared" ca="1" si="198"/>
        <v>Pos. 8 (4)</v>
      </c>
      <c r="BU64" s="760">
        <f t="shared" ca="1" si="180"/>
        <v>0</v>
      </c>
      <c r="BV64" s="760">
        <f t="shared" ca="1" si="181"/>
        <v>9</v>
      </c>
      <c r="BW64" s="760" t="str">
        <f t="shared" ca="1" si="182"/>
        <v>-</v>
      </c>
      <c r="BX64" s="760" t="str">
        <f t="shared" ca="1" si="183"/>
        <v>-</v>
      </c>
      <c r="BY64" s="760">
        <f t="shared" ca="1" si="184"/>
        <v>9</v>
      </c>
      <c r="BZ64" s="760" t="str">
        <f t="shared" ca="1" si="185"/>
        <v>-</v>
      </c>
      <c r="CA64" s="760" t="str">
        <f t="shared" ca="1" si="199"/>
        <v>-</v>
      </c>
      <c r="CB64" s="760">
        <f t="shared" ca="1" si="200"/>
        <v>9</v>
      </c>
      <c r="CC64" s="760"/>
      <c r="CD64" s="760">
        <f t="shared" ca="1" si="201"/>
        <v>9</v>
      </c>
      <c r="CE64" s="760" t="str">
        <f t="shared" ca="1" si="202"/>
        <v>-</v>
      </c>
      <c r="CF64" s="760">
        <f t="shared" ca="1" si="203"/>
        <v>9</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Paraguay</v>
      </c>
      <c r="DR64" s="756"/>
      <c r="DS64" s="756"/>
      <c r="DT64" s="756" t="str">
        <f t="shared" ca="1" si="15"/>
        <v>Cabo Verde-Arabia Saudita</v>
      </c>
      <c r="DU64" s="756"/>
      <c r="DV64" s="756"/>
      <c r="DW64" s="8"/>
    </row>
    <row r="65" spans="1:127" ht="17" thickBot="1" x14ac:dyDescent="0.25">
      <c r="A65" s="751"/>
      <c r="B65" s="754"/>
      <c r="C65" s="751"/>
      <c r="D65" s="756" t="str">
        <f t="shared" si="206"/>
        <v>Visitante</v>
      </c>
      <c r="E65" s="756" t="str">
        <f t="shared" ca="1" si="207"/>
        <v>P.3 (2)</v>
      </c>
      <c r="F65" s="756" t="str">
        <f t="shared" ca="1" si="208"/>
        <v>-</v>
      </c>
      <c r="G65" s="756"/>
      <c r="H65" s="756" t="str">
        <f t="shared" ca="1" si="209"/>
        <v>P.3 (2)</v>
      </c>
      <c r="I65" s="756" t="str">
        <f t="shared" ca="1" si="210"/>
        <v>-</v>
      </c>
      <c r="J65" s="756"/>
      <c r="K65" s="756" t="str">
        <f t="shared" ca="1" si="211"/>
        <v>P.3 (2)</v>
      </c>
      <c r="L65" s="756" t="str">
        <f t="shared" ca="1" si="212"/>
        <v>-</v>
      </c>
      <c r="M65" s="756"/>
      <c r="N65" s="756" t="str">
        <f t="shared" ca="1" si="213"/>
        <v>P.3 (2)</v>
      </c>
      <c r="O65" s="756" t="str">
        <f t="shared" ca="1" si="214"/>
        <v>-</v>
      </c>
      <c r="P65" s="756"/>
      <c r="Q65" s="756" t="str">
        <f t="shared" ca="1" si="215"/>
        <v>P.3 (2)</v>
      </c>
      <c r="R65" s="756" t="str">
        <f t="shared" ca="1" si="216"/>
        <v>-</v>
      </c>
      <c r="S65" s="756"/>
      <c r="T65" s="756" t="str">
        <f t="shared" ca="1" si="217"/>
        <v>P.3 (2)</v>
      </c>
      <c r="U65" s="756" t="str">
        <f t="shared" ca="1" si="218"/>
        <v>-</v>
      </c>
      <c r="V65" s="178"/>
      <c r="W65" s="832"/>
      <c r="X65" s="234">
        <f ca="1">Horarios!C65</f>
        <v>46200.083333333336</v>
      </c>
      <c r="Y65" s="235">
        <f ca="1">Horarios!C65</f>
        <v>46200.083333333336</v>
      </c>
      <c r="Z65" s="236" t="str">
        <f>$Z$8</f>
        <v>J3</v>
      </c>
      <c r="AA65" s="237" t="str">
        <f ca="1">A64</f>
        <v>Uruguay</v>
      </c>
      <c r="AB65" s="487" t="str" cm="1">
        <f t="array" aca="1" ref="AB65" ca="1">Ver_flag_local</f>
        <v>🇺🇾</v>
      </c>
      <c r="AC65" s="238">
        <v>0</v>
      </c>
      <c r="AD65" s="239">
        <v>1</v>
      </c>
      <c r="AE65" s="492" t="str" cm="1">
        <f t="array" aca="1" ref="AE65" ca="1">Ver_flag_visit</f>
        <v>🇪🇸</v>
      </c>
      <c r="AF65" s="240" t="str">
        <f ca="1">A61</f>
        <v>España</v>
      </c>
      <c r="AG65" s="421">
        <f t="shared" si="219"/>
        <v>1</v>
      </c>
      <c r="AH65" s="202">
        <v>66</v>
      </c>
      <c r="AI65" s="19" t="str">
        <f t="shared" si="224"/>
        <v>4H</v>
      </c>
      <c r="AJ65" s="241">
        <v>4</v>
      </c>
      <c r="AK65" s="495" t="str" cm="1">
        <f t="array" aca="1" ref="AK65" ca="1">Ver_flag_visit</f>
        <v>🇸🇦</v>
      </c>
      <c r="AL65" s="242" t="str">
        <f ca="1">IFERROR(INDEX($BD$6:$BD$53,MATCH(AI65,$BN$6:$BN$53,0)),"")</f>
        <v>Arabia Saudita</v>
      </c>
      <c r="AM65" s="243">
        <f t="shared" ca="1" si="223"/>
        <v>2</v>
      </c>
      <c r="AN65" s="244">
        <f t="shared" ca="1" si="223"/>
        <v>3</v>
      </c>
      <c r="AO65" s="244">
        <f t="shared" ca="1" si="223"/>
        <v>0</v>
      </c>
      <c r="AP65" s="244">
        <f t="shared" ca="1" si="223"/>
        <v>2</v>
      </c>
      <c r="AQ65" s="244">
        <f t="shared" ca="1" si="223"/>
        <v>1</v>
      </c>
      <c r="AR65" s="244">
        <f t="shared" ca="1" si="223"/>
        <v>1</v>
      </c>
      <c r="AS65" s="244">
        <f t="shared" ca="1" si="223"/>
        <v>5</v>
      </c>
      <c r="AT65" s="245">
        <f t="shared" ca="1" si="223"/>
        <v>-4</v>
      </c>
      <c r="AU65" s="428">
        <f ca="1">INDEX($DL$6:$DL$53,MATCH(AI65,$DP$6:$DP$53,0))</f>
        <v>1</v>
      </c>
      <c r="AV65" s="223" t="str">
        <f ca="1">INDEX($BD$6:$BD$53,MATCH(AI65,$BM$6:$BM$53,0))</f>
        <v>Arabia Saudita</v>
      </c>
      <c r="AW65" s="435"/>
      <c r="AX65" s="224"/>
      <c r="AY65" s="246" t="str">
        <f ca="1">+A64</f>
        <v>Uruguay</v>
      </c>
      <c r="AZ65" s="247"/>
      <c r="BA65" s="181"/>
      <c r="BB65" s="771" t="str">
        <f t="shared" si="188"/>
        <v>3H</v>
      </c>
      <c r="BC65" s="768" t="s">
        <v>437</v>
      </c>
      <c r="BD65" s="756" t="str">
        <f t="shared" ca="1" si="175"/>
        <v>Uruguay</v>
      </c>
      <c r="BE65" s="760">
        <f t="shared" ca="1" si="189"/>
        <v>2</v>
      </c>
      <c r="BF65" s="760">
        <f t="shared" ca="1" si="190"/>
        <v>3</v>
      </c>
      <c r="BG65" s="760">
        <f t="shared" ca="1" si="191"/>
        <v>0</v>
      </c>
      <c r="BH65" s="760">
        <f t="shared" ca="1" si="192"/>
        <v>2</v>
      </c>
      <c r="BI65" s="760">
        <f t="shared" ca="1" si="176"/>
        <v>1</v>
      </c>
      <c r="BJ65" s="760">
        <f t="shared" ca="1" si="177"/>
        <v>3</v>
      </c>
      <c r="BK65" s="760">
        <f t="shared" ca="1" si="178"/>
        <v>4</v>
      </c>
      <c r="BL65" s="760">
        <f t="shared" ca="1" si="193"/>
        <v>-1</v>
      </c>
      <c r="BM65" s="760">
        <f t="shared" ca="1" si="194"/>
        <v>12</v>
      </c>
      <c r="BN65" s="760">
        <f t="shared" ca="1" si="195"/>
        <v>12</v>
      </c>
      <c r="BO65" s="750" t="str">
        <f t="shared" si="196"/>
        <v>4H</v>
      </c>
      <c r="BP65" s="750"/>
      <c r="BQ65" s="750"/>
      <c r="BR65" s="760">
        <f t="shared" ca="1" si="179"/>
        <v>2</v>
      </c>
      <c r="BS65" s="760">
        <f t="shared" ca="1" si="197"/>
        <v>12</v>
      </c>
      <c r="BT65" s="760" t="str">
        <f t="shared" ca="1" si="198"/>
        <v>-</v>
      </c>
      <c r="BU65" s="760" t="str">
        <f t="shared" ca="1" si="180"/>
        <v>-</v>
      </c>
      <c r="BV65" s="760">
        <f t="shared" ca="1" si="181"/>
        <v>12</v>
      </c>
      <c r="BW65" s="760" t="str">
        <f t="shared" ca="1" si="182"/>
        <v>-</v>
      </c>
      <c r="BX65" s="760" t="str">
        <f t="shared" ca="1" si="183"/>
        <v>-</v>
      </c>
      <c r="BY65" s="760">
        <f t="shared" ca="1" si="184"/>
        <v>12</v>
      </c>
      <c r="BZ65" s="760" t="str">
        <f t="shared" ca="1" si="185"/>
        <v>-</v>
      </c>
      <c r="CA65" s="760" t="str">
        <f t="shared" ca="1" si="199"/>
        <v>-</v>
      </c>
      <c r="CB65" s="760">
        <f t="shared" ca="1" si="200"/>
        <v>12</v>
      </c>
      <c r="CC65" s="760"/>
      <c r="CD65" s="760">
        <f t="shared" ca="1" si="201"/>
        <v>12</v>
      </c>
      <c r="CE65" s="760" t="str">
        <f t="shared" ca="1" si="202"/>
        <v>-</v>
      </c>
      <c r="CF65" s="760">
        <f t="shared" ca="1" si="203"/>
        <v>12</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Senegal</v>
      </c>
      <c r="DR65" s="756"/>
      <c r="DS65" s="756"/>
      <c r="DT65" s="756" t="str">
        <f t="shared" ca="1" si="15"/>
        <v>Uruguay-España</v>
      </c>
      <c r="DU65" s="756"/>
      <c r="DV65" s="756"/>
      <c r="DW65" s="8"/>
    </row>
    <row r="66" spans="1:127" ht="16" thickBot="1" x14ac:dyDescent="0.25">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3</v>
      </c>
      <c r="BF66" s="760">
        <f t="shared" ca="1" si="190"/>
        <v>3</v>
      </c>
      <c r="BG66" s="760">
        <f t="shared" ca="1" si="191"/>
        <v>1</v>
      </c>
      <c r="BH66" s="760">
        <f t="shared" ca="1" si="192"/>
        <v>0</v>
      </c>
      <c r="BI66" s="760">
        <f t="shared" ca="1" si="176"/>
        <v>2</v>
      </c>
      <c r="BJ66" s="760">
        <f t="shared" ca="1" si="177"/>
        <v>8</v>
      </c>
      <c r="BK66" s="760">
        <f t="shared" ca="1" si="178"/>
        <v>6</v>
      </c>
      <c r="BL66" s="760">
        <f t="shared" ca="1" si="193"/>
        <v>2</v>
      </c>
      <c r="BM66" s="760">
        <f t="shared" ca="1" si="194"/>
        <v>8</v>
      </c>
      <c r="BN66" s="760">
        <f t="shared" ca="1" si="195"/>
        <v>8</v>
      </c>
      <c r="BO66" s="750" t="str">
        <f t="shared" si="196"/>
        <v>4I</v>
      </c>
      <c r="BP66" s="750"/>
      <c r="BQ66" s="750"/>
      <c r="BR66" s="760">
        <f t="shared" ca="1" si="179"/>
        <v>3</v>
      </c>
      <c r="BS66" s="760">
        <f t="shared" ca="1" si="197"/>
        <v>8</v>
      </c>
      <c r="BT66" s="760" t="str">
        <f t="shared" ca="1" si="198"/>
        <v>Pos. 8 (4)</v>
      </c>
      <c r="BU66" s="760">
        <f t="shared" ca="1" si="180"/>
        <v>2</v>
      </c>
      <c r="BV66" s="760">
        <f t="shared" ca="1" si="181"/>
        <v>8</v>
      </c>
      <c r="BW66" s="760" t="str">
        <f t="shared" ca="1" si="182"/>
        <v>-</v>
      </c>
      <c r="BX66" s="760" t="str">
        <f t="shared" ca="1" si="183"/>
        <v>-</v>
      </c>
      <c r="BY66" s="760">
        <f t="shared" ca="1" si="184"/>
        <v>8</v>
      </c>
      <c r="BZ66" s="760" t="str">
        <f t="shared" ca="1" si="185"/>
        <v>-</v>
      </c>
      <c r="CA66" s="760" t="str">
        <f t="shared" ca="1" si="199"/>
        <v>-</v>
      </c>
      <c r="CB66" s="760">
        <f t="shared" ca="1" si="200"/>
        <v>8</v>
      </c>
      <c r="CC66" s="760"/>
      <c r="CD66" s="760">
        <f t="shared" ca="1" si="201"/>
        <v>8</v>
      </c>
      <c r="CE66" s="760" t="str">
        <f t="shared" ca="1" si="202"/>
        <v>-</v>
      </c>
      <c r="CF66" s="760">
        <f t="shared" ca="1" si="203"/>
        <v>8</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Irán</v>
      </c>
      <c r="DR66" s="756"/>
      <c r="DS66" s="756"/>
      <c r="DT66" s="756" t="str">
        <f t="shared" si="15"/>
        <v>-</v>
      </c>
      <c r="DU66" s="756"/>
      <c r="DV66" s="756"/>
      <c r="DW66" s="8"/>
    </row>
    <row r="67" spans="1:127" ht="16" thickBot="1" x14ac:dyDescent="0.25">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4</v>
      </c>
      <c r="BF67" s="760">
        <f t="shared" ca="1" si="190"/>
        <v>3</v>
      </c>
      <c r="BG67" s="760">
        <f t="shared" ca="1" si="191"/>
        <v>1</v>
      </c>
      <c r="BH67" s="760">
        <f t="shared" ca="1" si="192"/>
        <v>1</v>
      </c>
      <c r="BI67" s="760">
        <f t="shared" ca="1" si="176"/>
        <v>1</v>
      </c>
      <c r="BJ67" s="760">
        <f t="shared" ca="1" si="177"/>
        <v>5</v>
      </c>
      <c r="BK67" s="760">
        <f t="shared" ca="1" si="178"/>
        <v>7</v>
      </c>
      <c r="BL67" s="760">
        <f t="shared" ca="1" si="193"/>
        <v>-2</v>
      </c>
      <c r="BM67" s="760">
        <f t="shared" ca="1" si="194"/>
        <v>6</v>
      </c>
      <c r="BN67" s="760">
        <f t="shared" ca="1" si="195"/>
        <v>6</v>
      </c>
      <c r="BO67" s="750" t="str">
        <f t="shared" si="196"/>
        <v>4J</v>
      </c>
      <c r="BP67" s="750"/>
      <c r="BQ67" s="750"/>
      <c r="BR67" s="760">
        <f t="shared" ca="1" si="179"/>
        <v>4</v>
      </c>
      <c r="BS67" s="760">
        <f t="shared" ca="1" si="197"/>
        <v>1</v>
      </c>
      <c r="BT67" s="760" t="str">
        <f t="shared" ca="1" si="198"/>
        <v>Pos. 1 (7)</v>
      </c>
      <c r="BU67" s="760">
        <f t="shared" ca="1" si="180"/>
        <v>-2</v>
      </c>
      <c r="BV67" s="760">
        <f t="shared" ca="1" si="181"/>
        <v>6</v>
      </c>
      <c r="BW67" s="760" t="str">
        <f t="shared" ca="1" si="182"/>
        <v>Pos. 6 (2)</v>
      </c>
      <c r="BX67" s="760">
        <f t="shared" ca="1" si="183"/>
        <v>5</v>
      </c>
      <c r="BY67" s="760">
        <f t="shared" ca="1" si="184"/>
        <v>6</v>
      </c>
      <c r="BZ67" s="760" t="str">
        <f t="shared" ca="1" si="185"/>
        <v>-</v>
      </c>
      <c r="CA67" s="760" t="str">
        <f t="shared" ca="1" si="199"/>
        <v>-</v>
      </c>
      <c r="CB67" s="760">
        <f t="shared" ca="1" si="200"/>
        <v>6</v>
      </c>
      <c r="CC67" s="760"/>
      <c r="CD67" s="760">
        <f t="shared" ca="1" si="201"/>
        <v>6</v>
      </c>
      <c r="CE67" s="760" t="str">
        <f t="shared" ca="1" si="202"/>
        <v>-</v>
      </c>
      <c r="CF67" s="760">
        <f t="shared" ca="1" si="203"/>
        <v>6</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Corea del Sur</v>
      </c>
      <c r="DR67" s="756"/>
      <c r="DS67" s="756"/>
      <c r="DT67" s="756" t="str">
        <f t="shared" si="15"/>
        <v>Casa-Fuera</v>
      </c>
      <c r="DU67" s="756"/>
      <c r="DV67" s="756"/>
      <c r="DW67" s="8"/>
    </row>
    <row r="68" spans="1:127" ht="15" customHeight="1" thickBot="1" x14ac:dyDescent="0.25">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v>
      </c>
      <c r="F68" s="756" t="str">
        <f t="shared" ref="F68:F73" ca="1" si="227">IF(D68="Pendiente","-",INDEX($BT$6:$BT$53,MATCH($AF68,$BD$6:$BD$53,0)))</f>
        <v>-</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37" t="s">
        <v>438</v>
      </c>
      <c r="X68" s="195">
        <f ca="1">Horarios!C68</f>
        <v>46189.875</v>
      </c>
      <c r="Y68" s="196">
        <f ca="1">Horarios!C68</f>
        <v>46189.875</v>
      </c>
      <c r="Z68" s="197" t="str">
        <f>$Z$4</f>
        <v>J1</v>
      </c>
      <c r="AA68" s="198" t="str">
        <f ca="1">A69</f>
        <v>Francia</v>
      </c>
      <c r="AB68" s="486" t="str" cm="1">
        <f t="array" aca="1" ref="AB68" ca="1">Ver_flag_local</f>
        <v>🇫🇷</v>
      </c>
      <c r="AC68" s="199">
        <v>3</v>
      </c>
      <c r="AD68" s="200">
        <v>1</v>
      </c>
      <c r="AE68" s="491" t="str" cm="1">
        <f t="array" aca="1" ref="AE68" ca="1">Ver_flag_visit</f>
        <v>🇸🇳</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4</v>
      </c>
      <c r="BF68" s="760">
        <f t="shared" ca="1" si="190"/>
        <v>3</v>
      </c>
      <c r="BG68" s="760">
        <f t="shared" ca="1" si="191"/>
        <v>1</v>
      </c>
      <c r="BH68" s="760">
        <f t="shared" ca="1" si="192"/>
        <v>1</v>
      </c>
      <c r="BI68" s="760">
        <f t="shared" ca="1" si="176"/>
        <v>1</v>
      </c>
      <c r="BJ68" s="760">
        <f t="shared" ca="1" si="177"/>
        <v>4</v>
      </c>
      <c r="BK68" s="760">
        <f t="shared" ca="1" si="178"/>
        <v>3</v>
      </c>
      <c r="BL68" s="760">
        <f t="shared" ca="1" si="193"/>
        <v>1</v>
      </c>
      <c r="BM68" s="760">
        <f t="shared" ca="1" si="194"/>
        <v>1</v>
      </c>
      <c r="BN68" s="760">
        <f t="shared" ca="1" si="195"/>
        <v>1</v>
      </c>
      <c r="BO68" s="750" t="str">
        <f t="shared" si="196"/>
        <v>4K</v>
      </c>
      <c r="BP68" s="750"/>
      <c r="BQ68" s="750"/>
      <c r="BR68" s="760">
        <f t="shared" ca="1" si="179"/>
        <v>4</v>
      </c>
      <c r="BS68" s="760">
        <f t="shared" ca="1" si="197"/>
        <v>1</v>
      </c>
      <c r="BT68" s="760" t="str">
        <f t="shared" ca="1" si="198"/>
        <v>Pos. 1 (7)</v>
      </c>
      <c r="BU68" s="760">
        <f t="shared" ca="1" si="180"/>
        <v>1</v>
      </c>
      <c r="BV68" s="760">
        <f t="shared" ca="1" si="181"/>
        <v>1</v>
      </c>
      <c r="BW68" s="760" t="str">
        <f t="shared" ca="1" si="182"/>
        <v>-</v>
      </c>
      <c r="BX68" s="760" t="str">
        <f t="shared" ca="1" si="183"/>
        <v>-</v>
      </c>
      <c r="BY68" s="760">
        <f t="shared" ca="1" si="184"/>
        <v>1</v>
      </c>
      <c r="BZ68" s="760" t="str">
        <f t="shared" ca="1" si="185"/>
        <v>-</v>
      </c>
      <c r="CA68" s="760" t="str">
        <f t="shared" ca="1" si="199"/>
        <v>-</v>
      </c>
      <c r="CB68" s="760">
        <f t="shared" ca="1" si="200"/>
        <v>1</v>
      </c>
      <c r="CC68" s="760"/>
      <c r="CD68" s="760">
        <f t="shared" ca="1" si="201"/>
        <v>1</v>
      </c>
      <c r="CE68" s="760" t="str">
        <f t="shared" ca="1" si="202"/>
        <v>-</v>
      </c>
      <c r="CF68" s="760">
        <f t="shared" ca="1" si="203"/>
        <v>1</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Escocia</v>
      </c>
      <c r="DR68" s="756"/>
      <c r="DS68" s="756"/>
      <c r="DT68" s="756" t="str">
        <f t="shared" ca="1" si="15"/>
        <v>Francia-Senegal</v>
      </c>
      <c r="DU68" s="756"/>
      <c r="DV68" s="756"/>
      <c r="DW68" s="8"/>
    </row>
    <row r="69" spans="1:127" ht="16" customHeight="1" x14ac:dyDescent="0.2">
      <c r="A69" s="757" t="str">
        <f ca="1">+Equipos!B34</f>
        <v>Francia</v>
      </c>
      <c r="B69" s="754"/>
      <c r="C69" s="754"/>
      <c r="D69" s="756" t="str">
        <f t="shared" si="225"/>
        <v>Visitante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37"/>
      <c r="X69" s="195">
        <f ca="1">Horarios!C69</f>
        <v>46190</v>
      </c>
      <c r="Y69" s="196">
        <f ca="1">Horarios!C69</f>
        <v>46190</v>
      </c>
      <c r="Z69" s="197" t="str">
        <f>$Z$4</f>
        <v>J1</v>
      </c>
      <c r="AA69" s="198" t="str">
        <f ca="1">A71</f>
        <v>Irak</v>
      </c>
      <c r="AB69" s="486" t="str" cm="1">
        <f t="array" aca="1" ref="AB69" ca="1">Ver_flag_local</f>
        <v>🇮🇶</v>
      </c>
      <c r="AC69" s="199">
        <v>1</v>
      </c>
      <c r="AD69" s="200">
        <v>4</v>
      </c>
      <c r="AE69" s="491" t="str" cm="1">
        <f t="array" aca="1" ref="AE69" ca="1">Ver_flag_visit</f>
        <v>🇳🇴</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4</v>
      </c>
      <c r="BF69" s="760">
        <f t="shared" ca="1" si="190"/>
        <v>3</v>
      </c>
      <c r="BG69" s="760">
        <f t="shared" ca="1" si="191"/>
        <v>1</v>
      </c>
      <c r="BH69" s="760">
        <f t="shared" ca="1" si="192"/>
        <v>1</v>
      </c>
      <c r="BI69" s="760">
        <f t="shared" ca="1" si="176"/>
        <v>1</v>
      </c>
      <c r="BJ69" s="760">
        <f t="shared" ca="1" si="177"/>
        <v>2</v>
      </c>
      <c r="BK69" s="760">
        <f t="shared" ca="1" si="178"/>
        <v>2</v>
      </c>
      <c r="BL69" s="760">
        <f t="shared" ca="1" si="193"/>
        <v>0</v>
      </c>
      <c r="BM69" s="760">
        <f t="shared" ca="1" si="194"/>
        <v>4</v>
      </c>
      <c r="BN69" s="760">
        <f t="shared" ca="1" si="195"/>
        <v>3</v>
      </c>
      <c r="BO69" s="750" t="str">
        <f t="shared" si="196"/>
        <v>4L</v>
      </c>
      <c r="BP69" s="750"/>
      <c r="BQ69" s="750"/>
      <c r="BR69" s="760">
        <f t="shared" ca="1" si="179"/>
        <v>4</v>
      </c>
      <c r="BS69" s="760">
        <f t="shared" ca="1" si="197"/>
        <v>1</v>
      </c>
      <c r="BT69" s="760" t="str">
        <f t="shared" ca="1" si="198"/>
        <v>Pos. 1 (7)</v>
      </c>
      <c r="BU69" s="760">
        <f t="shared" ca="1" si="180"/>
        <v>0</v>
      </c>
      <c r="BV69" s="760">
        <f t="shared" ca="1" si="181"/>
        <v>2</v>
      </c>
      <c r="BW69" s="760" t="str">
        <f t="shared" ca="1" si="182"/>
        <v>Pos. 2 (3)</v>
      </c>
      <c r="BX69" s="760">
        <f t="shared" ca="1" si="183"/>
        <v>2</v>
      </c>
      <c r="BY69" s="760">
        <f t="shared" ca="1" si="184"/>
        <v>3</v>
      </c>
      <c r="BZ69" s="760" t="str">
        <f t="shared" ca="1" si="185"/>
        <v>Pos. 3 (2)</v>
      </c>
      <c r="CA69" s="760">
        <f t="shared" ca="1" si="199"/>
        <v>6</v>
      </c>
      <c r="CB69" s="760">
        <f ca="1">BY69+COUNTIFS(BZ$58:BZ$69,BZ69,CA$58:CA$69,"&gt;"&amp;CA69)</f>
        <v>4</v>
      </c>
      <c r="CC69" s="760"/>
      <c r="CD69" s="760">
        <f t="shared" ca="1" si="201"/>
        <v>3.004</v>
      </c>
      <c r="CE69" s="760">
        <f t="shared" ca="1" si="202"/>
        <v>2</v>
      </c>
      <c r="CF69" s="760">
        <f t="shared" ca="1" si="203"/>
        <v>3</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Uruguay</v>
      </c>
      <c r="DR69" s="756"/>
      <c r="DS69" s="756"/>
      <c r="DT69" s="756" t="str">
        <f t="shared" ref="DT69:DT132" ca="1" si="242">AA69&amp;"-"&amp;AF69</f>
        <v>Irak-Noruega</v>
      </c>
      <c r="DU69" s="756"/>
      <c r="DV69" s="756"/>
      <c r="DW69" s="8"/>
    </row>
    <row r="70" spans="1:127" ht="16" customHeight="1" x14ac:dyDescent="0.2">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37"/>
      <c r="X70" s="195">
        <f ca="1">Horarios!C70</f>
        <v>46195.958333333336</v>
      </c>
      <c r="Y70" s="196">
        <f ca="1">Horarios!C70</f>
        <v>46195.958333333336</v>
      </c>
      <c r="Z70" s="197" t="str">
        <f>$Z$6</f>
        <v>J2</v>
      </c>
      <c r="AA70" s="198" t="str">
        <f ca="1">A69</f>
        <v>Francia</v>
      </c>
      <c r="AB70" s="486" t="str" cm="1">
        <f t="array" aca="1" ref="AB70" ca="1">Ver_flag_local</f>
        <v>🇫🇷</v>
      </c>
      <c r="AC70" s="199">
        <v>3</v>
      </c>
      <c r="AD70" s="200">
        <v>0</v>
      </c>
      <c r="AE70" s="491" t="str" cm="1">
        <f t="array" aca="1" ref="AE70" ca="1">Ver_flag_visit</f>
        <v>🇮🇶</v>
      </c>
      <c r="AF70" s="201" t="str">
        <f ca="1">A71</f>
        <v>Irak</v>
      </c>
      <c r="AG70" s="421">
        <f t="shared" si="238"/>
        <v>1</v>
      </c>
      <c r="AH70" s="202">
        <v>42</v>
      </c>
      <c r="AI70" s="19" t="str">
        <f>AJ70&amp;$B$68</f>
        <v>1I</v>
      </c>
      <c r="AJ70" s="217">
        <v>1</v>
      </c>
      <c r="AK70" s="496" t="str" cm="1">
        <f t="array" aca="1" ref="AK70" ca="1">Ver_flag_visit</f>
        <v>🇫🇷</v>
      </c>
      <c r="AL70" s="218" t="str">
        <f ca="1">IFERROR(INDEX($BD$6:$BD$53,MATCH(AI70,$BN$6:$BN$53,0)),"")</f>
        <v>Francia</v>
      </c>
      <c r="AM70" s="219">
        <f t="shared" ref="AM70:AT73" ca="1" si="243">INDEX($BE$6:$BN$53,MATCH($AL70,$BD$6:$BD$53,0),MATCH(AM$5,$BE$5:$BN$5,0))</f>
        <v>9</v>
      </c>
      <c r="AN70" s="220">
        <f t="shared" ca="1" si="243"/>
        <v>3</v>
      </c>
      <c r="AO70" s="220">
        <f t="shared" ca="1" si="243"/>
        <v>3</v>
      </c>
      <c r="AP70" s="220">
        <f t="shared" ca="1" si="243"/>
        <v>0</v>
      </c>
      <c r="AQ70" s="220">
        <f t="shared" ca="1" si="243"/>
        <v>0</v>
      </c>
      <c r="AR70" s="220">
        <f t="shared" ca="1" si="243"/>
        <v>10</v>
      </c>
      <c r="AS70" s="220">
        <f t="shared" ca="1" si="243"/>
        <v>2</v>
      </c>
      <c r="AT70" s="221">
        <f t="shared" ca="1" si="243"/>
        <v>8</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 customHeight="1" x14ac:dyDescent="0.2">
      <c r="A71" s="757" t="str">
        <f ca="1">+Equipos!B36</f>
        <v>Irak</v>
      </c>
      <c r="B71" s="754"/>
      <c r="C71" s="756"/>
      <c r="D71" s="756" t="str">
        <f t="shared" si="225"/>
        <v>Local</v>
      </c>
      <c r="E71" s="756" t="str">
        <f t="shared" ca="1" si="226"/>
        <v>-</v>
      </c>
      <c r="F71" s="756" t="str">
        <f t="shared" ca="1" si="227"/>
        <v>-</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37"/>
      <c r="X71" s="195">
        <f ca="1">Horarios!C71</f>
        <v>46196.083333333336</v>
      </c>
      <c r="Y71" s="196">
        <f ca="1">Horarios!C71</f>
        <v>46196.083333333336</v>
      </c>
      <c r="Z71" s="197" t="str">
        <f>$Z$6</f>
        <v>J2</v>
      </c>
      <c r="AA71" s="198" t="str">
        <f ca="1">A72</f>
        <v>Noruega</v>
      </c>
      <c r="AB71" s="486" t="str" cm="1">
        <f t="array" aca="1" ref="AB71" ca="1">Ver_flag_local</f>
        <v>🇳🇴</v>
      </c>
      <c r="AC71" s="199">
        <v>3</v>
      </c>
      <c r="AD71" s="200">
        <v>2</v>
      </c>
      <c r="AE71" s="491" t="str" cm="1">
        <f t="array" aca="1" ref="AE71" ca="1">Ver_flag_visit</f>
        <v>🇸🇳</v>
      </c>
      <c r="AF71" s="201" t="str">
        <f ca="1">A70</f>
        <v>Senegal</v>
      </c>
      <c r="AG71" s="421">
        <f t="shared" si="238"/>
        <v>1</v>
      </c>
      <c r="AH71" s="202">
        <v>41</v>
      </c>
      <c r="AI71" s="19" t="str">
        <f t="shared" ref="AI71:AI73" si="244">AJ71&amp;$B$68</f>
        <v>2I</v>
      </c>
      <c r="AJ71" s="227">
        <v>2</v>
      </c>
      <c r="AK71" s="494" t="str" cm="1">
        <f t="array" aca="1" ref="AK71" ca="1">Ver_flag_visit</f>
        <v>🇳🇴</v>
      </c>
      <c r="AL71" s="228" t="str">
        <f ca="1">IFERROR(INDEX($BD$6:$BD$53,MATCH(AI71,$BN$6:$BN$53,0)),"")</f>
        <v>Noruega</v>
      </c>
      <c r="AM71" s="229">
        <f t="shared" ca="1" si="243"/>
        <v>6</v>
      </c>
      <c r="AN71" s="230">
        <f t="shared" ca="1" si="243"/>
        <v>3</v>
      </c>
      <c r="AO71" s="230">
        <f t="shared" ca="1" si="243"/>
        <v>2</v>
      </c>
      <c r="AP71" s="230">
        <f t="shared" ca="1" si="243"/>
        <v>0</v>
      </c>
      <c r="AQ71" s="230">
        <f t="shared" ca="1" si="243"/>
        <v>1</v>
      </c>
      <c r="AR71" s="230">
        <f t="shared" ca="1" si="243"/>
        <v>8</v>
      </c>
      <c r="AS71" s="230">
        <f t="shared" ca="1" si="243"/>
        <v>7</v>
      </c>
      <c r="AT71" s="231">
        <f t="shared" ca="1" si="243"/>
        <v>1</v>
      </c>
      <c r="AU71" s="428">
        <f ca="1">INDEX($DL$6:$DL$53,MATCH(AI71,$DP$6:$DP$53,0))</f>
        <v>1</v>
      </c>
      <c r="AV71" s="223" t="str">
        <f ca="1">INDEX($BD$6:$BD$53,MATCH(AI71,$BM$6:$BM$53,0))</f>
        <v>Noruega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 customHeight="1" x14ac:dyDescent="0.2">
      <c r="A72" s="757" t="str">
        <f ca="1">+Equipos!B37</f>
        <v>Noruega</v>
      </c>
      <c r="B72" s="754"/>
      <c r="C72" s="756"/>
      <c r="D72" s="756" t="str">
        <f t="shared" si="225"/>
        <v>Visitante</v>
      </c>
      <c r="E72" s="756" t="str">
        <f t="shared" ca="1" si="226"/>
        <v>-</v>
      </c>
      <c r="F72" s="756" t="str">
        <f t="shared" ca="1" si="227"/>
        <v>-</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37"/>
      <c r="X72" s="195">
        <f ca="1">Horarios!C72</f>
        <v>46199.875</v>
      </c>
      <c r="Y72" s="196">
        <f ca="1">Horarios!C72</f>
        <v>46199.875</v>
      </c>
      <c r="Z72" s="197" t="str">
        <f>$Z$8</f>
        <v>J3</v>
      </c>
      <c r="AA72" s="198" t="str">
        <f ca="1">A72</f>
        <v>Noruega</v>
      </c>
      <c r="AB72" s="486" t="str" cm="1">
        <f t="array" aca="1" ref="AB72" ca="1">Ver_flag_local</f>
        <v>🇳🇴</v>
      </c>
      <c r="AC72" s="199">
        <v>1</v>
      </c>
      <c r="AD72" s="200">
        <v>4</v>
      </c>
      <c r="AE72" s="491" t="str" cm="1">
        <f t="array" aca="1" ref="AE72" ca="1">Ver_flag_visit</f>
        <v>🇫🇷</v>
      </c>
      <c r="AF72" s="201" t="str">
        <f ca="1">A69</f>
        <v>Francia</v>
      </c>
      <c r="AG72" s="421">
        <f t="shared" si="238"/>
        <v>1</v>
      </c>
      <c r="AH72" s="202">
        <v>61</v>
      </c>
      <c r="AI72" s="19" t="str">
        <f t="shared" si="244"/>
        <v>3I</v>
      </c>
      <c r="AJ72" s="227">
        <v>3</v>
      </c>
      <c r="AK72" s="494" t="str" cm="1">
        <f t="array" aca="1" ref="AK72" ca="1">Ver_flag_visit</f>
        <v>🇸🇳</v>
      </c>
      <c r="AL72" s="228" t="str">
        <f ca="1">IFERROR(INDEX($BD$6:$BD$53,MATCH(AI72,$BN$6:$BN$53,0)),"")</f>
        <v>Senegal</v>
      </c>
      <c r="AM72" s="229">
        <f t="shared" ca="1" si="243"/>
        <v>3</v>
      </c>
      <c r="AN72" s="230">
        <f t="shared" ca="1" si="243"/>
        <v>3</v>
      </c>
      <c r="AO72" s="230">
        <f t="shared" ca="1" si="243"/>
        <v>1</v>
      </c>
      <c r="AP72" s="230">
        <f t="shared" ca="1" si="243"/>
        <v>0</v>
      </c>
      <c r="AQ72" s="230">
        <f t="shared" ca="1" si="243"/>
        <v>2</v>
      </c>
      <c r="AR72" s="230">
        <f t="shared" ca="1" si="243"/>
        <v>8</v>
      </c>
      <c r="AS72" s="230">
        <f t="shared" ca="1" si="243"/>
        <v>6</v>
      </c>
      <c r="AT72" s="231">
        <f t="shared" ca="1" si="243"/>
        <v>2</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 customHeight="1" thickBot="1" x14ac:dyDescent="0.25">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38"/>
      <c r="X73" s="234">
        <f ca="1">Horarios!C73</f>
        <v>46199.875</v>
      </c>
      <c r="Y73" s="235">
        <f ca="1">Horarios!C73</f>
        <v>46199.875</v>
      </c>
      <c r="Z73" s="236" t="str">
        <f>$Z$8</f>
        <v>J3</v>
      </c>
      <c r="AA73" s="237" t="str">
        <f ca="1">A70</f>
        <v>Senegal</v>
      </c>
      <c r="AB73" s="487" t="str" cm="1">
        <f t="array" aca="1" ref="AB73" ca="1">Ver_flag_local</f>
        <v>🇸🇳</v>
      </c>
      <c r="AC73" s="238">
        <v>5</v>
      </c>
      <c r="AD73" s="239">
        <v>0</v>
      </c>
      <c r="AE73" s="492" t="str" cm="1">
        <f t="array" aca="1" ref="AE73" ca="1">Ver_flag_visit</f>
        <v>🇮🇶</v>
      </c>
      <c r="AF73" s="240" t="str">
        <f ca="1">A71</f>
        <v>Irak</v>
      </c>
      <c r="AG73" s="421">
        <f t="shared" si="238"/>
        <v>1</v>
      </c>
      <c r="AH73" s="202">
        <v>62</v>
      </c>
      <c r="AI73" s="19" t="str">
        <f t="shared" si="244"/>
        <v>4I</v>
      </c>
      <c r="AJ73" s="241">
        <v>4</v>
      </c>
      <c r="AK73" s="495" t="str" cm="1">
        <f t="array" aca="1" ref="AK73" ca="1">Ver_flag_visit</f>
        <v>🇮🇶</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1</v>
      </c>
      <c r="AS73" s="244">
        <f t="shared" ca="1" si="243"/>
        <v>12</v>
      </c>
      <c r="AT73" s="245">
        <f t="shared" ca="1" si="243"/>
        <v>-11</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6" thickBot="1" x14ac:dyDescent="0.25">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6" thickBot="1" x14ac:dyDescent="0.25">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 customHeight="1" thickBot="1" x14ac:dyDescent="0.25">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P.2 (2)</v>
      </c>
      <c r="G76" s="756"/>
      <c r="H76" s="756" t="str">
        <f t="shared" ref="H76:H81" ca="1" si="248">IF(D76="Pendiente","-",INDEX($BZ$6:$BZ$53,MATCH($AA76,$BD$6:$BD$53,0)))</f>
        <v>-</v>
      </c>
      <c r="I76" s="756" t="str">
        <f t="shared" ref="I76:I81" ca="1" si="249">IF(D76="Pendiente","-",INDEX($BZ$6:$BZ$53,MATCH($AF76,$BD$6:$BD$53,0)))</f>
        <v>P.2 (2)</v>
      </c>
      <c r="J76" s="756"/>
      <c r="K76" s="756" t="str">
        <f t="shared" ref="K76:K81" ca="1" si="250">IF(D76="Pendiente","-",INDEX($CE$6:$CE$53,MATCH($AA76,$BD$6:$BD$53,0)))</f>
        <v>-</v>
      </c>
      <c r="L76" s="756" t="str">
        <f t="shared" ref="L76:L81" ca="1" si="251">IF(D76="Pendiente","-",INDEX($CE$6:$CE$53,MATCH($AF76,$BD$6:$BD$53,0)))</f>
        <v>P.2 (2)</v>
      </c>
      <c r="M76" s="756"/>
      <c r="N76" s="756" t="str">
        <f t="shared" ref="N76:N81" ca="1" si="252">IF(D76="Pendiente","-",INDEX($CH$6:$CH$53,MATCH($AA76,$BD$6:$BD$53,0)))</f>
        <v>-</v>
      </c>
      <c r="O76" s="756" t="str">
        <f t="shared" ref="O76:O81" ca="1" si="253">IF(D76="Pendiente","-",INDEX($CH$6:$CH$53,MATCH($AF76,$BD$6:$BD$53,0)))</f>
        <v>P.2 (2)</v>
      </c>
      <c r="P76" s="756"/>
      <c r="Q76" s="756" t="str">
        <f t="shared" ref="Q76:Q81" ca="1" si="254">IF(D76="Pendiente","-",INDEX($CN$6:$CN$53,MATCH($AA76,$BD$6:$BD$53,0)))</f>
        <v>-</v>
      </c>
      <c r="R76" s="756" t="str">
        <f t="shared" ref="R76:R81" ca="1" si="255">IF(D76="Pendiente","-",INDEX($CN$6:$CN$53,MATCH($AF76,$BD$6:$BD$53,0)))</f>
        <v>P.2 (2)</v>
      </c>
      <c r="S76" s="756"/>
      <c r="T76" s="756" t="str">
        <f t="shared" ref="T76:T81" ca="1" si="256">IF(D76="Pendiente","-",INDEX($CS$6:$CS$53,MATCH($AA76,$BD$6:$BD$53,0)))</f>
        <v>-</v>
      </c>
      <c r="U76" s="756" t="str">
        <f t="shared" ref="U76:U81" ca="1" si="257">IF(D76="Pendiente","-",INDEX($CS$6:$CS$53,MATCH($AF76,$BD$6:$BD$53,0)))</f>
        <v>P.2 (2)</v>
      </c>
      <c r="V76" s="178"/>
      <c r="W76" s="833" t="s">
        <v>5</v>
      </c>
      <c r="X76" s="195">
        <f ca="1">Horarios!C76</f>
        <v>46190.125</v>
      </c>
      <c r="Y76" s="196">
        <f ca="1">Horarios!C76</f>
        <v>46190.125</v>
      </c>
      <c r="Z76" s="197" t="str">
        <f>$Z$4</f>
        <v>J1</v>
      </c>
      <c r="AA76" s="198" t="str">
        <f ca="1">A77</f>
        <v>Argentina</v>
      </c>
      <c r="AB76" s="486" t="str" cm="1">
        <f t="array" aca="1" ref="AB76" ca="1">Ver_flag_local</f>
        <v>🇦🇷</v>
      </c>
      <c r="AC76" s="199">
        <v>3</v>
      </c>
      <c r="AD76" s="200">
        <v>0</v>
      </c>
      <c r="AE76" s="491" t="str" cm="1">
        <f t="array" aca="1" ref="AE76" ca="1">Ver_flag_visit</f>
        <v>🇩🇿</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 customHeight="1" x14ac:dyDescent="0.2">
      <c r="A77" s="757" t="str">
        <f ca="1">+Equipos!B38</f>
        <v>Argentina</v>
      </c>
      <c r="B77" s="754"/>
      <c r="C77" s="754"/>
      <c r="D77" s="756" t="str">
        <f t="shared" si="245"/>
        <v>Local</v>
      </c>
      <c r="E77" s="756" t="str">
        <f t="shared" ca="1" si="246"/>
        <v>P.2 (2)</v>
      </c>
      <c r="F77" s="756" t="str">
        <f t="shared" ca="1" si="247"/>
        <v>-</v>
      </c>
      <c r="G77" s="756"/>
      <c r="H77" s="756" t="str">
        <f t="shared" ca="1" si="248"/>
        <v>P.2 (2)</v>
      </c>
      <c r="I77" s="756" t="str">
        <f t="shared" ca="1" si="249"/>
        <v>-</v>
      </c>
      <c r="J77" s="756"/>
      <c r="K77" s="756" t="str">
        <f t="shared" ca="1" si="250"/>
        <v>P.2 (2)</v>
      </c>
      <c r="L77" s="756" t="str">
        <f t="shared" ca="1" si="251"/>
        <v>-</v>
      </c>
      <c r="M77" s="756"/>
      <c r="N77" s="756" t="str">
        <f t="shared" ca="1" si="252"/>
        <v>P.2 (2)</v>
      </c>
      <c r="O77" s="756" t="str">
        <f t="shared" ca="1" si="253"/>
        <v>-</v>
      </c>
      <c r="P77" s="756"/>
      <c r="Q77" s="756" t="str">
        <f t="shared" ca="1" si="254"/>
        <v>P.2 (2)</v>
      </c>
      <c r="R77" s="756" t="str">
        <f t="shared" ca="1" si="255"/>
        <v>-</v>
      </c>
      <c r="S77" s="756"/>
      <c r="T77" s="756" t="str">
        <f t="shared" ca="1" si="256"/>
        <v>P.2 (2)</v>
      </c>
      <c r="U77" s="756" t="str">
        <f t="shared" ca="1" si="257"/>
        <v>-</v>
      </c>
      <c r="V77" s="178"/>
      <c r="W77" s="833"/>
      <c r="X77" s="195">
        <f ca="1">Horarios!C77</f>
        <v>46190.25</v>
      </c>
      <c r="Y77" s="196">
        <f ca="1">Horarios!C77</f>
        <v>46190.25</v>
      </c>
      <c r="Z77" s="197" t="str">
        <f>$Z$4</f>
        <v>J1</v>
      </c>
      <c r="AA77" s="198" t="str">
        <f ca="1">A79</f>
        <v>Austria</v>
      </c>
      <c r="AB77" s="486" t="str" cm="1">
        <f t="array" aca="1" ref="AB77" ca="1">Ver_flag_local</f>
        <v>🇦🇹</v>
      </c>
      <c r="AC77" s="199">
        <v>3</v>
      </c>
      <c r="AD77" s="200">
        <v>1</v>
      </c>
      <c r="AE77" s="491" t="str" cm="1">
        <f t="array" aca="1" ref="AE77" ca="1">Ver_flag_visit</f>
        <v>🇯🇴</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 customHeight="1" x14ac:dyDescent="0.2">
      <c r="A78" s="757" t="str">
        <f ca="1">+Equipos!B39</f>
        <v>Argelia</v>
      </c>
      <c r="B78" s="754"/>
      <c r="C78" s="758"/>
      <c r="D78" s="756" t="str">
        <f t="shared" si="245"/>
        <v>Local</v>
      </c>
      <c r="E78" s="756" t="str">
        <f t="shared" ca="1" si="246"/>
        <v>-</v>
      </c>
      <c r="F78" s="756" t="str">
        <f t="shared" ca="1" si="247"/>
        <v>P.2 (2)</v>
      </c>
      <c r="G78" s="756"/>
      <c r="H78" s="756" t="str">
        <f t="shared" ca="1" si="248"/>
        <v>-</v>
      </c>
      <c r="I78" s="756" t="str">
        <f t="shared" ca="1" si="249"/>
        <v>P.2 (2)</v>
      </c>
      <c r="J78" s="756"/>
      <c r="K78" s="756" t="str">
        <f t="shared" ca="1" si="250"/>
        <v>-</v>
      </c>
      <c r="L78" s="756" t="str">
        <f t="shared" ca="1" si="251"/>
        <v>P.2 (2)</v>
      </c>
      <c r="M78" s="756"/>
      <c r="N78" s="756" t="str">
        <f t="shared" ca="1" si="252"/>
        <v>-</v>
      </c>
      <c r="O78" s="756" t="str">
        <f t="shared" ca="1" si="253"/>
        <v>P.2 (2)</v>
      </c>
      <c r="P78" s="756"/>
      <c r="Q78" s="756" t="str">
        <f t="shared" ca="1" si="254"/>
        <v>-</v>
      </c>
      <c r="R78" s="756" t="str">
        <f t="shared" ca="1" si="255"/>
        <v>P.2 (2)</v>
      </c>
      <c r="S78" s="756"/>
      <c r="T78" s="756" t="str">
        <f t="shared" ca="1" si="256"/>
        <v>-</v>
      </c>
      <c r="U78" s="756" t="str">
        <f t="shared" ca="1" si="257"/>
        <v>P.2 (2)</v>
      </c>
      <c r="V78" s="178"/>
      <c r="W78" s="833"/>
      <c r="X78" s="195">
        <f ca="1">Horarios!C78</f>
        <v>46195.791666666664</v>
      </c>
      <c r="Y78" s="196">
        <f ca="1">Horarios!C78</f>
        <v>46195.791666666664</v>
      </c>
      <c r="Z78" s="197" t="str">
        <f>$Z$6</f>
        <v>J2</v>
      </c>
      <c r="AA78" s="198" t="str">
        <f ca="1">A77</f>
        <v>Argentina</v>
      </c>
      <c r="AB78" s="486" t="str" cm="1">
        <f t="array" aca="1" ref="AB78" ca="1">Ver_flag_local</f>
        <v>🇦🇷</v>
      </c>
      <c r="AC78" s="199">
        <v>2</v>
      </c>
      <c r="AD78" s="200">
        <v>0</v>
      </c>
      <c r="AE78" s="491" t="str" cm="1">
        <f t="array" aca="1" ref="AE78" ca="1">Ver_flag_visit</f>
        <v>🇦🇹</v>
      </c>
      <c r="AF78" s="201" t="str">
        <f ca="1">A79</f>
        <v>Austria</v>
      </c>
      <c r="AG78" s="421">
        <f t="shared" si="258"/>
        <v>1</v>
      </c>
      <c r="AH78" s="202">
        <v>43</v>
      </c>
      <c r="AI78" s="19" t="str">
        <f>AJ78&amp;$B$76</f>
        <v>1J</v>
      </c>
      <c r="AJ78" s="217">
        <v>1</v>
      </c>
      <c r="AK78" s="496" t="str" cm="1">
        <f t="array" aca="1" ref="AK78" ca="1">Ver_flag_visit</f>
        <v>🇦🇷</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8</v>
      </c>
      <c r="AS78" s="220">
        <f t="shared" ca="1" si="262"/>
        <v>1</v>
      </c>
      <c r="AT78" s="221">
        <f t="shared" ca="1" si="262"/>
        <v>7</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 customHeight="1" x14ac:dyDescent="0.2">
      <c r="A79" s="757" t="str">
        <f ca="1">+Equipos!B40</f>
        <v>Austria</v>
      </c>
      <c r="B79" s="754"/>
      <c r="C79" s="756"/>
      <c r="D79" s="756" t="str">
        <f t="shared" si="245"/>
        <v>Visitante</v>
      </c>
      <c r="E79" s="756" t="str">
        <f t="shared" ca="1" si="246"/>
        <v>-</v>
      </c>
      <c r="F79" s="756" t="str">
        <f t="shared" ca="1" si="247"/>
        <v>P.2 (2)</v>
      </c>
      <c r="G79" s="756"/>
      <c r="H79" s="756" t="str">
        <f t="shared" ca="1" si="248"/>
        <v>-</v>
      </c>
      <c r="I79" s="756" t="str">
        <f t="shared" ca="1" si="249"/>
        <v>P.2 (2)</v>
      </c>
      <c r="J79" s="756"/>
      <c r="K79" s="756" t="str">
        <f t="shared" ca="1" si="250"/>
        <v>-</v>
      </c>
      <c r="L79" s="756" t="str">
        <f t="shared" ca="1" si="251"/>
        <v>P.2 (2)</v>
      </c>
      <c r="M79" s="756"/>
      <c r="N79" s="756" t="str">
        <f t="shared" ca="1" si="252"/>
        <v>-</v>
      </c>
      <c r="O79" s="756" t="str">
        <f t="shared" ca="1" si="253"/>
        <v>P.2 (2)</v>
      </c>
      <c r="P79" s="756"/>
      <c r="Q79" s="756" t="str">
        <f t="shared" ca="1" si="254"/>
        <v>-</v>
      </c>
      <c r="R79" s="756" t="str">
        <f t="shared" ca="1" si="255"/>
        <v>P.2 (2)</v>
      </c>
      <c r="S79" s="756"/>
      <c r="T79" s="756" t="str">
        <f t="shared" ca="1" si="256"/>
        <v>-</v>
      </c>
      <c r="U79" s="756" t="str">
        <f t="shared" ca="1" si="257"/>
        <v>P.2 (2)</v>
      </c>
      <c r="V79" s="178"/>
      <c r="W79" s="833"/>
      <c r="X79" s="195">
        <f ca="1">Horarios!C79</f>
        <v>46196.208333333336</v>
      </c>
      <c r="Y79" s="196">
        <f ca="1">Horarios!C79</f>
        <v>46196.208333333336</v>
      </c>
      <c r="Z79" s="197" t="str">
        <f>$Z$6</f>
        <v>J2</v>
      </c>
      <c r="AA79" s="198" t="str">
        <f ca="1">A80</f>
        <v>Jordania</v>
      </c>
      <c r="AB79" s="486" t="str" cm="1">
        <f t="array" aca="1" ref="AB79" ca="1">Ver_flag_local</f>
        <v>🇯🇴</v>
      </c>
      <c r="AC79" s="199">
        <v>1</v>
      </c>
      <c r="AD79" s="200">
        <v>2</v>
      </c>
      <c r="AE79" s="491" t="str" cm="1">
        <f t="array" aca="1" ref="AE79" ca="1">Ver_flag_visit</f>
        <v>🇩🇿</v>
      </c>
      <c r="AF79" s="201" t="str">
        <f ca="1">A78</f>
        <v>Argelia</v>
      </c>
      <c r="AG79" s="421">
        <f t="shared" si="258"/>
        <v>1</v>
      </c>
      <c r="AH79" s="202">
        <v>44</v>
      </c>
      <c r="AI79" s="19" t="str">
        <f t="shared" ref="AI79:AI81" si="263">AJ79&amp;$B$76</f>
        <v>2J</v>
      </c>
      <c r="AJ79" s="227">
        <v>2</v>
      </c>
      <c r="AK79" s="494" t="str" cm="1">
        <f t="array" aca="1" ref="AK79" ca="1">Ver_flag_visit</f>
        <v>🇦🇹</v>
      </c>
      <c r="AL79" s="228" t="str">
        <f ca="1">IFERROR(INDEX($BD$6:$BD$53,MATCH(AI79,$BN$6:$BN$53,0)),"")</f>
        <v>Austria</v>
      </c>
      <c r="AM79" s="229">
        <f t="shared" ca="1" si="262"/>
        <v>4</v>
      </c>
      <c r="AN79" s="230">
        <f t="shared" ca="1" si="262"/>
        <v>3</v>
      </c>
      <c r="AO79" s="230">
        <f t="shared" ca="1" si="262"/>
        <v>1</v>
      </c>
      <c r="AP79" s="230">
        <f t="shared" ca="1" si="262"/>
        <v>1</v>
      </c>
      <c r="AQ79" s="230">
        <f t="shared" ca="1" si="262"/>
        <v>1</v>
      </c>
      <c r="AR79" s="230">
        <f t="shared" ca="1" si="262"/>
        <v>6</v>
      </c>
      <c r="AS79" s="230">
        <f t="shared" ca="1" si="262"/>
        <v>6</v>
      </c>
      <c r="AT79" s="231">
        <f t="shared" ca="1" si="262"/>
        <v>0</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 customHeight="1" x14ac:dyDescent="0.2">
      <c r="A80" s="757" t="str">
        <f ca="1">+Equipos!B41</f>
        <v>Jordania</v>
      </c>
      <c r="B80" s="754"/>
      <c r="C80" s="756"/>
      <c r="D80" s="756" t="str">
        <f t="shared" si="245"/>
        <v>Empate</v>
      </c>
      <c r="E80" s="756" t="str">
        <f t="shared" ca="1" si="246"/>
        <v>P.2 (2)</v>
      </c>
      <c r="F80" s="756" t="str">
        <f t="shared" ca="1" si="247"/>
        <v>P.2 (2)</v>
      </c>
      <c r="G80" s="756"/>
      <c r="H80" s="756" t="str">
        <f t="shared" ca="1" si="248"/>
        <v>P.2 (2)</v>
      </c>
      <c r="I80" s="756" t="str">
        <f t="shared" ca="1" si="249"/>
        <v>P.2 (2)</v>
      </c>
      <c r="J80" s="756"/>
      <c r="K80" s="756" t="str">
        <f t="shared" ca="1" si="250"/>
        <v>P.2 (2)</v>
      </c>
      <c r="L80" s="756" t="str">
        <f t="shared" ca="1" si="251"/>
        <v>P.2 (2)</v>
      </c>
      <c r="M80" s="756"/>
      <c r="N80" s="756" t="str">
        <f t="shared" ca="1" si="252"/>
        <v>P.2 (2)</v>
      </c>
      <c r="O80" s="756" t="str">
        <f t="shared" ca="1" si="253"/>
        <v>P.2 (2)</v>
      </c>
      <c r="P80" s="756"/>
      <c r="Q80" s="756" t="str">
        <f t="shared" ca="1" si="254"/>
        <v>P.2 (2)</v>
      </c>
      <c r="R80" s="756" t="str">
        <f t="shared" ca="1" si="255"/>
        <v>P.2 (2)</v>
      </c>
      <c r="S80" s="756"/>
      <c r="T80" s="756" t="str">
        <f t="shared" ca="1" si="256"/>
        <v>P.2 (2)</v>
      </c>
      <c r="U80" s="756" t="str">
        <f t="shared" ca="1" si="257"/>
        <v>P.2 (2)</v>
      </c>
      <c r="V80" s="178"/>
      <c r="W80" s="833"/>
      <c r="X80" s="195">
        <f ca="1">Horarios!C80</f>
        <v>46201.166666666664</v>
      </c>
      <c r="Y80" s="196">
        <f ca="1">Horarios!C80</f>
        <v>46201.166666666664</v>
      </c>
      <c r="Z80" s="197" t="str">
        <f>$Z$8</f>
        <v>J3</v>
      </c>
      <c r="AA80" s="198" t="str">
        <f ca="1">A78</f>
        <v>Argelia</v>
      </c>
      <c r="AB80" s="486" t="str" cm="1">
        <f t="array" aca="1" ref="AB80" ca="1">Ver_flag_local</f>
        <v>🇩🇿</v>
      </c>
      <c r="AC80" s="199">
        <v>3</v>
      </c>
      <c r="AD80" s="200">
        <v>3</v>
      </c>
      <c r="AE80" s="491" t="str" cm="1">
        <f t="array" aca="1" ref="AE80" ca="1">Ver_flag_visit</f>
        <v>🇦🇹</v>
      </c>
      <c r="AF80" s="201" t="str">
        <f ca="1">A79</f>
        <v>Austria</v>
      </c>
      <c r="AG80" s="421">
        <f t="shared" si="258"/>
        <v>1</v>
      </c>
      <c r="AH80" s="202">
        <v>69</v>
      </c>
      <c r="AI80" s="19" t="str">
        <f t="shared" si="263"/>
        <v>3J</v>
      </c>
      <c r="AJ80" s="227">
        <v>3</v>
      </c>
      <c r="AK80" s="494" t="str" cm="1">
        <f t="array" aca="1" ref="AK80" ca="1">Ver_flag_visit</f>
        <v>🇩🇿</v>
      </c>
      <c r="AL80" s="228" t="str">
        <f ca="1">IFERROR(INDEX($BD$6:$BD$53,MATCH(AI80,$BN$6:$BN$53,0)),"")</f>
        <v>Argelia</v>
      </c>
      <c r="AM80" s="229">
        <f t="shared" ca="1" si="262"/>
        <v>4</v>
      </c>
      <c r="AN80" s="230">
        <f t="shared" ca="1" si="262"/>
        <v>3</v>
      </c>
      <c r="AO80" s="230">
        <f t="shared" ca="1" si="262"/>
        <v>1</v>
      </c>
      <c r="AP80" s="230">
        <f t="shared" ca="1" si="262"/>
        <v>1</v>
      </c>
      <c r="AQ80" s="230">
        <f t="shared" ca="1" si="262"/>
        <v>1</v>
      </c>
      <c r="AR80" s="230">
        <f t="shared" ca="1" si="262"/>
        <v>5</v>
      </c>
      <c r="AS80" s="230">
        <f t="shared" ca="1" si="262"/>
        <v>7</v>
      </c>
      <c r="AT80" s="231">
        <f t="shared" ca="1" si="262"/>
        <v>-2</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 customHeight="1" thickBot="1" x14ac:dyDescent="0.25">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34"/>
      <c r="X81" s="234">
        <f ca="1">Horarios!C81</f>
        <v>46201.166666666664</v>
      </c>
      <c r="Y81" s="235">
        <f ca="1">Horarios!C81</f>
        <v>46201.166666666664</v>
      </c>
      <c r="Z81" s="236" t="str">
        <f>$Z$8</f>
        <v>J3</v>
      </c>
      <c r="AA81" s="237" t="str">
        <f ca="1">A80</f>
        <v>Jordania</v>
      </c>
      <c r="AB81" s="487" t="str" cm="1">
        <f t="array" aca="1" ref="AB81" ca="1">Ver_flag_local</f>
        <v>🇯🇴</v>
      </c>
      <c r="AC81" s="238">
        <v>1</v>
      </c>
      <c r="AD81" s="239">
        <v>3</v>
      </c>
      <c r="AE81" s="492" t="str" cm="1">
        <f t="array" aca="1" ref="AE81" ca="1">Ver_flag_visit</f>
        <v>🇦🇷</v>
      </c>
      <c r="AF81" s="240" t="str">
        <f ca="1">A77</f>
        <v>Argentina</v>
      </c>
      <c r="AG81" s="421">
        <f t="shared" si="258"/>
        <v>1</v>
      </c>
      <c r="AH81" s="202">
        <v>70</v>
      </c>
      <c r="AI81" s="19" t="str">
        <f t="shared" si="263"/>
        <v>4J</v>
      </c>
      <c r="AJ81" s="241">
        <v>4</v>
      </c>
      <c r="AK81" s="495" t="str" cm="1">
        <f t="array" aca="1" ref="AK81" ca="1">Ver_flag_visit</f>
        <v>🇯🇴</v>
      </c>
      <c r="AL81" s="242" t="str">
        <f ca="1">IFERROR(INDEX($BD$6:$BD$53,MATCH(AI81,$BN$6:$BN$53,0)),"")</f>
        <v>Jordania</v>
      </c>
      <c r="AM81" s="243">
        <f t="shared" ca="1" si="262"/>
        <v>0</v>
      </c>
      <c r="AN81" s="244">
        <f t="shared" ca="1" si="262"/>
        <v>3</v>
      </c>
      <c r="AO81" s="244">
        <f t="shared" ca="1" si="262"/>
        <v>0</v>
      </c>
      <c r="AP81" s="244">
        <f t="shared" ca="1" si="262"/>
        <v>0</v>
      </c>
      <c r="AQ81" s="244">
        <f t="shared" ca="1" si="262"/>
        <v>3</v>
      </c>
      <c r="AR81" s="244">
        <f t="shared" ca="1" si="262"/>
        <v>3</v>
      </c>
      <c r="AS81" s="244">
        <f t="shared" ca="1" si="262"/>
        <v>8</v>
      </c>
      <c r="AT81" s="245">
        <f t="shared" ca="1" si="262"/>
        <v>-5</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6" thickBot="1" x14ac:dyDescent="0.25">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6" thickBot="1" x14ac:dyDescent="0.25">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x14ac:dyDescent="0.25">
      <c r="A84" s="753" t="s">
        <v>30</v>
      </c>
      <c r="B84" s="754" t="s">
        <v>439</v>
      </c>
      <c r="C84" s="755">
        <f>COUNTIF(Equipos!$C$2:$C$49,WORLDCUP!B84)</f>
        <v>4</v>
      </c>
      <c r="D84" s="756" t="str">
        <f t="shared" ref="D84:D89" si="264">IF(OR(AC84="",AD84=""),"Pendiente",IF(AC84&gt;AD84,"Local",IF(AC84&lt;AD84,"Visitante","Empate")))</f>
        <v>Empate</v>
      </c>
      <c r="E84" s="756" t="str">
        <f t="shared" ref="E84:E89" ca="1" si="265">IF(D84="Pendiente","-",INDEX($BT$6:$BT$53,MATCH($AA84,$BD$6:$BD$53,0)))</f>
        <v>-</v>
      </c>
      <c r="F84" s="756" t="str">
        <f t="shared" ref="F84:F89" ca="1" si="266">IF(D84="Pendiente","-",INDEX($BT$6:$BT$53,MATCH($AF84,$BD$6:$BD$53,0)))</f>
        <v>-</v>
      </c>
      <c r="G84" s="756"/>
      <c r="H84" s="756" t="str">
        <f t="shared" ref="H84:H89" ca="1" si="267">IF(D84="Pendiente","-",INDEX($BZ$6:$BZ$53,MATCH($AA84,$BD$6:$BD$53,0)))</f>
        <v>-</v>
      </c>
      <c r="I84" s="756" t="str">
        <f t="shared" ref="I84:I89" ca="1" si="268">IF(D84="Pendiente","-",INDEX($BZ$6:$BZ$53,MATCH($AF84,$BD$6:$BD$53,0)))</f>
        <v>-</v>
      </c>
      <c r="J84" s="756"/>
      <c r="K84" s="756" t="str">
        <f t="shared" ref="K84:K89" ca="1" si="269">IF(D84="Pendiente","-",INDEX($CE$6:$CE$53,MATCH($AA84,$BD$6:$BD$53,0)))</f>
        <v>-</v>
      </c>
      <c r="L84" s="756" t="str">
        <f t="shared" ref="L84:L89" ca="1" si="270">IF(D84="Pendiente","-",INDEX($CE$6:$CE$53,MATCH($AF84,$BD$6:$BD$53,0)))</f>
        <v>-</v>
      </c>
      <c r="M84" s="756"/>
      <c r="N84" s="756" t="str">
        <f t="shared" ref="N84:N89" ca="1" si="271">IF(D84="Pendiente","-",INDEX($CH$6:$CH$53,MATCH($AA84,$BD$6:$BD$53,0)))</f>
        <v>-</v>
      </c>
      <c r="O84" s="756" t="str">
        <f t="shared" ref="O84:O89" ca="1" si="272">IF(D84="Pendiente","-",INDEX($CH$6:$CH$53,MATCH($AF84,$BD$6:$BD$53,0)))</f>
        <v>-</v>
      </c>
      <c r="P84" s="756"/>
      <c r="Q84" s="756" t="str">
        <f t="shared" ref="Q84:Q89" ca="1" si="273">IF(D84="Pendiente","-",INDEX($CN$6:$CN$53,MATCH($AA84,$BD$6:$BD$53,0)))</f>
        <v>-</v>
      </c>
      <c r="R84" s="756" t="str">
        <f t="shared" ref="R84:R89" ca="1" si="274">IF(D84="Pendiente","-",INDEX($CN$6:$CN$53,MATCH($AF84,$BD$6:$BD$53,0)))</f>
        <v>-</v>
      </c>
      <c r="S84" s="756"/>
      <c r="T84" s="756" t="str">
        <f t="shared" ref="T84:T89" ca="1" si="275">IF(D84="Pendiente","-",INDEX($CS$6:$CS$53,MATCH($AA84,$BD$6:$BD$53,0)))</f>
        <v>-</v>
      </c>
      <c r="U84" s="756" t="str">
        <f t="shared" ref="U84:U89" ca="1" si="276">IF(D84="Pendiente","-",INDEX($CS$6:$CS$53,MATCH($AF84,$BD$6:$BD$53,0)))</f>
        <v>-</v>
      </c>
      <c r="V84" s="178"/>
      <c r="W84" s="839" t="s">
        <v>439</v>
      </c>
      <c r="X84" s="195">
        <f ca="1">Horarios!C84</f>
        <v>46190.791666666664</v>
      </c>
      <c r="Y84" s="196">
        <f ca="1">Horarios!C84</f>
        <v>46190.791666666664</v>
      </c>
      <c r="Z84" s="197" t="str">
        <f>$Z$4</f>
        <v>J1</v>
      </c>
      <c r="AA84" s="198" t="str">
        <f ca="1">A85</f>
        <v>Portugal</v>
      </c>
      <c r="AB84" s="486" t="str" cm="1">
        <f t="array" aca="1" ref="AB84" ca="1">Ver_flag_local</f>
        <v>🇵🇹</v>
      </c>
      <c r="AC84" s="199">
        <v>1</v>
      </c>
      <c r="AD84" s="200">
        <v>1</v>
      </c>
      <c r="AE84" s="491" t="str" cm="1">
        <f t="array" aca="1" ref="AE84" ca="1">Ver_flag_visit</f>
        <v>🇨🇩</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 customHeight="1" x14ac:dyDescent="0.2">
      <c r="A85" s="757" t="str">
        <f ca="1">+Equipos!B42</f>
        <v>Portugal</v>
      </c>
      <c r="B85" s="754"/>
      <c r="C85" s="754"/>
      <c r="D85" s="756" t="str">
        <f t="shared" si="264"/>
        <v>Visitante</v>
      </c>
      <c r="E85" s="756" t="str">
        <f t="shared" ca="1" si="265"/>
        <v>-</v>
      </c>
      <c r="F85" s="756" t="str">
        <f t="shared" ca="1" si="266"/>
        <v>-</v>
      </c>
      <c r="G85" s="756"/>
      <c r="H85" s="756" t="str">
        <f t="shared" ca="1" si="267"/>
        <v>-</v>
      </c>
      <c r="I85" s="756" t="str">
        <f t="shared" ca="1" si="268"/>
        <v>-</v>
      </c>
      <c r="J85" s="756"/>
      <c r="K85" s="756" t="str">
        <f t="shared" ca="1" si="269"/>
        <v>-</v>
      </c>
      <c r="L85" s="756" t="str">
        <f t="shared" ca="1" si="270"/>
        <v>-</v>
      </c>
      <c r="M85" s="756"/>
      <c r="N85" s="756" t="str">
        <f t="shared" ca="1" si="271"/>
        <v>-</v>
      </c>
      <c r="O85" s="756" t="str">
        <f t="shared" ca="1" si="272"/>
        <v>-</v>
      </c>
      <c r="P85" s="756"/>
      <c r="Q85" s="756" t="str">
        <f t="shared" ca="1" si="273"/>
        <v>-</v>
      </c>
      <c r="R85" s="756" t="str">
        <f t="shared" ca="1" si="274"/>
        <v>-</v>
      </c>
      <c r="S85" s="756"/>
      <c r="T85" s="756" t="str">
        <f t="shared" ca="1" si="275"/>
        <v>-</v>
      </c>
      <c r="U85" s="756" t="str">
        <f t="shared" ca="1" si="276"/>
        <v>-</v>
      </c>
      <c r="V85" s="178"/>
      <c r="W85" s="839"/>
      <c r="X85" s="195">
        <f ca="1">Horarios!C85</f>
        <v>46191.166666666664</v>
      </c>
      <c r="Y85" s="196">
        <f ca="1">Horarios!C85</f>
        <v>46191.166666666664</v>
      </c>
      <c r="Z85" s="197" t="str">
        <f>$Z$4</f>
        <v>J1</v>
      </c>
      <c r="AA85" s="198" t="str">
        <f ca="1">A87</f>
        <v>Uzbekistán</v>
      </c>
      <c r="AB85" s="486" t="str" cm="1">
        <f t="array" aca="1" ref="AB85" ca="1">Ver_flag_local</f>
        <v>🇺🇿</v>
      </c>
      <c r="AC85" s="199">
        <v>1</v>
      </c>
      <c r="AD85" s="200">
        <v>3</v>
      </c>
      <c r="AE85" s="491" t="str" cm="1">
        <f t="array" aca="1" ref="AE85" ca="1">Ver_flag_visit</f>
        <v>🇨🇴</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 customHeight="1" x14ac:dyDescent="0.2">
      <c r="A86" s="757" t="str">
        <f ca="1">+Equipos!B43</f>
        <v>RD Congo</v>
      </c>
      <c r="B86" s="754"/>
      <c r="C86" s="758"/>
      <c r="D86" s="756" t="str">
        <f t="shared" si="264"/>
        <v>Local</v>
      </c>
      <c r="E86" s="756" t="str">
        <f t="shared" ca="1" si="265"/>
        <v>-</v>
      </c>
      <c r="F86" s="756" t="str">
        <f t="shared" ca="1" si="266"/>
        <v>-</v>
      </c>
      <c r="G86" s="756"/>
      <c r="H86" s="756" t="str">
        <f t="shared" ca="1" si="267"/>
        <v>-</v>
      </c>
      <c r="I86" s="756" t="str">
        <f t="shared" ca="1" si="268"/>
        <v>-</v>
      </c>
      <c r="J86" s="756"/>
      <c r="K86" s="756" t="str">
        <f t="shared" ca="1" si="269"/>
        <v>-</v>
      </c>
      <c r="L86" s="756" t="str">
        <f t="shared" ca="1" si="270"/>
        <v>-</v>
      </c>
      <c r="M86" s="756"/>
      <c r="N86" s="756" t="str">
        <f t="shared" ca="1" si="271"/>
        <v>-</v>
      </c>
      <c r="O86" s="756" t="str">
        <f t="shared" ca="1" si="272"/>
        <v>-</v>
      </c>
      <c r="P86" s="756"/>
      <c r="Q86" s="756" t="str">
        <f t="shared" ca="1" si="273"/>
        <v>-</v>
      </c>
      <c r="R86" s="756" t="str">
        <f t="shared" ca="1" si="274"/>
        <v>-</v>
      </c>
      <c r="S86" s="756"/>
      <c r="T86" s="756" t="str">
        <f t="shared" ca="1" si="275"/>
        <v>-</v>
      </c>
      <c r="U86" s="756" t="str">
        <f t="shared" ca="1" si="276"/>
        <v>-</v>
      </c>
      <c r="V86" s="178"/>
      <c r="W86" s="839"/>
      <c r="X86" s="195">
        <f ca="1">Horarios!C86</f>
        <v>46196.791666666664</v>
      </c>
      <c r="Y86" s="196">
        <f ca="1">Horarios!C86</f>
        <v>46196.791666666664</v>
      </c>
      <c r="Z86" s="197" t="str">
        <f>$Z$6</f>
        <v>J2</v>
      </c>
      <c r="AA86" s="198" t="str">
        <f ca="1">A85</f>
        <v>Portugal</v>
      </c>
      <c r="AB86" s="486" t="str" cm="1">
        <f t="array" aca="1" ref="AB86" ca="1">Ver_flag_local</f>
        <v>🇵🇹</v>
      </c>
      <c r="AC86" s="199">
        <v>5</v>
      </c>
      <c r="AD86" s="200">
        <v>0</v>
      </c>
      <c r="AE86" s="491" t="str" cm="1">
        <f t="array" aca="1" ref="AE86" ca="1">Ver_flag_visit</f>
        <v>🇺🇿</v>
      </c>
      <c r="AF86" s="201" t="str">
        <f ca="1">A87</f>
        <v>Uzbekistán</v>
      </c>
      <c r="AG86" s="421">
        <f t="shared" si="277"/>
        <v>1</v>
      </c>
      <c r="AH86" s="202">
        <v>47</v>
      </c>
      <c r="AI86" s="19" t="str">
        <f>AJ86&amp;$B$84</f>
        <v>1K</v>
      </c>
      <c r="AJ86" s="217">
        <v>1</v>
      </c>
      <c r="AK86" s="496" t="str" cm="1">
        <f t="array" aca="1" ref="AK86" ca="1">Ver_flag_visit</f>
        <v>🇨🇴</v>
      </c>
      <c r="AL86" s="218" t="str">
        <f ca="1">IFERROR(INDEX($BD$6:$BD$53,MATCH(AI86,$BN$6:$BN$53,0)),"")</f>
        <v>Colombia</v>
      </c>
      <c r="AM86" s="219">
        <f t="shared" ref="AM86:AT89" ca="1" si="281">INDEX($BE$6:$BN$53,MATCH($AL86,$BD$6:$BD$53,0),MATCH(AM$5,$BE$5:$BN$5,0))</f>
        <v>7</v>
      </c>
      <c r="AN86" s="220">
        <f t="shared" ca="1" si="281"/>
        <v>3</v>
      </c>
      <c r="AO86" s="220">
        <f t="shared" ca="1" si="281"/>
        <v>2</v>
      </c>
      <c r="AP86" s="220">
        <f t="shared" ca="1" si="281"/>
        <v>1</v>
      </c>
      <c r="AQ86" s="220">
        <f t="shared" ca="1" si="281"/>
        <v>0</v>
      </c>
      <c r="AR86" s="220">
        <f t="shared" ca="1" si="281"/>
        <v>4</v>
      </c>
      <c r="AS86" s="220">
        <f t="shared" ca="1" si="281"/>
        <v>1</v>
      </c>
      <c r="AT86" s="221">
        <f t="shared" ca="1" si="281"/>
        <v>3</v>
      </c>
      <c r="AU86" s="428">
        <f ca="1">INDEX($DL$6:$DL$53,MATCH(AI86,$DP$6:$DP$53,0))</f>
        <v>1</v>
      </c>
      <c r="AV86" s="223" t="str">
        <f ca="1">INDEX($BD$6:$BD$53,MATCH(AI86,$BM$6:$BM$53,0))</f>
        <v>Colombia</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 customHeight="1" x14ac:dyDescent="0.2">
      <c r="A87" s="757" t="str">
        <f ca="1">+Equipos!B44</f>
        <v>Uzbekistán</v>
      </c>
      <c r="B87" s="754"/>
      <c r="C87" s="756"/>
      <c r="D87" s="756" t="str">
        <f t="shared" si="264"/>
        <v>Local</v>
      </c>
      <c r="E87" s="756" t="str">
        <f t="shared" ca="1" si="265"/>
        <v>-</v>
      </c>
      <c r="F87" s="756" t="str">
        <f t="shared" ca="1" si="266"/>
        <v>-</v>
      </c>
      <c r="G87" s="756"/>
      <c r="H87" s="756" t="str">
        <f t="shared" ca="1" si="267"/>
        <v>-</v>
      </c>
      <c r="I87" s="756" t="str">
        <f t="shared" ca="1" si="268"/>
        <v>-</v>
      </c>
      <c r="J87" s="756"/>
      <c r="K87" s="756" t="str">
        <f t="shared" ca="1" si="269"/>
        <v>-</v>
      </c>
      <c r="L87" s="756" t="str">
        <f t="shared" ca="1" si="270"/>
        <v>-</v>
      </c>
      <c r="M87" s="756"/>
      <c r="N87" s="756" t="str">
        <f t="shared" ca="1" si="271"/>
        <v>-</v>
      </c>
      <c r="O87" s="756" t="str">
        <f t="shared" ca="1" si="272"/>
        <v>-</v>
      </c>
      <c r="P87" s="756"/>
      <c r="Q87" s="756" t="str">
        <f t="shared" ca="1" si="273"/>
        <v>-</v>
      </c>
      <c r="R87" s="756" t="str">
        <f t="shared" ca="1" si="274"/>
        <v>-</v>
      </c>
      <c r="S87" s="756"/>
      <c r="T87" s="756" t="str">
        <f t="shared" ca="1" si="275"/>
        <v>-</v>
      </c>
      <c r="U87" s="756" t="str">
        <f t="shared" ca="1" si="276"/>
        <v>-</v>
      </c>
      <c r="V87" s="178"/>
      <c r="W87" s="839"/>
      <c r="X87" s="195">
        <f ca="1">Horarios!C87</f>
        <v>46197.166666666664</v>
      </c>
      <c r="Y87" s="196">
        <f ca="1">Horarios!C87</f>
        <v>46197.166666666664</v>
      </c>
      <c r="Z87" s="197" t="str">
        <f>$Z$6</f>
        <v>J2</v>
      </c>
      <c r="AA87" s="198" t="str">
        <f ca="1">A88</f>
        <v>Colombia</v>
      </c>
      <c r="AB87" s="486" t="str" cm="1">
        <f t="array" aca="1" ref="AB87" ca="1">Ver_flag_local</f>
        <v>🇨🇴</v>
      </c>
      <c r="AC87" s="199">
        <v>1</v>
      </c>
      <c r="AD87" s="200">
        <v>0</v>
      </c>
      <c r="AE87" s="491" t="str" cm="1">
        <f t="array" aca="1" ref="AE87" ca="1">Ver_flag_visit</f>
        <v>🇨🇩</v>
      </c>
      <c r="AF87" s="201" t="str">
        <f ca="1">A86</f>
        <v>RD Congo</v>
      </c>
      <c r="AG87" s="421">
        <f t="shared" si="277"/>
        <v>1</v>
      </c>
      <c r="AH87" s="202">
        <v>48</v>
      </c>
      <c r="AI87" s="19" t="str">
        <f t="shared" ref="AI87:AI89" si="282">AJ87&amp;$B$84</f>
        <v>2K</v>
      </c>
      <c r="AJ87" s="227">
        <v>2</v>
      </c>
      <c r="AK87" s="494" t="str" cm="1">
        <f t="array" aca="1" ref="AK87" ca="1">Ver_flag_visit</f>
        <v>🇵🇹</v>
      </c>
      <c r="AL87" s="228" t="str">
        <f ca="1">IFERROR(INDEX($BD$6:$BD$53,MATCH(AI87,$BN$6:$BN$53,0)),"")</f>
        <v>Portugal</v>
      </c>
      <c r="AM87" s="229">
        <f t="shared" ca="1" si="281"/>
        <v>5</v>
      </c>
      <c r="AN87" s="230">
        <f t="shared" ca="1" si="281"/>
        <v>3</v>
      </c>
      <c r="AO87" s="230">
        <f t="shared" ca="1" si="281"/>
        <v>1</v>
      </c>
      <c r="AP87" s="230">
        <f t="shared" ca="1" si="281"/>
        <v>2</v>
      </c>
      <c r="AQ87" s="230">
        <f t="shared" ca="1" si="281"/>
        <v>0</v>
      </c>
      <c r="AR87" s="230">
        <f t="shared" ca="1" si="281"/>
        <v>6</v>
      </c>
      <c r="AS87" s="230">
        <f t="shared" ca="1" si="281"/>
        <v>1</v>
      </c>
      <c r="AT87" s="231">
        <f t="shared" ca="1" si="281"/>
        <v>5</v>
      </c>
      <c r="AU87" s="428">
        <f ca="1">INDEX($DL$6:$DL$53,MATCH(AI87,$DP$6:$DP$53,0))</f>
        <v>1</v>
      </c>
      <c r="AV87" s="223" t="str">
        <f ca="1">INDEX($BD$6:$BD$53,MATCH(AI87,$BM$6:$BM$53,0))</f>
        <v>Portugal</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 customHeight="1" x14ac:dyDescent="0.2">
      <c r="A88" s="757" t="str">
        <f ca="1">+Equipos!B45</f>
        <v>Colombia</v>
      </c>
      <c r="B88" s="754"/>
      <c r="C88" s="756"/>
      <c r="D88" s="756" t="str">
        <f t="shared" si="264"/>
        <v>Empate</v>
      </c>
      <c r="E88" s="756" t="str">
        <f t="shared" ca="1" si="265"/>
        <v>-</v>
      </c>
      <c r="F88" s="756" t="str">
        <f t="shared" ca="1" si="266"/>
        <v>-</v>
      </c>
      <c r="G88" s="756"/>
      <c r="H88" s="756" t="str">
        <f t="shared" ca="1" si="267"/>
        <v>-</v>
      </c>
      <c r="I88" s="756" t="str">
        <f t="shared" ca="1" si="268"/>
        <v>-</v>
      </c>
      <c r="J88" s="756"/>
      <c r="K88" s="756" t="str">
        <f t="shared" ca="1" si="269"/>
        <v>-</v>
      </c>
      <c r="L88" s="756" t="str">
        <f t="shared" ca="1" si="270"/>
        <v>-</v>
      </c>
      <c r="M88" s="756"/>
      <c r="N88" s="756" t="str">
        <f t="shared" ca="1" si="271"/>
        <v>-</v>
      </c>
      <c r="O88" s="756" t="str">
        <f t="shared" ca="1" si="272"/>
        <v>-</v>
      </c>
      <c r="P88" s="756"/>
      <c r="Q88" s="756" t="str">
        <f t="shared" ca="1" si="273"/>
        <v>-</v>
      </c>
      <c r="R88" s="756" t="str">
        <f t="shared" ca="1" si="274"/>
        <v>-</v>
      </c>
      <c r="S88" s="756"/>
      <c r="T88" s="756" t="str">
        <f t="shared" ca="1" si="275"/>
        <v>-</v>
      </c>
      <c r="U88" s="756" t="str">
        <f t="shared" ca="1" si="276"/>
        <v>-</v>
      </c>
      <c r="V88" s="178"/>
      <c r="W88" s="839"/>
      <c r="X88" s="195">
        <f ca="1">Horarios!C88</f>
        <v>46201.0625</v>
      </c>
      <c r="Y88" s="196">
        <f ca="1">Horarios!C88</f>
        <v>46201.0625</v>
      </c>
      <c r="Z88" s="197" t="str">
        <f>$Z$8</f>
        <v>J3</v>
      </c>
      <c r="AA88" s="198" t="str">
        <f ca="1">A88</f>
        <v>Colombia</v>
      </c>
      <c r="AB88" s="486" t="str" cm="1">
        <f t="array" aca="1" ref="AB88" ca="1">Ver_flag_local</f>
        <v>🇨🇴</v>
      </c>
      <c r="AC88" s="199">
        <v>0</v>
      </c>
      <c r="AD88" s="200">
        <v>0</v>
      </c>
      <c r="AE88" s="491" t="str" cm="1">
        <f t="array" aca="1" ref="AE88" ca="1">Ver_flag_visit</f>
        <v>🇵🇹</v>
      </c>
      <c r="AF88" s="201" t="str">
        <f ca="1">A85</f>
        <v>Portugal</v>
      </c>
      <c r="AG88" s="421">
        <f t="shared" si="277"/>
        <v>1</v>
      </c>
      <c r="AH88" s="202">
        <v>71</v>
      </c>
      <c r="AI88" s="19" t="str">
        <f t="shared" si="282"/>
        <v>3K</v>
      </c>
      <c r="AJ88" s="227">
        <v>3</v>
      </c>
      <c r="AK88" s="494" t="str" cm="1">
        <f t="array" aca="1" ref="AK88" ca="1">Ver_flag_visit</f>
        <v>🇨🇩</v>
      </c>
      <c r="AL88" s="228" t="str">
        <f ca="1">IFERROR(INDEX($BD$6:$BD$53,MATCH(AI88,$BN$6:$BN$53,0)),"")</f>
        <v>RD Congo</v>
      </c>
      <c r="AM88" s="229">
        <f t="shared" ca="1" si="281"/>
        <v>4</v>
      </c>
      <c r="AN88" s="230">
        <f t="shared" ca="1" si="281"/>
        <v>3</v>
      </c>
      <c r="AO88" s="230">
        <f t="shared" ca="1" si="281"/>
        <v>1</v>
      </c>
      <c r="AP88" s="230">
        <f t="shared" ca="1" si="281"/>
        <v>1</v>
      </c>
      <c r="AQ88" s="230">
        <f t="shared" ca="1" si="281"/>
        <v>1</v>
      </c>
      <c r="AR88" s="230">
        <f t="shared" ca="1" si="281"/>
        <v>4</v>
      </c>
      <c r="AS88" s="230">
        <f t="shared" ca="1" si="281"/>
        <v>3</v>
      </c>
      <c r="AT88" s="231">
        <f t="shared" ca="1" si="281"/>
        <v>1</v>
      </c>
      <c r="AU88" s="428">
        <f ca="1">INDEX($DL$6:$DL$53,MATCH(AI88,$DP$6:$DP$53,0))</f>
        <v>1</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 customHeight="1" thickBot="1" x14ac:dyDescent="0.25">
      <c r="A89" s="751"/>
      <c r="B89" s="751"/>
      <c r="C89" s="751"/>
      <c r="D89" s="756" t="str">
        <f t="shared" si="264"/>
        <v>Local</v>
      </c>
      <c r="E89" s="756" t="str">
        <f t="shared" ca="1" si="265"/>
        <v>-</v>
      </c>
      <c r="F89" s="756" t="str">
        <f t="shared" ca="1" si="266"/>
        <v>-</v>
      </c>
      <c r="G89" s="756"/>
      <c r="H89" s="756" t="str">
        <f t="shared" ca="1" si="267"/>
        <v>-</v>
      </c>
      <c r="I89" s="756" t="str">
        <f t="shared" ca="1" si="268"/>
        <v>-</v>
      </c>
      <c r="J89" s="756"/>
      <c r="K89" s="756" t="str">
        <f t="shared" ca="1" si="269"/>
        <v>-</v>
      </c>
      <c r="L89" s="756" t="str">
        <f t="shared" ca="1" si="270"/>
        <v>-</v>
      </c>
      <c r="M89" s="756"/>
      <c r="N89" s="756" t="str">
        <f t="shared" ca="1" si="271"/>
        <v>-</v>
      </c>
      <c r="O89" s="756" t="str">
        <f t="shared" ca="1" si="272"/>
        <v>-</v>
      </c>
      <c r="P89" s="756"/>
      <c r="Q89" s="756" t="str">
        <f t="shared" ca="1" si="273"/>
        <v>-</v>
      </c>
      <c r="R89" s="756" t="str">
        <f t="shared" ca="1" si="274"/>
        <v>-</v>
      </c>
      <c r="S89" s="756"/>
      <c r="T89" s="756" t="str">
        <f t="shared" ca="1" si="275"/>
        <v>-</v>
      </c>
      <c r="U89" s="756" t="str">
        <f t="shared" ca="1" si="276"/>
        <v>-</v>
      </c>
      <c r="V89" s="178"/>
      <c r="W89" s="840"/>
      <c r="X89" s="234">
        <f ca="1">Horarios!C89</f>
        <v>46201.0625</v>
      </c>
      <c r="Y89" s="235">
        <f ca="1">Horarios!C89</f>
        <v>46201.0625</v>
      </c>
      <c r="Z89" s="236" t="str">
        <f>$Z$8</f>
        <v>J3</v>
      </c>
      <c r="AA89" s="237" t="str">
        <f ca="1">A86</f>
        <v>RD Congo</v>
      </c>
      <c r="AB89" s="487" t="str" cm="1">
        <f t="array" aca="1" ref="AB89" ca="1">Ver_flag_local</f>
        <v>🇨🇩</v>
      </c>
      <c r="AC89" s="238">
        <v>3</v>
      </c>
      <c r="AD89" s="239">
        <v>1</v>
      </c>
      <c r="AE89" s="492" t="str" cm="1">
        <f t="array" aca="1" ref="AE89" ca="1">Ver_flag_visit</f>
        <v>🇺🇿</v>
      </c>
      <c r="AF89" s="240" t="str">
        <f ca="1">A87</f>
        <v>Uzbekistán</v>
      </c>
      <c r="AG89" s="421">
        <f t="shared" si="277"/>
        <v>1</v>
      </c>
      <c r="AH89" s="202">
        <v>72</v>
      </c>
      <c r="AI89" s="19" t="str">
        <f t="shared" si="282"/>
        <v>4K</v>
      </c>
      <c r="AJ89" s="241">
        <v>4</v>
      </c>
      <c r="AK89" s="495" t="str" cm="1">
        <f t="array" aca="1" ref="AK89" ca="1">Ver_flag_visit</f>
        <v>🇺🇿</v>
      </c>
      <c r="AL89" s="242" t="str">
        <f ca="1">IFERROR(INDEX($BD$6:$BD$53,MATCH(AI89,$BN$6:$BN$53,0)),"")</f>
        <v>Uzbekistán</v>
      </c>
      <c r="AM89" s="243">
        <f t="shared" ca="1" si="281"/>
        <v>0</v>
      </c>
      <c r="AN89" s="244">
        <f t="shared" ca="1" si="281"/>
        <v>3</v>
      </c>
      <c r="AO89" s="244">
        <f t="shared" ca="1" si="281"/>
        <v>0</v>
      </c>
      <c r="AP89" s="244">
        <f t="shared" ca="1" si="281"/>
        <v>0</v>
      </c>
      <c r="AQ89" s="244">
        <f t="shared" ca="1" si="281"/>
        <v>3</v>
      </c>
      <c r="AR89" s="244">
        <f t="shared" ca="1" si="281"/>
        <v>2</v>
      </c>
      <c r="AS89" s="244">
        <f t="shared" ca="1" si="281"/>
        <v>11</v>
      </c>
      <c r="AT89" s="245">
        <f t="shared" ca="1" si="281"/>
        <v>-9</v>
      </c>
      <c r="AU89" s="428">
        <f ca="1">INDEX($DL$6:$DL$53,MATCH(AI89,$DP$6:$DP$53,0))</f>
        <v>1</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6" thickBot="1" x14ac:dyDescent="0.25">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6" thickBot="1" x14ac:dyDescent="0.25">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x14ac:dyDescent="0.25">
      <c r="A92" s="753" t="s">
        <v>30</v>
      </c>
      <c r="B92" s="754" t="s">
        <v>238</v>
      </c>
      <c r="C92" s="755">
        <f>COUNTIF(Equipos!$C$2:$C$49,WORLDCUP!B92)</f>
        <v>4</v>
      </c>
      <c r="D92" s="756" t="str">
        <f t="shared" ref="D92:D97" si="283">IF(OR(AC92="",AD92=""),"Pendiente",IF(AC92&gt;AD92,"Local",IF(AC92&lt;AD92,"Visitante","Empate")))</f>
        <v>Local</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35" t="s">
        <v>238</v>
      </c>
      <c r="X92" s="195">
        <f ca="1">Horarios!C92</f>
        <v>46190.916666666664</v>
      </c>
      <c r="Y92" s="196">
        <f ca="1">Horarios!C92</f>
        <v>46190.916666666664</v>
      </c>
      <c r="Z92" s="197" t="str">
        <f>$Z$4</f>
        <v>J1</v>
      </c>
      <c r="AA92" s="198" t="str">
        <f ca="1">A93</f>
        <v>Inglaterra</v>
      </c>
      <c r="AB92" s="486" t="str" cm="1">
        <f t="array" aca="1" ref="AB92" ca="1">Ver_flag_local</f>
        <v>🏴󠁧󠁢󠁥󠁮󠁧󠁿</v>
      </c>
      <c r="AC92" s="199">
        <v>4</v>
      </c>
      <c r="AD92" s="200">
        <v>2</v>
      </c>
      <c r="AE92" s="491" t="str" cm="1">
        <f t="array" aca="1" ref="AE92" ca="1">Ver_flag_visit</f>
        <v>🇭🇷</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 customHeight="1" x14ac:dyDescent="0.2">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35"/>
      <c r="X93" s="195">
        <f ca="1">Horarios!C93</f>
        <v>46191.041666666664</v>
      </c>
      <c r="Y93" s="196">
        <f ca="1">Horarios!C93</f>
        <v>46191.041666666664</v>
      </c>
      <c r="Z93" s="197" t="str">
        <f>$Z$4</f>
        <v>J1</v>
      </c>
      <c r="AA93" s="198" t="str">
        <f ca="1">A95</f>
        <v>Ghana</v>
      </c>
      <c r="AB93" s="486" t="str" cm="1">
        <f t="array" aca="1" ref="AB93" ca="1">Ver_flag_local</f>
        <v>🇬🇭</v>
      </c>
      <c r="AC93" s="199">
        <v>1</v>
      </c>
      <c r="AD93" s="200">
        <v>0</v>
      </c>
      <c r="AE93" s="491" t="str" cm="1">
        <f t="array" aca="1" ref="AE93" ca="1">Ver_flag_visit</f>
        <v>🇵🇦</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 customHeight="1" x14ac:dyDescent="0.2">
      <c r="A94" s="757" t="str">
        <f ca="1">+Equipos!B47</f>
        <v>Croacia</v>
      </c>
      <c r="B94" s="754"/>
      <c r="C94" s="758"/>
      <c r="D94" s="756" t="str">
        <f t="shared" si="283"/>
        <v>Empate</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35"/>
      <c r="X94" s="195">
        <f ca="1">Horarios!C94</f>
        <v>46196.916666666664</v>
      </c>
      <c r="Y94" s="196">
        <f ca="1">Horarios!C94</f>
        <v>46196.916666666664</v>
      </c>
      <c r="Z94" s="197" t="str">
        <f>$Z$6</f>
        <v>J2</v>
      </c>
      <c r="AA94" s="198" t="str">
        <f ca="1">A93</f>
        <v>Inglaterra</v>
      </c>
      <c r="AB94" s="486" t="str" cm="1">
        <f t="array" aca="1" ref="AB94" ca="1">Ver_flag_local</f>
        <v>🏴󠁧󠁢󠁥󠁮󠁧󠁿</v>
      </c>
      <c r="AC94" s="199">
        <v>0</v>
      </c>
      <c r="AD94" s="200">
        <v>0</v>
      </c>
      <c r="AE94" s="491" t="str" cm="1">
        <f t="array" aca="1" ref="AE94" ca="1">Ver_flag_visit</f>
        <v>🇬🇭</v>
      </c>
      <c r="AF94" s="201" t="str">
        <f ca="1">A95</f>
        <v>Ghana</v>
      </c>
      <c r="AG94" s="421">
        <f t="shared" si="296"/>
        <v>1</v>
      </c>
      <c r="AH94" s="202">
        <v>45</v>
      </c>
      <c r="AI94" s="19" t="str">
        <f>AJ94&amp;$B$92</f>
        <v>1L</v>
      </c>
      <c r="AJ94" s="217">
        <v>1</v>
      </c>
      <c r="AK94" s="496" t="str" cm="1">
        <f t="array" aca="1" ref="AK94" ca="1">Ver_flag_visit</f>
        <v>🏴󠁧󠁢󠁥󠁮󠁧󠁿</v>
      </c>
      <c r="AL94" s="218" t="str">
        <f ca="1">IFERROR(INDEX($BD$6:$BD$53,MATCH(AI94,$BN$6:$BN$53,0)),"")</f>
        <v>Inglaterra</v>
      </c>
      <c r="AM94" s="219">
        <f t="shared" ref="AM94:AT97" ca="1" si="300">INDEX($BE$6:$BN$53,MATCH($AL94,$BD$6:$BD$53,0),MATCH(AM$5,$BE$5:$BN$5,0))</f>
        <v>7</v>
      </c>
      <c r="AN94" s="220">
        <f t="shared" ca="1" si="300"/>
        <v>3</v>
      </c>
      <c r="AO94" s="220">
        <f t="shared" ca="1" si="300"/>
        <v>2</v>
      </c>
      <c r="AP94" s="220">
        <f t="shared" ca="1" si="300"/>
        <v>1</v>
      </c>
      <c r="AQ94" s="220">
        <f t="shared" ca="1" si="300"/>
        <v>0</v>
      </c>
      <c r="AR94" s="220">
        <f t="shared" ca="1" si="300"/>
        <v>6</v>
      </c>
      <c r="AS94" s="220">
        <f t="shared" ca="1" si="300"/>
        <v>2</v>
      </c>
      <c r="AT94" s="221">
        <f t="shared" ca="1" si="300"/>
        <v>4</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 customHeight="1" x14ac:dyDescent="0.2">
      <c r="A95" s="757" t="str">
        <f ca="1">+Equipos!B48</f>
        <v>Ghana</v>
      </c>
      <c r="B95" s="754"/>
      <c r="C95" s="756"/>
      <c r="D95" s="756" t="str">
        <f t="shared" si="283"/>
        <v>Visitante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35"/>
      <c r="X95" s="195">
        <f ca="1">Horarios!C95</f>
        <v>46197.041666666664</v>
      </c>
      <c r="Y95" s="196">
        <f ca="1">Horarios!C95</f>
        <v>46197.041666666664</v>
      </c>
      <c r="Z95" s="197" t="str">
        <f>$Z$6</f>
        <v>J2</v>
      </c>
      <c r="AA95" s="198" t="str">
        <f ca="1">A96</f>
        <v>Panamá</v>
      </c>
      <c r="AB95" s="486" t="str" cm="1">
        <f t="array" aca="1" ref="AB95" ca="1">Ver_flag_local</f>
        <v>🇵🇦</v>
      </c>
      <c r="AC95" s="199">
        <v>1</v>
      </c>
      <c r="AD95" s="200">
        <v>2</v>
      </c>
      <c r="AE95" s="491" t="str" cm="1">
        <f t="array" aca="1" ref="AE95" ca="1">Ver_flag_visit</f>
        <v>🇭🇷</v>
      </c>
      <c r="AF95" s="201" t="str">
        <f ca="1">A94</f>
        <v>Croacia</v>
      </c>
      <c r="AG95" s="421">
        <f t="shared" si="296"/>
        <v>1</v>
      </c>
      <c r="AH95" s="202">
        <v>46</v>
      </c>
      <c r="AI95" s="19" t="str">
        <f t="shared" ref="AI95:AI97" si="301">AJ95&amp;$B$92</f>
        <v>2L</v>
      </c>
      <c r="AJ95" s="227">
        <v>2</v>
      </c>
      <c r="AK95" s="494" t="str" cm="1">
        <f t="array" aca="1" ref="AK95" ca="1">Ver_flag_visit</f>
        <v>🇭🇷</v>
      </c>
      <c r="AL95" s="228" t="str">
        <f ca="1">IFERROR(INDEX($BD$6:$BD$53,MATCH(AI95,$BN$6:$BN$53,0)),"")</f>
        <v>Croacia</v>
      </c>
      <c r="AM95" s="229">
        <f t="shared" ca="1" si="300"/>
        <v>6</v>
      </c>
      <c r="AN95" s="230">
        <f t="shared" ca="1" si="300"/>
        <v>3</v>
      </c>
      <c r="AO95" s="230">
        <f t="shared" ca="1" si="300"/>
        <v>2</v>
      </c>
      <c r="AP95" s="230">
        <f t="shared" ca="1" si="300"/>
        <v>0</v>
      </c>
      <c r="AQ95" s="230">
        <f t="shared" ca="1" si="300"/>
        <v>1</v>
      </c>
      <c r="AR95" s="230">
        <f t="shared" ca="1" si="300"/>
        <v>6</v>
      </c>
      <c r="AS95" s="230">
        <f t="shared" ca="1" si="300"/>
        <v>6</v>
      </c>
      <c r="AT95" s="231">
        <f t="shared" ca="1" si="300"/>
        <v>0</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 customHeight="1" x14ac:dyDescent="0.2">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35"/>
      <c r="X96" s="195">
        <f ca="1">Horarios!C96</f>
        <v>46200.958333333336</v>
      </c>
      <c r="Y96" s="196">
        <f ca="1">Horarios!C96</f>
        <v>46200.958333333336</v>
      </c>
      <c r="Z96" s="197" t="str">
        <f>$Z$8</f>
        <v>J3</v>
      </c>
      <c r="AA96" s="198" t="str">
        <f ca="1">A96</f>
        <v>Panamá</v>
      </c>
      <c r="AB96" s="486" t="str" cm="1">
        <f t="array" aca="1" ref="AB96" ca="1">Ver_flag_local</f>
        <v>🇵🇦</v>
      </c>
      <c r="AC96" s="199">
        <v>0</v>
      </c>
      <c r="AD96" s="200">
        <v>2</v>
      </c>
      <c r="AE96" s="491" t="str" cm="1">
        <f t="array" aca="1" ref="AE96" ca="1">Ver_flag_visit</f>
        <v>🏴󠁧󠁢󠁥󠁮󠁧󠁿</v>
      </c>
      <c r="AF96" s="201" t="str">
        <f ca="1">A93</f>
        <v>Inglaterra</v>
      </c>
      <c r="AG96" s="421">
        <f t="shared" si="296"/>
        <v>1</v>
      </c>
      <c r="AH96" s="202">
        <v>67</v>
      </c>
      <c r="AI96" s="19" t="str">
        <f t="shared" si="301"/>
        <v>3L</v>
      </c>
      <c r="AJ96" s="227">
        <v>3</v>
      </c>
      <c r="AK96" s="494" t="str" cm="1">
        <f t="array" aca="1" ref="AK96" ca="1">Ver_flag_visit</f>
        <v>🇬🇭</v>
      </c>
      <c r="AL96" s="228" t="str">
        <f ca="1">IFERROR(INDEX($BD$6:$BD$53,MATCH(AI96,$BN$6:$BN$53,0)),"")</f>
        <v>Ghana</v>
      </c>
      <c r="AM96" s="229">
        <f t="shared" ca="1" si="300"/>
        <v>4</v>
      </c>
      <c r="AN96" s="230">
        <f t="shared" ca="1" si="300"/>
        <v>3</v>
      </c>
      <c r="AO96" s="230">
        <f t="shared" ca="1" si="300"/>
        <v>1</v>
      </c>
      <c r="AP96" s="230">
        <f t="shared" ca="1" si="300"/>
        <v>1</v>
      </c>
      <c r="AQ96" s="230">
        <f t="shared" ca="1" si="300"/>
        <v>1</v>
      </c>
      <c r="AR96" s="230">
        <f t="shared" ca="1" si="300"/>
        <v>2</v>
      </c>
      <c r="AS96" s="230">
        <f t="shared" ca="1" si="300"/>
        <v>2</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 customHeight="1" thickBot="1" x14ac:dyDescent="0.25">
      <c r="A97" s="751"/>
      <c r="B97" s="751"/>
      <c r="C97" s="751"/>
      <c r="D97" s="756" t="str">
        <f t="shared" si="283"/>
        <v>Local</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36"/>
      <c r="X97" s="234">
        <f ca="1">Horarios!C97</f>
        <v>46200.958333333336</v>
      </c>
      <c r="Y97" s="235">
        <f ca="1">Horarios!C97</f>
        <v>46200.958333333336</v>
      </c>
      <c r="Z97" s="236" t="str">
        <f>$Z$8</f>
        <v>J3</v>
      </c>
      <c r="AA97" s="237" t="str">
        <f ca="1">A94</f>
        <v>Croacia</v>
      </c>
      <c r="AB97" s="487" t="str" cm="1">
        <f t="array" aca="1" ref="AB97" ca="1">Ver_flag_local</f>
        <v>🇭🇷</v>
      </c>
      <c r="AC97" s="238">
        <v>2</v>
      </c>
      <c r="AD97" s="239">
        <v>1</v>
      </c>
      <c r="AE97" s="492" t="str" cm="1">
        <f t="array" aca="1" ref="AE97" ca="1">Ver_flag_visit</f>
        <v>🇬🇭</v>
      </c>
      <c r="AF97" s="240" t="str">
        <f ca="1">A95</f>
        <v>Ghana</v>
      </c>
      <c r="AG97" s="421">
        <f t="shared" si="296"/>
        <v>1</v>
      </c>
      <c r="AH97" s="202">
        <v>68</v>
      </c>
      <c r="AI97" s="19" t="str">
        <f t="shared" si="301"/>
        <v>4L</v>
      </c>
      <c r="AJ97" s="241">
        <v>4</v>
      </c>
      <c r="AK97" s="495" t="str" cm="1">
        <f t="array" aca="1" ref="AK97" ca="1">Ver_flag_visit</f>
        <v>🇵🇦</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1</v>
      </c>
      <c r="AS97" s="244">
        <f t="shared" ca="1" si="300"/>
        <v>5</v>
      </c>
      <c r="AT97" s="245">
        <f t="shared" ca="1" si="300"/>
        <v>-4</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6" thickBot="1" x14ac:dyDescent="0.25">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6" thickBot="1" x14ac:dyDescent="0.25">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 customHeight="1" x14ac:dyDescent="0.2">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 customHeight="1" thickBot="1" x14ac:dyDescent="0.25">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Canadá</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Sudáfrica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50"/>
      <c r="P101" s="750"/>
      <c r="Q101" s="750"/>
      <c r="R101" s="750"/>
      <c r="S101" s="750"/>
      <c r="T101" s="750"/>
      <c r="U101" s="750"/>
      <c r="V101" s="178"/>
      <c r="W101" s="841" t="s">
        <v>483</v>
      </c>
      <c r="X101" s="195">
        <f ca="1">Horarios!C101</f>
        <v>46201.875</v>
      </c>
      <c r="Y101" s="196">
        <f ca="1">Horarios!C101</f>
        <v>46201.875</v>
      </c>
      <c r="Z101" s="282">
        <f>AH101</f>
        <v>73</v>
      </c>
      <c r="AA101" s="283" t="str">
        <f t="shared" ref="AA101:AA116" ca="1" si="305">+INDEX($M$101:$M$147,MATCH(AH101,$J$101:$J$147,0))</f>
        <v>Sudáfrica</v>
      </c>
      <c r="AB101" s="284"/>
      <c r="AC101" s="200">
        <v>0</v>
      </c>
      <c r="AD101" s="200">
        <v>1</v>
      </c>
      <c r="AE101" s="285"/>
      <c r="AF101" s="286" t="str">
        <f t="shared" ref="AF101:AF116" ca="1" si="306">+INDEX($N$101:$N$147,MATCH(AH101,$J$101:$J$147,0))</f>
        <v>Canadá</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2</v>
      </c>
      <c r="AV101" s="22"/>
      <c r="AW101" s="437"/>
      <c r="AX101" s="280"/>
      <c r="AY101" s="431" t="str">
        <f ca="1">+IF(OR($H$113&gt;=48,$AJ$99=144),Idiomas!D70,"")</f>
        <v xml:space="preserve">Grupos mejores 3ºs: </v>
      </c>
      <c r="AZ101" s="432" t="str">
        <f ca="1">+IF(OR($H$113&gt;=48,$AJ$99=144),BI112,"")</f>
        <v>BDEFIJKL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Sudáfrica-Canadá</v>
      </c>
      <c r="DU101" s="756"/>
      <c r="DV101" s="756"/>
      <c r="DW101" s="8"/>
    </row>
    <row r="102" spans="1:127" ht="16" customHeight="1" x14ac:dyDescent="0.2">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Paraguay</v>
      </c>
      <c r="O102" s="750"/>
      <c r="P102" s="750"/>
      <c r="Q102" s="750"/>
      <c r="R102" s="750"/>
      <c r="S102" s="750"/>
      <c r="T102" s="750"/>
      <c r="U102" s="750"/>
      <c r="V102" s="178"/>
      <c r="W102" s="841"/>
      <c r="X102" s="195">
        <f ca="1">Horarios!C102</f>
        <v>46202.791666666664</v>
      </c>
      <c r="Y102" s="196">
        <f ca="1">Horarios!C102</f>
        <v>46202.791666666664</v>
      </c>
      <c r="Z102" s="282">
        <f t="shared" ref="Z102:Z116" si="309">AH102</f>
        <v>76</v>
      </c>
      <c r="AA102" s="283" t="str">
        <f t="shared" ca="1" si="305"/>
        <v>Brasil</v>
      </c>
      <c r="AB102" s="284"/>
      <c r="AC102" s="287">
        <v>2</v>
      </c>
      <c r="AD102" s="287">
        <v>1</v>
      </c>
      <c r="AE102" s="284"/>
      <c r="AF102" s="286" t="str">
        <f t="shared" ca="1" si="306"/>
        <v>Japón</v>
      </c>
      <c r="AG102" s="425">
        <f t="shared" ca="1" si="307"/>
        <v>1</v>
      </c>
      <c r="AH102" s="202">
        <v>76</v>
      </c>
      <c r="AI102" s="223">
        <v>1</v>
      </c>
      <c r="AJ102" s="288">
        <v>1</v>
      </c>
      <c r="AK102" s="493" t="str" cm="1">
        <f t="array" aca="1" ref="AK102" ca="1">Ver_flag_visit</f>
        <v>🇨🇩</v>
      </c>
      <c r="AL102" s="289" t="str">
        <f t="shared" ref="AL102:AL113" ca="1" si="310">+IF($H$113&gt;=48,INDEX($BD$58:$BD$69,MATCH(AI102,$BN$58:$BN$69,0)),BB58)</f>
        <v>RD Congo</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4</v>
      </c>
      <c r="AS102" s="292">
        <f t="shared" ca="1" si="311"/>
        <v>3</v>
      </c>
      <c r="AT102" s="293">
        <f t="shared" ca="1" si="311"/>
        <v>1</v>
      </c>
      <c r="AU102" s="428">
        <f t="shared" ref="AU102:AU113" ca="1" si="312">IF($H$113=144,INDEX($DL$58:$DL$69,MATCH(AI102,$DP$58:$DP$69,0)),"")</f>
        <v>1</v>
      </c>
      <c r="AV102" s="223" t="str">
        <f t="shared" ref="AV102:AV113" ca="1" si="313">INDEX($BD$58:$BD$69,MATCH(AI102,$BM$58:$BM$69,0))</f>
        <v>RD Congo</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Brasil-Japón</v>
      </c>
      <c r="DU102" s="750"/>
      <c r="DV102" s="750"/>
      <c r="DW102" s="11"/>
    </row>
    <row r="103" spans="1:127" ht="16" customHeight="1" x14ac:dyDescent="0.2">
      <c r="A103" s="750" t="s">
        <v>664</v>
      </c>
      <c r="B103" s="750" t="s">
        <v>656</v>
      </c>
      <c r="C103" s="751"/>
      <c r="D103" s="759" t="str">
        <f t="shared" ca="1" si="302"/>
        <v>Paraguay</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41"/>
      <c r="X103" s="195">
        <f ca="1">Horarios!C103</f>
        <v>46202.9375</v>
      </c>
      <c r="Y103" s="196">
        <f ca="1">Horarios!C103</f>
        <v>46202.9375</v>
      </c>
      <c r="Z103" s="282">
        <f t="shared" si="309"/>
        <v>74</v>
      </c>
      <c r="AA103" s="283" t="str">
        <f t="shared" ca="1" si="305"/>
        <v>Alemania</v>
      </c>
      <c r="AB103" s="284">
        <v>3</v>
      </c>
      <c r="AC103" s="287">
        <v>1</v>
      </c>
      <c r="AD103" s="287">
        <v>1</v>
      </c>
      <c r="AE103" s="284">
        <v>4</v>
      </c>
      <c r="AF103" s="286" t="str">
        <f t="shared" ca="1" si="306"/>
        <v>Paraguay</v>
      </c>
      <c r="AG103" s="425">
        <f t="shared" ca="1" si="307"/>
        <v>1</v>
      </c>
      <c r="AH103" s="202">
        <v>74</v>
      </c>
      <c r="AI103" s="223">
        <v>2</v>
      </c>
      <c r="AJ103" s="227">
        <v>2</v>
      </c>
      <c r="AK103" s="494" t="str" cm="1">
        <f t="array" aca="1" ref="AK103" ca="1">Ver_flag_visit</f>
        <v>🇸🇪</v>
      </c>
      <c r="AL103" s="295" t="str">
        <f t="shared" ca="1" si="310"/>
        <v>Suecia</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7</v>
      </c>
      <c r="AS103" s="297">
        <f t="shared" ca="1" si="314"/>
        <v>7</v>
      </c>
      <c r="AT103" s="298">
        <f t="shared" ca="1" si="314"/>
        <v>0</v>
      </c>
      <c r="AU103" s="428">
        <f t="shared" ca="1" si="312"/>
        <v>1</v>
      </c>
      <c r="AV103" s="223" t="str">
        <f t="shared" ca="1" si="313"/>
        <v>Suecia</v>
      </c>
      <c r="AW103" s="435"/>
      <c r="AX103" s="294"/>
      <c r="AY103" s="299"/>
      <c r="AZ103" s="300" t="str">
        <f t="shared" ref="AZ103:AZ110" ca="1" si="315">+IF(OR($H$113&gt;=48,$AJ$99=144),BF117&amp;" - "&amp;BG117,"")</f>
        <v>1A - 3E</v>
      </c>
      <c r="BA103" s="181"/>
      <c r="BB103" s="750"/>
      <c r="BC103" s="756"/>
      <c r="BD103" s="750"/>
      <c r="BE103" s="750"/>
      <c r="BF103" s="750" t="str">
        <f t="shared" ref="BF103:BF110" ca="1" si="316">IFERROR(INDEX($BC$6:$BC$53,MATCH(AL102,$BD$6:$BD$53,0)),"")</f>
        <v>K</v>
      </c>
      <c r="BG103" s="750">
        <f t="shared" ref="BG103:BG110" ca="1" si="317">COUNTIF($BF$103:$BF$110,"&lt;="&amp;BF103)</f>
        <v>7</v>
      </c>
      <c r="BH103" s="750"/>
      <c r="BI103" s="756">
        <v>1</v>
      </c>
      <c r="BJ103" s="750" t="str">
        <f t="shared" ref="BJ103:BJ110" ca="1" si="318">IFERROR(INDEX($BF$103:$BF$110,MATCH(BI103,$BG$103:$BG$110,0)),"Grupo")</f>
        <v>B</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Alemania-Paraguay</v>
      </c>
      <c r="DU103" s="750"/>
      <c r="DV103" s="750"/>
      <c r="DW103" s="11"/>
    </row>
    <row r="104" spans="1:127" ht="16" customHeight="1" x14ac:dyDescent="0.2">
      <c r="A104" s="750" t="s">
        <v>651</v>
      </c>
      <c r="B104" s="750" t="s">
        <v>665</v>
      </c>
      <c r="C104" s="751"/>
      <c r="D104" s="759" t="str">
        <f t="shared" ca="1" si="302"/>
        <v>Marruecos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50"/>
      <c r="P104" s="750"/>
      <c r="Q104" s="750"/>
      <c r="R104" s="750"/>
      <c r="S104" s="750"/>
      <c r="T104" s="750"/>
      <c r="U104" s="750"/>
      <c r="V104" s="178"/>
      <c r="W104" s="841"/>
      <c r="X104" s="195">
        <f ca="1">Horarios!C104</f>
        <v>46203.125</v>
      </c>
      <c r="Y104" s="196">
        <f ca="1">Horarios!C104</f>
        <v>46203.125</v>
      </c>
      <c r="Z104" s="282">
        <f t="shared" si="309"/>
        <v>75</v>
      </c>
      <c r="AA104" s="283" t="str">
        <f t="shared" ca="1" si="305"/>
        <v>Países Bajos</v>
      </c>
      <c r="AB104" s="284">
        <v>2</v>
      </c>
      <c r="AC104" s="287">
        <v>1</v>
      </c>
      <c r="AD104" s="287">
        <v>1</v>
      </c>
      <c r="AE104" s="284">
        <v>3</v>
      </c>
      <c r="AF104" s="286" t="str">
        <f t="shared" ca="1" si="306"/>
        <v>Marruecos</v>
      </c>
      <c r="AG104" s="425">
        <f t="shared" ca="1" si="307"/>
        <v>1</v>
      </c>
      <c r="AH104" s="202">
        <v>75</v>
      </c>
      <c r="AI104" s="223">
        <v>3</v>
      </c>
      <c r="AJ104" s="227">
        <v>3</v>
      </c>
      <c r="AK104" s="494" t="str" cm="1">
        <f t="array" aca="1" ref="AK104" ca="1">Ver_flag_visit</f>
        <v>🇬🇭</v>
      </c>
      <c r="AL104" s="295" t="str">
        <f t="shared" ca="1" si="310"/>
        <v>Ghana</v>
      </c>
      <c r="AM104" s="296">
        <f t="shared" ref="AM104:AT104" ca="1" si="319">+IF($H$113&gt;=48,INDEX($BE$58:$BN$69,MATCH($AL104,$BD$58:$BD$69,0),MATCH(AM$5,$BE$57:$BN$57,0)),$BB60)</f>
        <v>4</v>
      </c>
      <c r="AN104" s="297">
        <f t="shared" ca="1" si="319"/>
        <v>3</v>
      </c>
      <c r="AO104" s="297">
        <f t="shared" ca="1" si="319"/>
        <v>1</v>
      </c>
      <c r="AP104" s="297">
        <f t="shared" ca="1" si="319"/>
        <v>1</v>
      </c>
      <c r="AQ104" s="297">
        <f t="shared" ca="1" si="319"/>
        <v>1</v>
      </c>
      <c r="AR104" s="297">
        <f t="shared" ca="1" si="319"/>
        <v>2</v>
      </c>
      <c r="AS104" s="297">
        <f t="shared" ca="1" si="319"/>
        <v>2</v>
      </c>
      <c r="AT104" s="298">
        <f t="shared" ca="1" si="319"/>
        <v>0</v>
      </c>
      <c r="AU104" s="428">
        <f t="shared" ca="1" si="312"/>
        <v>2</v>
      </c>
      <c r="AV104" s="223" t="str">
        <f t="shared" ca="1" si="313"/>
        <v>Ecuador</v>
      </c>
      <c r="AW104" s="435">
        <v>4</v>
      </c>
      <c r="AX104" s="294"/>
      <c r="AY104" s="299"/>
      <c r="AZ104" s="300" t="str">
        <f t="shared" ca="1" si="315"/>
        <v>1B - 3J</v>
      </c>
      <c r="BA104" s="181"/>
      <c r="BB104" s="750"/>
      <c r="BC104" s="756"/>
      <c r="BD104" s="750"/>
      <c r="BE104" s="750"/>
      <c r="BF104" s="750" t="str">
        <f t="shared" ca="1" si="316"/>
        <v>F</v>
      </c>
      <c r="BG104" s="750">
        <f t="shared" ca="1" si="317"/>
        <v>4</v>
      </c>
      <c r="BH104" s="750"/>
      <c r="BI104" s="756">
        <v>2</v>
      </c>
      <c r="BJ104" s="750" t="str">
        <f t="shared" ca="1" si="318"/>
        <v>D</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Bajos-Marruecos</v>
      </c>
      <c r="DU104" s="750"/>
      <c r="DV104" s="750"/>
      <c r="DW104" s="11"/>
    </row>
    <row r="105" spans="1:127" ht="16" customHeight="1" x14ac:dyDescent="0.2">
      <c r="A105" s="750" t="s">
        <v>673</v>
      </c>
      <c r="B105" s="750" t="s">
        <v>723</v>
      </c>
      <c r="C105" s="751"/>
      <c r="D105" s="759" t="str">
        <f t="shared" ca="1" si="302"/>
        <v>Noruega</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750"/>
      <c r="P105" s="750"/>
      <c r="Q105" s="750"/>
      <c r="R105" s="750"/>
      <c r="S105" s="750"/>
      <c r="T105" s="750"/>
      <c r="U105" s="750"/>
      <c r="V105" s="178"/>
      <c r="W105" s="841"/>
      <c r="X105" s="195">
        <f ca="1">Horarios!C105</f>
        <v>46203.791666666664</v>
      </c>
      <c r="Y105" s="196">
        <f ca="1">Horarios!C105</f>
        <v>46203.791666666664</v>
      </c>
      <c r="Z105" s="282">
        <f t="shared" si="309"/>
        <v>78</v>
      </c>
      <c r="AA105" s="283" t="str">
        <f t="shared" ca="1" si="305"/>
        <v>Costa de Marfil</v>
      </c>
      <c r="AB105" s="284"/>
      <c r="AC105" s="287">
        <v>1</v>
      </c>
      <c r="AD105" s="287">
        <v>2</v>
      </c>
      <c r="AE105" s="284"/>
      <c r="AF105" s="286" t="str">
        <f t="shared" ca="1" si="306"/>
        <v>Noruega</v>
      </c>
      <c r="AG105" s="425">
        <f t="shared" ca="1" si="307"/>
        <v>1</v>
      </c>
      <c r="AH105" s="202">
        <v>78</v>
      </c>
      <c r="AI105" s="223">
        <v>4</v>
      </c>
      <c r="AJ105" s="227">
        <v>4</v>
      </c>
      <c r="AK105" s="494" t="str" cm="1">
        <f t="array" aca="1" ref="AK105" ca="1">Ver_flag_visit</f>
        <v>🇪🇨</v>
      </c>
      <c r="AL105" s="295" t="str">
        <f t="shared" ca="1" si="310"/>
        <v>Ecuador</v>
      </c>
      <c r="AM105" s="296">
        <f t="shared" ref="AM105:AT105" ca="1" si="320">+IF($H$113&gt;=48,INDEX($BE$58:$BN$69,MATCH($AL105,$BD$58:$BD$69,0),MATCH(AM$5,$BE$57:$BN$57,0)),$BB61)</f>
        <v>4</v>
      </c>
      <c r="AN105" s="297">
        <f t="shared" ca="1" si="320"/>
        <v>3</v>
      </c>
      <c r="AO105" s="297">
        <f t="shared" ca="1" si="320"/>
        <v>1</v>
      </c>
      <c r="AP105" s="297">
        <f t="shared" ca="1" si="320"/>
        <v>1</v>
      </c>
      <c r="AQ105" s="297">
        <f t="shared" ca="1" si="320"/>
        <v>1</v>
      </c>
      <c r="AR105" s="297">
        <f t="shared" ca="1" si="320"/>
        <v>2</v>
      </c>
      <c r="AS105" s="297">
        <f t="shared" ca="1" si="320"/>
        <v>2</v>
      </c>
      <c r="AT105" s="298">
        <f t="shared" ca="1" si="320"/>
        <v>0</v>
      </c>
      <c r="AU105" s="428">
        <f t="shared" ca="1" si="312"/>
        <v>2</v>
      </c>
      <c r="AV105" s="223" t="str">
        <f t="shared" ca="1" si="313"/>
        <v>Ghana</v>
      </c>
      <c r="AW105" s="435">
        <v>3</v>
      </c>
      <c r="AX105" s="294"/>
      <c r="AY105" s="299"/>
      <c r="AZ105" s="300" t="str">
        <f t="shared" ca="1" si="315"/>
        <v>1D - 3B</v>
      </c>
      <c r="BA105" s="181"/>
      <c r="BB105" s="750"/>
      <c r="BC105" s="756"/>
      <c r="BD105" s="750"/>
      <c r="BE105" s="750"/>
      <c r="BF105" s="750" t="str">
        <f t="shared" ca="1" si="316"/>
        <v>L</v>
      </c>
      <c r="BG105" s="750">
        <f t="shared" ca="1" si="317"/>
        <v>8</v>
      </c>
      <c r="BH105" s="750"/>
      <c r="BI105" s="756">
        <v>3</v>
      </c>
      <c r="BJ105" s="750" t="str">
        <f t="shared" ca="1" si="318"/>
        <v>E</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Costa de Marfil-Noruega</v>
      </c>
      <c r="DU105" s="750"/>
      <c r="DV105" s="750"/>
      <c r="DW105" s="11"/>
    </row>
    <row r="106" spans="1:127" ht="16" customHeight="1" x14ac:dyDescent="0.2">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Costa de Marfil</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50"/>
      <c r="P106" s="750"/>
      <c r="Q106" s="750"/>
      <c r="R106" s="750"/>
      <c r="S106" s="750"/>
      <c r="T106" s="750"/>
      <c r="U106" s="750"/>
      <c r="V106" s="178"/>
      <c r="W106" s="841"/>
      <c r="X106" s="195">
        <f ca="1">Horarios!C106</f>
        <v>46203.958333333336</v>
      </c>
      <c r="Y106" s="196">
        <f ca="1">Horarios!C106</f>
        <v>46203.958333333336</v>
      </c>
      <c r="Z106" s="282">
        <f t="shared" si="309"/>
        <v>77</v>
      </c>
      <c r="AA106" s="283" t="str">
        <f t="shared" ca="1" si="305"/>
        <v>Francia</v>
      </c>
      <c r="AB106" s="284"/>
      <c r="AC106" s="287">
        <v>3</v>
      </c>
      <c r="AD106" s="287">
        <v>0</v>
      </c>
      <c r="AE106" s="284"/>
      <c r="AF106" s="286" t="str">
        <f t="shared" ca="1" si="306"/>
        <v>Suecia</v>
      </c>
      <c r="AG106" s="425">
        <f t="shared" ca="1" si="307"/>
        <v>1</v>
      </c>
      <c r="AH106" s="202">
        <v>77</v>
      </c>
      <c r="AI106" s="223">
        <v>5</v>
      </c>
      <c r="AJ106" s="227">
        <v>5</v>
      </c>
      <c r="AK106" s="494" t="str" cm="1">
        <f t="array" aca="1" ref="AK106" ca="1">Ver_flag_visit</f>
        <v>🇧🇦</v>
      </c>
      <c r="AL106" s="295" t="str">
        <f t="shared" ca="1" si="310"/>
        <v>Bosnia y Herzegovina</v>
      </c>
      <c r="AM106" s="296">
        <f t="shared" ref="AM106:AT106" ca="1" si="321">+IF($H$113&gt;=48,INDEX($BE$58:$BN$69,MATCH($AL106,$BD$58:$BD$69,0),MATCH(AM$5,$BE$57:$BN$57,0)),$BB62)</f>
        <v>4</v>
      </c>
      <c r="AN106" s="297">
        <f t="shared" ca="1" si="321"/>
        <v>3</v>
      </c>
      <c r="AO106" s="297">
        <f t="shared" ca="1" si="321"/>
        <v>1</v>
      </c>
      <c r="AP106" s="297">
        <f t="shared" ca="1" si="321"/>
        <v>1</v>
      </c>
      <c r="AQ106" s="297">
        <f t="shared" ca="1" si="321"/>
        <v>1</v>
      </c>
      <c r="AR106" s="297">
        <f t="shared" ca="1" si="321"/>
        <v>5</v>
      </c>
      <c r="AS106" s="297">
        <f t="shared" ca="1" si="321"/>
        <v>6</v>
      </c>
      <c r="AT106" s="298">
        <f t="shared" ca="1" si="321"/>
        <v>-1</v>
      </c>
      <c r="AU106" s="428">
        <f t="shared" ca="1" si="312"/>
        <v>1</v>
      </c>
      <c r="AV106" s="223" t="str">
        <f t="shared" ca="1" si="313"/>
        <v>Bosnia y Herzegovina</v>
      </c>
      <c r="AW106" s="435"/>
      <c r="AX106" s="294"/>
      <c r="AY106" s="299"/>
      <c r="AZ106" s="300" t="str">
        <f t="shared" ca="1" si="315"/>
        <v>1E - 3D</v>
      </c>
      <c r="BA106" s="181"/>
      <c r="BB106" s="750"/>
      <c r="BC106" s="756"/>
      <c r="BD106" s="750"/>
      <c r="BE106" s="750"/>
      <c r="BF106" s="750" t="str">
        <f t="shared" ca="1" si="316"/>
        <v>E</v>
      </c>
      <c r="BG106" s="750">
        <f t="shared" ca="1" si="317"/>
        <v>3</v>
      </c>
      <c r="BH106" s="750"/>
      <c r="BI106" s="756">
        <v>4</v>
      </c>
      <c r="BJ106" s="750" t="str">
        <f t="shared" ca="1" si="318"/>
        <v>F</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Francia-Suecia</v>
      </c>
      <c r="DU106" s="750"/>
      <c r="DV106" s="750"/>
      <c r="DW106" s="11"/>
    </row>
    <row r="107" spans="1:127" ht="16" customHeight="1" x14ac:dyDescent="0.2">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Ecuador</v>
      </c>
      <c r="O107" s="750"/>
      <c r="P107" s="750"/>
      <c r="Q107" s="750"/>
      <c r="R107" s="750"/>
      <c r="S107" s="750"/>
      <c r="T107" s="750"/>
      <c r="U107" s="750"/>
      <c r="V107" s="178"/>
      <c r="W107" s="841"/>
      <c r="X107" s="195">
        <f ca="1">Horarios!C107</f>
        <v>46204.125</v>
      </c>
      <c r="Y107" s="196">
        <f ca="1">Horarios!C107</f>
        <v>46204.125</v>
      </c>
      <c r="Z107" s="282">
        <f t="shared" si="309"/>
        <v>79</v>
      </c>
      <c r="AA107" s="283" t="str">
        <f t="shared" ca="1" si="305"/>
        <v>México</v>
      </c>
      <c r="AB107" s="284"/>
      <c r="AC107" s="287">
        <v>2</v>
      </c>
      <c r="AD107" s="287">
        <v>0</v>
      </c>
      <c r="AE107" s="284"/>
      <c r="AF107" s="286" t="str">
        <f t="shared" ca="1" si="306"/>
        <v>Ecuador</v>
      </c>
      <c r="AG107" s="425">
        <f t="shared" ca="1" si="307"/>
        <v>1</v>
      </c>
      <c r="AH107" s="202">
        <v>79</v>
      </c>
      <c r="AI107" s="223">
        <v>6</v>
      </c>
      <c r="AJ107" s="227">
        <v>6</v>
      </c>
      <c r="AK107" s="494" t="str" cm="1">
        <f t="array" aca="1" ref="AK107" ca="1">Ver_flag_visit</f>
        <v>🇩🇿</v>
      </c>
      <c r="AL107" s="295" t="str">
        <f t="shared" ca="1" si="310"/>
        <v>Argelia</v>
      </c>
      <c r="AM107" s="296">
        <f t="shared" ref="AM107:AT107" ca="1" si="322">+IF($H$113&gt;=48,INDEX($BE$58:$BN$69,MATCH($AL107,$BD$58:$BD$69,0),MATCH(AM$5,$BE$57:$BN$57,0)),$BB63)</f>
        <v>4</v>
      </c>
      <c r="AN107" s="297">
        <f t="shared" ca="1" si="322"/>
        <v>3</v>
      </c>
      <c r="AO107" s="297">
        <f t="shared" ca="1" si="322"/>
        <v>1</v>
      </c>
      <c r="AP107" s="297">
        <f t="shared" ca="1" si="322"/>
        <v>1</v>
      </c>
      <c r="AQ107" s="297">
        <f t="shared" ca="1" si="322"/>
        <v>1</v>
      </c>
      <c r="AR107" s="297">
        <f t="shared" ca="1" si="322"/>
        <v>5</v>
      </c>
      <c r="AS107" s="297">
        <f t="shared" ca="1" si="322"/>
        <v>7</v>
      </c>
      <c r="AT107" s="298">
        <f t="shared" ca="1" si="322"/>
        <v>-2</v>
      </c>
      <c r="AU107" s="428">
        <f t="shared" ca="1" si="312"/>
        <v>1</v>
      </c>
      <c r="AV107" s="223" t="str">
        <f ca="1">INDEX($BD$58:$BD$69,MATCH(AI107,$BM$58:$BM$69,0))</f>
        <v>Argelia</v>
      </c>
      <c r="AW107" s="435"/>
      <c r="AX107" s="294"/>
      <c r="AY107" s="299"/>
      <c r="AZ107" s="300" t="str">
        <f t="shared" ca="1" si="315"/>
        <v>1G - 3I</v>
      </c>
      <c r="BA107" s="181"/>
      <c r="BB107" s="750"/>
      <c r="BC107" s="756"/>
      <c r="BD107" s="750"/>
      <c r="BE107" s="756"/>
      <c r="BF107" s="750" t="str">
        <f t="shared" ca="1" si="316"/>
        <v>B</v>
      </c>
      <c r="BG107" s="750">
        <f t="shared" ca="1" si="317"/>
        <v>1</v>
      </c>
      <c r="BH107" s="750"/>
      <c r="BI107" s="750">
        <v>5</v>
      </c>
      <c r="BJ107" s="750" t="str">
        <f t="shared" ca="1" si="318"/>
        <v>I</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México-Ecuador</v>
      </c>
      <c r="DU107" s="750"/>
      <c r="DV107" s="750"/>
      <c r="DW107" s="11"/>
    </row>
    <row r="108" spans="1:127" ht="16" customHeight="1" x14ac:dyDescent="0.2">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RD Congo</v>
      </c>
      <c r="O108" s="750"/>
      <c r="P108" s="750"/>
      <c r="Q108" s="750"/>
      <c r="R108" s="750"/>
      <c r="S108" s="750"/>
      <c r="T108" s="750"/>
      <c r="U108" s="750"/>
      <c r="V108" s="178"/>
      <c r="W108" s="841"/>
      <c r="X108" s="195">
        <f ca="1">Horarios!C108</f>
        <v>46204.75</v>
      </c>
      <c r="Y108" s="196">
        <f ca="1">Horarios!C108</f>
        <v>46204.75</v>
      </c>
      <c r="Z108" s="282">
        <f t="shared" si="309"/>
        <v>80</v>
      </c>
      <c r="AA108" s="283" t="str">
        <f t="shared" ca="1" si="305"/>
        <v>Inglaterra</v>
      </c>
      <c r="AB108" s="284"/>
      <c r="AC108" s="287">
        <v>2</v>
      </c>
      <c r="AD108" s="287">
        <v>1</v>
      </c>
      <c r="AE108" s="284"/>
      <c r="AF108" s="286" t="str">
        <f t="shared" ca="1" si="306"/>
        <v>RD Congo</v>
      </c>
      <c r="AG108" s="425">
        <f t="shared" ca="1" si="307"/>
        <v>1</v>
      </c>
      <c r="AH108" s="202">
        <v>80</v>
      </c>
      <c r="AI108" s="223">
        <v>7</v>
      </c>
      <c r="AJ108" s="227">
        <v>7</v>
      </c>
      <c r="AK108" s="494" t="str" cm="1">
        <f t="array" aca="1" ref="AK108" ca="1">Ver_flag_visit</f>
        <v>🇵🇾</v>
      </c>
      <c r="AL108" s="295" t="str">
        <f t="shared" ca="1" si="310"/>
        <v>Paraguay</v>
      </c>
      <c r="AM108" s="296">
        <f t="shared" ref="AM108:AT108" ca="1" si="323">+IF($H$113&gt;=48,INDEX($BE$58:$BN$69,MATCH($AL108,$BD$58:$BD$69,0),MATCH(AM$5,$BE$57:$BN$57,0)),$BB64)</f>
        <v>4</v>
      </c>
      <c r="AN108" s="297">
        <f t="shared" ca="1" si="323"/>
        <v>3</v>
      </c>
      <c r="AO108" s="297">
        <f t="shared" ca="1" si="323"/>
        <v>1</v>
      </c>
      <c r="AP108" s="297">
        <f t="shared" ca="1" si="323"/>
        <v>1</v>
      </c>
      <c r="AQ108" s="297">
        <f t="shared" ca="1" si="323"/>
        <v>1</v>
      </c>
      <c r="AR108" s="297">
        <f t="shared" ca="1" si="323"/>
        <v>2</v>
      </c>
      <c r="AS108" s="297">
        <f t="shared" ca="1" si="323"/>
        <v>4</v>
      </c>
      <c r="AT108" s="298">
        <f t="shared" ca="1" si="323"/>
        <v>-2</v>
      </c>
      <c r="AU108" s="428">
        <f t="shared" ca="1" si="312"/>
        <v>1</v>
      </c>
      <c r="AV108" s="223" t="str">
        <f t="shared" ca="1" si="313"/>
        <v>Paraguay</v>
      </c>
      <c r="AW108" s="435"/>
      <c r="AX108" s="294"/>
      <c r="AY108" s="299"/>
      <c r="AZ108" s="300" t="str">
        <f t="shared" ca="1" si="315"/>
        <v>1I - 3F</v>
      </c>
      <c r="BA108" s="181"/>
      <c r="BB108" s="750"/>
      <c r="BC108" s="750"/>
      <c r="BD108" s="750"/>
      <c r="BE108" s="756"/>
      <c r="BF108" s="750" t="str">
        <f t="shared" ca="1" si="316"/>
        <v>J</v>
      </c>
      <c r="BG108" s="750">
        <f t="shared" ca="1" si="317"/>
        <v>6</v>
      </c>
      <c r="BH108" s="750"/>
      <c r="BI108" s="750">
        <v>6</v>
      </c>
      <c r="BJ108" s="750" t="str">
        <f t="shared" ca="1" si="318"/>
        <v>J</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Inglaterra-RD Congo</v>
      </c>
      <c r="DU108" s="750"/>
      <c r="DV108" s="750"/>
      <c r="DW108" s="11"/>
    </row>
    <row r="109" spans="1:127" ht="16" customHeight="1" x14ac:dyDescent="0.2">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Estados Unidos</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750"/>
      <c r="P109" s="750"/>
      <c r="Q109" s="750"/>
      <c r="R109" s="750"/>
      <c r="S109" s="750"/>
      <c r="T109" s="750"/>
      <c r="U109" s="750"/>
      <c r="V109" s="178"/>
      <c r="W109" s="841"/>
      <c r="X109" s="195">
        <f ca="1">Horarios!C109</f>
        <v>46204.916666666664</v>
      </c>
      <c r="Y109" s="196">
        <f ca="1">Horarios!C109</f>
        <v>46204.916666666664</v>
      </c>
      <c r="Z109" s="282">
        <f t="shared" si="309"/>
        <v>82</v>
      </c>
      <c r="AA109" s="283" t="str">
        <f t="shared" ca="1" si="305"/>
        <v>Bélgica</v>
      </c>
      <c r="AB109" s="284"/>
      <c r="AC109" s="287">
        <v>3</v>
      </c>
      <c r="AD109" s="287">
        <v>2</v>
      </c>
      <c r="AE109" s="284"/>
      <c r="AF109" s="286" t="str">
        <f t="shared" ca="1" si="306"/>
        <v>Senegal</v>
      </c>
      <c r="AG109" s="425">
        <f t="shared" ca="1" si="307"/>
        <v>1</v>
      </c>
      <c r="AH109" s="202">
        <v>82</v>
      </c>
      <c r="AI109" s="223">
        <v>8</v>
      </c>
      <c r="AJ109" s="227">
        <v>8</v>
      </c>
      <c r="AK109" s="494" t="str" cm="1">
        <f t="array" aca="1" ref="AK109" ca="1">Ver_flag_visit</f>
        <v>🇸🇳</v>
      </c>
      <c r="AL109" s="295" t="str">
        <f t="shared" ca="1" si="310"/>
        <v>Senegal</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8</v>
      </c>
      <c r="AS109" s="297">
        <f t="shared" ca="1" si="324"/>
        <v>6</v>
      </c>
      <c r="AT109" s="298">
        <f t="shared" ca="1" si="324"/>
        <v>2</v>
      </c>
      <c r="AU109" s="428">
        <f t="shared" ca="1" si="312"/>
        <v>1</v>
      </c>
      <c r="AV109" s="223" t="str">
        <f t="shared" ca="1" si="313"/>
        <v>Senegal</v>
      </c>
      <c r="AW109" s="435"/>
      <c r="AX109" s="294"/>
      <c r="AY109" s="299"/>
      <c r="AZ109" s="300" t="str">
        <f t="shared" ca="1" si="315"/>
        <v>1K - 3L</v>
      </c>
      <c r="BA109" s="181"/>
      <c r="BB109" s="750"/>
      <c r="BC109" s="750"/>
      <c r="BD109" s="750"/>
      <c r="BE109" s="756"/>
      <c r="BF109" s="750" t="str">
        <f t="shared" ca="1" si="316"/>
        <v>D</v>
      </c>
      <c r="BG109" s="750">
        <f t="shared" ca="1" si="317"/>
        <v>2</v>
      </c>
      <c r="BH109" s="750"/>
      <c r="BI109" s="750">
        <v>7</v>
      </c>
      <c r="BJ109" s="750" t="str">
        <f t="shared" ca="1" si="318"/>
        <v>K</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Bélgica-Senegal</v>
      </c>
      <c r="DU109" s="750"/>
      <c r="DV109" s="750"/>
      <c r="DW109" s="11"/>
    </row>
    <row r="110" spans="1:127" ht="16" customHeight="1" x14ac:dyDescent="0.2">
      <c r="A110" s="750" t="s">
        <v>667</v>
      </c>
      <c r="B110" s="750" t="s">
        <v>727</v>
      </c>
      <c r="C110" s="751"/>
      <c r="D110" s="759" t="str">
        <f t="shared" ca="1" si="302"/>
        <v>Estados Unidos</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Senegal</v>
      </c>
      <c r="O110" s="750"/>
      <c r="P110" s="750"/>
      <c r="Q110" s="750"/>
      <c r="R110" s="750"/>
      <c r="S110" s="750"/>
      <c r="T110" s="750"/>
      <c r="U110" s="750"/>
      <c r="V110" s="178"/>
      <c r="W110" s="841"/>
      <c r="X110" s="195">
        <f ca="1">Horarios!C110</f>
        <v>46205.083333333336</v>
      </c>
      <c r="Y110" s="196">
        <f ca="1">Horarios!C110</f>
        <v>46205.083333333336</v>
      </c>
      <c r="Z110" s="282">
        <f t="shared" si="309"/>
        <v>81</v>
      </c>
      <c r="AA110" s="283" t="str">
        <f t="shared" ca="1" si="305"/>
        <v>Estados Unidos</v>
      </c>
      <c r="AB110" s="284"/>
      <c r="AC110" s="287">
        <v>2</v>
      </c>
      <c r="AD110" s="287">
        <v>0</v>
      </c>
      <c r="AE110" s="284"/>
      <c r="AF110" s="286" t="str">
        <f t="shared" ca="1" si="306"/>
        <v>Bosnia y Herzegovina</v>
      </c>
      <c r="AG110" s="425">
        <f t="shared" ca="1" si="307"/>
        <v>1</v>
      </c>
      <c r="AH110" s="202">
        <v>81</v>
      </c>
      <c r="AI110" s="223">
        <v>9</v>
      </c>
      <c r="AJ110" s="227">
        <v>9</v>
      </c>
      <c r="AK110" s="494" t="str" cm="1">
        <f t="array" aca="1" ref="AK110" ca="1">Ver_flag_visit</f>
        <v>🇮🇷</v>
      </c>
      <c r="AL110" s="295" t="str">
        <f t="shared" ca="1" si="310"/>
        <v>Irán</v>
      </c>
      <c r="AM110" s="296">
        <f t="shared" ref="AM110:AT110" ca="1" si="325">+IF($H$113&gt;=48,INDEX($BE$58:$BN$69,MATCH($AL110,$BD$58:$BD$69,0),MATCH(AM$5,$BE$57:$BN$57,0)),$BB66)</f>
        <v>3</v>
      </c>
      <c r="AN110" s="297">
        <f t="shared" ca="1" si="325"/>
        <v>3</v>
      </c>
      <c r="AO110" s="297">
        <f t="shared" ca="1" si="325"/>
        <v>0</v>
      </c>
      <c r="AP110" s="297">
        <f t="shared" ca="1" si="325"/>
        <v>3</v>
      </c>
      <c r="AQ110" s="297">
        <f t="shared" ca="1" si="325"/>
        <v>0</v>
      </c>
      <c r="AR110" s="297">
        <f t="shared" ca="1" si="325"/>
        <v>3</v>
      </c>
      <c r="AS110" s="297">
        <f t="shared" ca="1" si="325"/>
        <v>3</v>
      </c>
      <c r="AT110" s="298">
        <f t="shared" ca="1" si="325"/>
        <v>0</v>
      </c>
      <c r="AU110" s="428">
        <f t="shared" ca="1" si="312"/>
        <v>1</v>
      </c>
      <c r="AV110" s="223" t="str">
        <f t="shared" ca="1" si="313"/>
        <v>Irán</v>
      </c>
      <c r="AW110" s="435"/>
      <c r="AX110" s="294"/>
      <c r="AY110" s="299"/>
      <c r="AZ110" s="300" t="str">
        <f t="shared" ca="1" si="315"/>
        <v>1L - 3K</v>
      </c>
      <c r="BA110" s="181"/>
      <c r="BB110" s="750"/>
      <c r="BC110" s="750"/>
      <c r="BD110" s="750"/>
      <c r="BE110" s="756"/>
      <c r="BF110" s="750" t="str">
        <f t="shared" ca="1" si="316"/>
        <v>I</v>
      </c>
      <c r="BG110" s="750">
        <f t="shared" ca="1" si="317"/>
        <v>5</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Estados Unidos-Bosnia y Herzegovina</v>
      </c>
      <c r="DU110" s="750"/>
      <c r="DV110" s="750"/>
      <c r="DW110" s="11"/>
    </row>
    <row r="111" spans="1:127" ht="16" customHeight="1" x14ac:dyDescent="0.2">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Portugal</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41"/>
      <c r="X111" s="195">
        <f ca="1">Horarios!C111</f>
        <v>46205.875</v>
      </c>
      <c r="Y111" s="196">
        <f ca="1">Horarios!C111</f>
        <v>46205.875</v>
      </c>
      <c r="Z111" s="282">
        <f t="shared" si="309"/>
        <v>84</v>
      </c>
      <c r="AA111" s="283" t="str">
        <f t="shared" ca="1" si="305"/>
        <v>España</v>
      </c>
      <c r="AB111" s="284"/>
      <c r="AC111" s="287">
        <v>3</v>
      </c>
      <c r="AD111" s="287">
        <v>0</v>
      </c>
      <c r="AE111" s="284"/>
      <c r="AF111" s="286" t="str">
        <f t="shared" ca="1" si="306"/>
        <v>Austria</v>
      </c>
      <c r="AG111" s="425">
        <f t="shared" ca="1" si="307"/>
        <v>1</v>
      </c>
      <c r="AH111" s="202">
        <v>84</v>
      </c>
      <c r="AI111" s="223">
        <v>10</v>
      </c>
      <c r="AJ111" s="227">
        <v>10</v>
      </c>
      <c r="AK111" s="494" t="str" cm="1">
        <f t="array" aca="1" ref="AK111" ca="1">Ver_flag_visit</f>
        <v>🇰🇷</v>
      </c>
      <c r="AL111" s="295" t="str">
        <f t="shared" ca="1" si="310"/>
        <v>Corea del Sur</v>
      </c>
      <c r="AM111" s="296">
        <f t="shared" ref="AM111:AT111" ca="1" si="326">+IF($H$113&gt;=48,INDEX($BE$58:$BN$69,MATCH($AL111,$BD$58:$BD$69,0),MATCH(AM$5,$BE$57:$BN$57,0)),$BB67)</f>
        <v>3</v>
      </c>
      <c r="AN111" s="297">
        <f t="shared" ca="1" si="326"/>
        <v>3</v>
      </c>
      <c r="AO111" s="297">
        <f t="shared" ca="1" si="326"/>
        <v>1</v>
      </c>
      <c r="AP111" s="297">
        <f t="shared" ca="1" si="326"/>
        <v>0</v>
      </c>
      <c r="AQ111" s="297">
        <f t="shared" ca="1" si="326"/>
        <v>2</v>
      </c>
      <c r="AR111" s="297">
        <f t="shared" ca="1" si="326"/>
        <v>2</v>
      </c>
      <c r="AS111" s="297">
        <f t="shared" ca="1" si="326"/>
        <v>3</v>
      </c>
      <c r="AT111" s="298">
        <f t="shared" ca="1" si="326"/>
        <v>-1</v>
      </c>
      <c r="AU111" s="428">
        <f t="shared" ca="1" si="312"/>
        <v>1</v>
      </c>
      <c r="AV111" s="223" t="str">
        <f t="shared" ca="1" si="313"/>
        <v>Corea del Sur</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6" customHeight="1" x14ac:dyDescent="0.2">
      <c r="A112" s="750" t="s">
        <v>670</v>
      </c>
      <c r="B112" s="750" t="s">
        <v>677</v>
      </c>
      <c r="C112" s="751"/>
      <c r="D112" s="759" t="str">
        <f t="shared" ca="1" si="302"/>
        <v>Portugal</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41"/>
      <c r="X112" s="195">
        <f ca="1">Horarios!C112</f>
        <v>46206.041666666664</v>
      </c>
      <c r="Y112" s="196">
        <f ca="1">Horarios!C112</f>
        <v>46206.041666666664</v>
      </c>
      <c r="Z112" s="282">
        <f t="shared" si="309"/>
        <v>83</v>
      </c>
      <c r="AA112" s="283" t="str">
        <f t="shared" ca="1" si="305"/>
        <v>Portugal</v>
      </c>
      <c r="AB112" s="284"/>
      <c r="AC112" s="287">
        <v>2</v>
      </c>
      <c r="AD112" s="287">
        <v>1</v>
      </c>
      <c r="AE112" s="284"/>
      <c r="AF112" s="286" t="str">
        <f t="shared" ca="1" si="306"/>
        <v>Croacia</v>
      </c>
      <c r="AG112" s="425">
        <f t="shared" ca="1" si="307"/>
        <v>1</v>
      </c>
      <c r="AH112" s="202">
        <v>83</v>
      </c>
      <c r="AI112" s="223">
        <v>11</v>
      </c>
      <c r="AJ112" s="227">
        <v>11</v>
      </c>
      <c r="AK112" s="494" t="str" cm="1">
        <f t="array" aca="1" ref="AK112" ca="1">Ver_flag_visit</f>
        <v>🏴󠁧󠁢󠁳󠁣󠁴󠁿</v>
      </c>
      <c r="AL112" s="295" t="str">
        <f t="shared" ca="1" si="310"/>
        <v>Escocia</v>
      </c>
      <c r="AM112" s="296">
        <f t="shared" ref="AM112:AT112" ca="1" si="327">+IF($H$113&gt;=48,INDEX($BE$58:$BN$69,MATCH($AL112,$BD$58:$BD$69,0),MATCH(AM$5,$BE$57:$BN$57,0)),$BB68)</f>
        <v>3</v>
      </c>
      <c r="AN112" s="297">
        <f t="shared" ca="1" si="327"/>
        <v>3</v>
      </c>
      <c r="AO112" s="297">
        <f t="shared" ca="1" si="327"/>
        <v>1</v>
      </c>
      <c r="AP112" s="297">
        <f t="shared" ca="1" si="327"/>
        <v>0</v>
      </c>
      <c r="AQ112" s="297">
        <f t="shared" ca="1" si="327"/>
        <v>2</v>
      </c>
      <c r="AR112" s="297">
        <f t="shared" ca="1" si="327"/>
        <v>1</v>
      </c>
      <c r="AS112" s="297">
        <f t="shared" ca="1" si="327"/>
        <v>4</v>
      </c>
      <c r="AT112" s="298">
        <f t="shared" ca="1" si="327"/>
        <v>-3</v>
      </c>
      <c r="AU112" s="428">
        <f t="shared" ca="1" si="312"/>
        <v>1</v>
      </c>
      <c r="AV112" s="223" t="str">
        <f t="shared" ca="1" si="313"/>
        <v>Escocia</v>
      </c>
      <c r="AW112" s="435"/>
      <c r="AX112" s="294"/>
      <c r="AY112" s="301"/>
      <c r="AZ112" s="301"/>
      <c r="BA112" s="181"/>
      <c r="BB112" s="750"/>
      <c r="BC112" s="750"/>
      <c r="BD112" s="758"/>
      <c r="BE112" s="750"/>
      <c r="BF112" s="750"/>
      <c r="BG112" s="750"/>
      <c r="BH112" s="750"/>
      <c r="BI112" s="750" t="str">
        <f ca="1">IFERROR(CONCATENATE(BJ103,BJ104,BJ105,BJ106,BJ107,BJ108,BJ109,BJ110),"¿A/B/C/D/E/F/G/H/I/J/K/L?")</f>
        <v>BDEFIJKL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Portugal-Croacia</v>
      </c>
      <c r="DU112" s="750"/>
      <c r="DV112" s="750"/>
      <c r="DW112" s="11"/>
    </row>
    <row r="113" spans="1:127" ht="16" customHeight="1" thickBot="1" x14ac:dyDescent="0.25">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Argelia</v>
      </c>
      <c r="O113" s="750"/>
      <c r="P113" s="750"/>
      <c r="Q113" s="750"/>
      <c r="R113" s="750"/>
      <c r="S113" s="750"/>
      <c r="T113" s="750"/>
      <c r="U113" s="750"/>
      <c r="V113" s="178"/>
      <c r="W113" s="841"/>
      <c r="X113" s="195">
        <f ca="1">Horarios!C113</f>
        <v>46206.208333333336</v>
      </c>
      <c r="Y113" s="196">
        <f ca="1">Horarios!C113</f>
        <v>46206.208333333336</v>
      </c>
      <c r="Z113" s="282">
        <f t="shared" si="309"/>
        <v>85</v>
      </c>
      <c r="AA113" s="283" t="str">
        <f t="shared" ca="1" si="305"/>
        <v>Suiza</v>
      </c>
      <c r="AB113" s="284"/>
      <c r="AC113" s="287">
        <v>2</v>
      </c>
      <c r="AD113" s="287">
        <v>0</v>
      </c>
      <c r="AE113" s="285"/>
      <c r="AF113" s="286" t="str">
        <f t="shared" ca="1" si="306"/>
        <v>Argelia</v>
      </c>
      <c r="AG113" s="425">
        <f t="shared" ca="1" si="307"/>
        <v>1</v>
      </c>
      <c r="AH113" s="202">
        <v>85</v>
      </c>
      <c r="AI113" s="223">
        <v>12</v>
      </c>
      <c r="AJ113" s="241">
        <v>12</v>
      </c>
      <c r="AK113" s="495" t="str" cm="1">
        <f t="array" aca="1" ref="AK113" ca="1">Ver_flag_visit</f>
        <v>🇺🇾</v>
      </c>
      <c r="AL113" s="242" t="str">
        <f t="shared" ca="1" si="310"/>
        <v>Uruguay</v>
      </c>
      <c r="AM113" s="243">
        <f t="shared" ref="AM113:AT113" ca="1" si="328">+IF($H$113&gt;=48,INDEX($BE$58:$BN$69,MATCH($AL113,$BD$58:$BD$69,0),MATCH(AM$5,$BE$57:$BN$57,0)),$BB69)</f>
        <v>2</v>
      </c>
      <c r="AN113" s="244">
        <f t="shared" ca="1" si="328"/>
        <v>3</v>
      </c>
      <c r="AO113" s="244">
        <f t="shared" ca="1" si="328"/>
        <v>0</v>
      </c>
      <c r="AP113" s="244">
        <f t="shared" ca="1" si="328"/>
        <v>2</v>
      </c>
      <c r="AQ113" s="244">
        <f t="shared" ca="1" si="328"/>
        <v>1</v>
      </c>
      <c r="AR113" s="244">
        <f t="shared" ca="1" si="328"/>
        <v>3</v>
      </c>
      <c r="AS113" s="244">
        <f t="shared" ca="1" si="328"/>
        <v>4</v>
      </c>
      <c r="AT113" s="245">
        <f t="shared" ca="1" si="328"/>
        <v>-1</v>
      </c>
      <c r="AU113" s="428">
        <f t="shared" ca="1" si="312"/>
        <v>1</v>
      </c>
      <c r="AV113" s="223" t="str">
        <f t="shared" ca="1" si="313"/>
        <v>Uruguay</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Suiza-Argelia</v>
      </c>
      <c r="DU113" s="750"/>
      <c r="DV113" s="750"/>
      <c r="DW113" s="11"/>
    </row>
    <row r="114" spans="1:127" ht="16" customHeight="1" x14ac:dyDescent="0.2">
      <c r="A114" s="750" t="s">
        <v>676</v>
      </c>
      <c r="B114" s="750" t="s">
        <v>671</v>
      </c>
      <c r="C114" s="751"/>
      <c r="D114" s="759" t="str">
        <f t="shared" ca="1" si="302"/>
        <v>Egipto</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Cabo Verde</v>
      </c>
      <c r="O114" s="750"/>
      <c r="P114" s="750"/>
      <c r="Q114" s="750"/>
      <c r="R114" s="750"/>
      <c r="S114" s="750"/>
      <c r="T114" s="750"/>
      <c r="U114" s="750"/>
      <c r="V114" s="178"/>
      <c r="W114" s="841"/>
      <c r="X114" s="195">
        <f ca="1">Horarios!C114</f>
        <v>46206.833333333336</v>
      </c>
      <c r="Y114" s="196">
        <f ca="1">Horarios!C114</f>
        <v>46206.833333333336</v>
      </c>
      <c r="Z114" s="282">
        <f t="shared" si="309"/>
        <v>88</v>
      </c>
      <c r="AA114" s="283" t="str">
        <f t="shared" ca="1" si="305"/>
        <v>Australia</v>
      </c>
      <c r="AB114" s="284">
        <v>2</v>
      </c>
      <c r="AC114" s="287">
        <v>1</v>
      </c>
      <c r="AD114" s="287">
        <v>1</v>
      </c>
      <c r="AE114" s="284">
        <v>4</v>
      </c>
      <c r="AF114" s="286" t="str">
        <f t="shared" ca="1" si="306"/>
        <v>Egipto</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Australia-Egipto</v>
      </c>
      <c r="DU114" s="756"/>
      <c r="DV114" s="756"/>
      <c r="DW114" s="8"/>
    </row>
    <row r="115" spans="1:127" ht="16" customHeight="1" x14ac:dyDescent="0.2">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Colombia</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50"/>
      <c r="P115" s="750"/>
      <c r="Q115" s="750"/>
      <c r="R115" s="750"/>
      <c r="S115" s="750"/>
      <c r="T115" s="750"/>
      <c r="U115" s="750"/>
      <c r="V115" s="178"/>
      <c r="W115" s="841"/>
      <c r="X115" s="195">
        <f ca="1">Horarios!C115</f>
        <v>46207</v>
      </c>
      <c r="Y115" s="196">
        <f ca="1">Horarios!C115</f>
        <v>46207</v>
      </c>
      <c r="Z115" s="282">
        <f t="shared" si="309"/>
        <v>86</v>
      </c>
      <c r="AA115" s="283" t="str">
        <f t="shared" ca="1" si="305"/>
        <v>Argentina</v>
      </c>
      <c r="AB115" s="284"/>
      <c r="AC115" s="287">
        <v>3</v>
      </c>
      <c r="AD115" s="287">
        <v>2</v>
      </c>
      <c r="AE115" s="284"/>
      <c r="AF115" s="286" t="str">
        <f t="shared" ca="1" si="306"/>
        <v>Cabo Verde</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Argentina-Cabo Verde</v>
      </c>
      <c r="DU115" s="756"/>
      <c r="DV115" s="756"/>
      <c r="DW115" s="8"/>
    </row>
    <row r="116" spans="1:127" ht="16" customHeight="1" thickBot="1" x14ac:dyDescent="0.25">
      <c r="A116" s="750" t="s">
        <v>659</v>
      </c>
      <c r="B116" s="750" t="s">
        <v>668</v>
      </c>
      <c r="C116" s="751"/>
      <c r="D116" s="759" t="str">
        <f t="shared" ca="1" si="302"/>
        <v>Colombia</v>
      </c>
      <c r="E116" s="751" t="s">
        <v>73</v>
      </c>
      <c r="F116" s="751" t="s">
        <v>6</v>
      </c>
      <c r="G116" s="756"/>
      <c r="H116" s="756"/>
      <c r="I116" s="756"/>
      <c r="J116" s="750">
        <v>88</v>
      </c>
      <c r="K116" s="750">
        <v>46206.75</v>
      </c>
      <c r="L116" s="750" t="s">
        <v>700</v>
      </c>
      <c r="M116" s="750" t="str">
        <f t="shared" ca="1" si="304"/>
        <v>Australia</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Egipto</v>
      </c>
      <c r="O116" s="750"/>
      <c r="P116" s="750"/>
      <c r="Q116" s="750"/>
      <c r="R116" s="750"/>
      <c r="S116" s="750"/>
      <c r="T116" s="750"/>
      <c r="U116" s="750"/>
      <c r="V116" s="178"/>
      <c r="W116" s="842"/>
      <c r="X116" s="234">
        <f ca="1">Horarios!C116</f>
        <v>46207.145833333336</v>
      </c>
      <c r="Y116" s="235">
        <f ca="1">Horarios!C116</f>
        <v>46207.145833333336</v>
      </c>
      <c r="Z116" s="305">
        <f t="shared" si="309"/>
        <v>87</v>
      </c>
      <c r="AA116" s="306" t="str">
        <f t="shared" ca="1" si="305"/>
        <v>Colombia</v>
      </c>
      <c r="AB116" s="307"/>
      <c r="AC116" s="308">
        <v>1</v>
      </c>
      <c r="AD116" s="308">
        <v>0</v>
      </c>
      <c r="AE116" s="307"/>
      <c r="AF116" s="309" t="str">
        <f t="shared" ca="1" si="306"/>
        <v>Ghana</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Colombia-Ghana</v>
      </c>
      <c r="DU116" s="756"/>
      <c r="DV116" s="756"/>
      <c r="DW116" s="8"/>
    </row>
    <row r="117" spans="1:127" ht="16" customHeight="1" thickBot="1" x14ac:dyDescent="0.25">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3E</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 customHeight="1" thickBot="1" x14ac:dyDescent="0.25">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3J</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 customHeight="1" x14ac:dyDescent="0.2">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 customHeight="1" x14ac:dyDescent="0.2">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Marruecos</v>
      </c>
      <c r="E120" s="756">
        <v>74</v>
      </c>
      <c r="F120" s="756">
        <v>77</v>
      </c>
      <c r="G120" s="756"/>
      <c r="H120" s="756"/>
      <c r="I120" s="756"/>
      <c r="J120" s="750">
        <v>89</v>
      </c>
      <c r="K120" s="750">
        <v>46207.75</v>
      </c>
      <c r="L120" s="750" t="s">
        <v>701</v>
      </c>
      <c r="M120" s="756" t="str">
        <f t="shared" ref="M120:N127" ca="1" si="330">+INDEX($D$101:$D$147,MATCH(E120,$AH$101:$AH$147,0))</f>
        <v>Paraguay</v>
      </c>
      <c r="N120" s="756" t="str">
        <f t="shared" ca="1" si="330"/>
        <v>Francia</v>
      </c>
      <c r="O120" s="756"/>
      <c r="P120" s="756"/>
      <c r="Q120" s="756"/>
      <c r="R120" s="756"/>
      <c r="S120" s="756"/>
      <c r="T120" s="756"/>
      <c r="U120" s="756"/>
      <c r="V120" s="178"/>
      <c r="W120" s="843" t="s">
        <v>88</v>
      </c>
      <c r="X120" s="195">
        <f ca="1">Horarios!C120</f>
        <v>46207.791666666664</v>
      </c>
      <c r="Y120" s="196">
        <f ca="1">Horarios!C120</f>
        <v>46207.791666666664</v>
      </c>
      <c r="Z120" s="282">
        <f t="shared" ref="Z120:Z127" si="331">AH120</f>
        <v>90</v>
      </c>
      <c r="AA120" s="283" t="str">
        <f t="shared" ref="AA120:AA127" ca="1" si="332">+INDEX($M$101:$M$147,MATCH(AH120,$J$101:$J$147,0))</f>
        <v>Canadá</v>
      </c>
      <c r="AB120" s="284"/>
      <c r="AC120" s="311">
        <v>0</v>
      </c>
      <c r="AD120" s="311">
        <v>3</v>
      </c>
      <c r="AE120" s="284"/>
      <c r="AF120" s="286" t="str">
        <f t="shared" ref="AF120:AF127" ca="1" si="333">+INDEX($N$101:$N$147,MATCH(AH120,$J$101:$J$147,0))</f>
        <v>Marruecos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Canadá-Marruecos</v>
      </c>
      <c r="DU120" s="756"/>
      <c r="DV120" s="756"/>
      <c r="DW120" s="8"/>
    </row>
    <row r="121" spans="1:127" ht="16" customHeight="1" x14ac:dyDescent="0.2">
      <c r="A121" s="750" t="s">
        <v>732</v>
      </c>
      <c r="B121" s="750" t="s">
        <v>733</v>
      </c>
      <c r="C121" s="751"/>
      <c r="D121" s="759" t="str">
        <f t="shared" ca="1" si="329"/>
        <v>Francia</v>
      </c>
      <c r="E121" s="756">
        <v>73</v>
      </c>
      <c r="F121" s="756">
        <v>75</v>
      </c>
      <c r="G121" s="756"/>
      <c r="H121" s="756"/>
      <c r="I121" s="756"/>
      <c r="J121" s="750">
        <v>90</v>
      </c>
      <c r="K121" s="750">
        <v>46207.875</v>
      </c>
      <c r="L121" s="750" t="s">
        <v>702</v>
      </c>
      <c r="M121" s="756" t="str">
        <f t="shared" ca="1" si="330"/>
        <v>Canadá</v>
      </c>
      <c r="N121" s="756" t="str">
        <f t="shared" ca="1" si="330"/>
        <v>Marruecos</v>
      </c>
      <c r="O121" s="756"/>
      <c r="P121" s="756"/>
      <c r="Q121" s="756"/>
      <c r="R121" s="756"/>
      <c r="S121" s="756"/>
      <c r="T121" s="756"/>
      <c r="U121" s="756"/>
      <c r="V121" s="178"/>
      <c r="W121" s="843"/>
      <c r="X121" s="195">
        <f ca="1">Horarios!C121</f>
        <v>46207.958333333336</v>
      </c>
      <c r="Y121" s="196">
        <f ca="1">Horarios!C121</f>
        <v>46207.958333333336</v>
      </c>
      <c r="Z121" s="282">
        <f t="shared" si="331"/>
        <v>89</v>
      </c>
      <c r="AA121" s="283" t="str">
        <f t="shared" ca="1" si="332"/>
        <v>Paraguay</v>
      </c>
      <c r="AB121" s="284"/>
      <c r="AC121" s="313">
        <v>0</v>
      </c>
      <c r="AD121" s="313">
        <v>1</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3I</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Paraguay-Francia</v>
      </c>
      <c r="DU121" s="756"/>
      <c r="DV121" s="756"/>
      <c r="DW121" s="8"/>
    </row>
    <row r="122" spans="1:127" ht="16" customHeight="1" x14ac:dyDescent="0.2">
      <c r="A122" s="750" t="s">
        <v>734</v>
      </c>
      <c r="B122" s="750" t="s">
        <v>735</v>
      </c>
      <c r="C122" s="751"/>
      <c r="D122" s="759" t="str">
        <f t="shared" ca="1" si="329"/>
        <v>Noruega</v>
      </c>
      <c r="E122" s="756">
        <v>76</v>
      </c>
      <c r="F122" s="756">
        <v>78</v>
      </c>
      <c r="G122" s="756"/>
      <c r="H122" s="756"/>
      <c r="I122" s="756"/>
      <c r="J122" s="750">
        <v>91</v>
      </c>
      <c r="K122" s="750">
        <v>46208.75</v>
      </c>
      <c r="L122" s="750" t="s">
        <v>703</v>
      </c>
      <c r="M122" s="756" t="str">
        <f t="shared" ca="1" si="330"/>
        <v>Brasil</v>
      </c>
      <c r="N122" s="756" t="str">
        <f t="shared" ca="1" si="330"/>
        <v>Noruega</v>
      </c>
      <c r="O122" s="756"/>
      <c r="P122" s="756"/>
      <c r="Q122" s="756"/>
      <c r="R122" s="756"/>
      <c r="S122" s="756"/>
      <c r="T122" s="756"/>
      <c r="U122" s="756"/>
      <c r="V122" s="178"/>
      <c r="W122" s="843"/>
      <c r="X122" s="195">
        <f ca="1">Horarios!C122</f>
        <v>46208.916666666664</v>
      </c>
      <c r="Y122" s="196">
        <f ca="1">Horarios!C122</f>
        <v>46208.916666666664</v>
      </c>
      <c r="Z122" s="282">
        <f t="shared" si="331"/>
        <v>91</v>
      </c>
      <c r="AA122" s="283" t="str">
        <f t="shared" ca="1" si="332"/>
        <v>Brasil</v>
      </c>
      <c r="AB122" s="284"/>
      <c r="AC122" s="313">
        <v>1</v>
      </c>
      <c r="AD122" s="313">
        <v>2</v>
      </c>
      <c r="AE122" s="284"/>
      <c r="AF122" s="286" t="str">
        <f t="shared" ca="1" si="333"/>
        <v>Noruega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Brasil-Noruega</v>
      </c>
      <c r="DU122" s="756"/>
      <c r="DV122" s="756"/>
      <c r="DW122" s="8"/>
    </row>
    <row r="123" spans="1:127" ht="16" customHeight="1" x14ac:dyDescent="0.2">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43"/>
      <c r="X123" s="195">
        <f ca="1">Horarios!C123</f>
        <v>46209.083333333336</v>
      </c>
      <c r="Y123" s="196">
        <f ca="1">Horarios!C123</f>
        <v>46209.083333333336</v>
      </c>
      <c r="Z123" s="282">
        <f t="shared" si="331"/>
        <v>92</v>
      </c>
      <c r="AA123" s="283" t="str">
        <f t="shared" ca="1" si="332"/>
        <v>México</v>
      </c>
      <c r="AB123" s="284"/>
      <c r="AC123" s="313">
        <v>2</v>
      </c>
      <c r="AD123" s="313">
        <v>3</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6" customHeight="1" x14ac:dyDescent="0.2">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Portugal</v>
      </c>
      <c r="N124" s="756" t="str">
        <f t="shared" ca="1" si="330"/>
        <v>España</v>
      </c>
      <c r="O124" s="756"/>
      <c r="P124" s="756"/>
      <c r="Q124" s="756"/>
      <c r="R124" s="756"/>
      <c r="S124" s="756"/>
      <c r="T124" s="756"/>
      <c r="U124" s="756"/>
      <c r="V124" s="178"/>
      <c r="W124" s="843"/>
      <c r="X124" s="195">
        <f ca="1">Horarios!C124</f>
        <v>46209.875</v>
      </c>
      <c r="Y124" s="196">
        <f ca="1">Horarios!C124</f>
        <v>46209.875</v>
      </c>
      <c r="Z124" s="282">
        <f t="shared" si="331"/>
        <v>93</v>
      </c>
      <c r="AA124" s="283" t="str">
        <f t="shared" ca="1" si="332"/>
        <v>Portugal</v>
      </c>
      <c r="AB124" s="314"/>
      <c r="AC124" s="313">
        <v>0</v>
      </c>
      <c r="AD124" s="313">
        <v>1</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3K</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Portugal-España</v>
      </c>
      <c r="DU124" s="756"/>
      <c r="DV124" s="756"/>
      <c r="DW124" s="8"/>
    </row>
    <row r="125" spans="1:127" ht="16" customHeight="1" x14ac:dyDescent="0.2">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Estados Unidos</v>
      </c>
      <c r="N125" s="756" t="str">
        <f t="shared" ca="1" si="330"/>
        <v>Bélgica</v>
      </c>
      <c r="O125" s="756"/>
      <c r="P125" s="756"/>
      <c r="Q125" s="756"/>
      <c r="R125" s="756"/>
      <c r="S125" s="756"/>
      <c r="T125" s="756"/>
      <c r="U125" s="756"/>
      <c r="V125" s="178"/>
      <c r="W125" s="843"/>
      <c r="X125" s="195">
        <f ca="1">Horarios!C125</f>
        <v>46210.083333333336</v>
      </c>
      <c r="Y125" s="196">
        <f ca="1">Horarios!C125</f>
        <v>46210.083333333336</v>
      </c>
      <c r="Z125" s="282">
        <f t="shared" si="331"/>
        <v>94</v>
      </c>
      <c r="AA125" s="283" t="str">
        <f t="shared" ca="1" si="332"/>
        <v>Estados Unidos</v>
      </c>
      <c r="AB125" s="284"/>
      <c r="AC125" s="315">
        <v>1</v>
      </c>
      <c r="AD125" s="315">
        <v>4</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Estados Unidos-Bélgica</v>
      </c>
      <c r="DU125" s="756"/>
      <c r="DV125" s="756"/>
      <c r="DW125" s="8"/>
    </row>
    <row r="126" spans="1:127" ht="16" customHeight="1" x14ac:dyDescent="0.2">
      <c r="A126" s="750" t="s">
        <v>742</v>
      </c>
      <c r="B126" s="750" t="s">
        <v>743</v>
      </c>
      <c r="C126" s="751"/>
      <c r="D126" s="759" t="str">
        <f t="shared" ca="1" si="329"/>
        <v>Argentina</v>
      </c>
      <c r="E126" s="756">
        <v>86</v>
      </c>
      <c r="F126" s="756">
        <v>88</v>
      </c>
      <c r="G126" s="756"/>
      <c r="H126" s="756"/>
      <c r="I126" s="756"/>
      <c r="J126" s="750">
        <v>95</v>
      </c>
      <c r="K126" s="750">
        <v>46210.75</v>
      </c>
      <c r="L126" s="750" t="s">
        <v>707</v>
      </c>
      <c r="M126" s="756" t="str">
        <f t="shared" ca="1" si="330"/>
        <v>Argentina</v>
      </c>
      <c r="N126" s="756" t="str">
        <f t="shared" ca="1" si="330"/>
        <v>Egipto</v>
      </c>
      <c r="O126" s="756"/>
      <c r="P126" s="756"/>
      <c r="Q126" s="756"/>
      <c r="R126" s="756"/>
      <c r="S126" s="756"/>
      <c r="T126" s="756"/>
      <c r="U126" s="756"/>
      <c r="V126" s="178"/>
      <c r="W126" s="843"/>
      <c r="X126" s="195">
        <f ca="1">Horarios!C126</f>
        <v>46210.75</v>
      </c>
      <c r="Y126" s="196">
        <f ca="1">Horarios!C126</f>
        <v>46210.75</v>
      </c>
      <c r="Z126" s="282">
        <f t="shared" si="331"/>
        <v>95</v>
      </c>
      <c r="AA126" s="283" t="str">
        <f t="shared" ca="1" si="332"/>
        <v>Argentina</v>
      </c>
      <c r="AB126" s="284"/>
      <c r="AC126" s="315">
        <v>3</v>
      </c>
      <c r="AD126" s="315">
        <v>2</v>
      </c>
      <c r="AE126" s="284"/>
      <c r="AF126" s="286" t="str">
        <f t="shared" ca="1" si="333"/>
        <v>Egipto</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Argentina-Egipto</v>
      </c>
      <c r="DU126" s="756"/>
      <c r="DV126" s="756"/>
      <c r="DW126" s="8"/>
    </row>
    <row r="127" spans="1:127" ht="16" customHeight="1" thickBot="1" x14ac:dyDescent="0.25">
      <c r="A127" s="750" t="s">
        <v>744</v>
      </c>
      <c r="B127" s="750" t="s">
        <v>745</v>
      </c>
      <c r="C127" s="751"/>
      <c r="D127" s="759" t="str">
        <f t="shared" ca="1" si="329"/>
        <v>Suiza</v>
      </c>
      <c r="E127" s="756">
        <v>85</v>
      </c>
      <c r="F127" s="756">
        <v>87</v>
      </c>
      <c r="G127" s="756"/>
      <c r="H127" s="756"/>
      <c r="I127" s="756"/>
      <c r="J127" s="750">
        <v>96</v>
      </c>
      <c r="K127" s="750">
        <v>46210.875</v>
      </c>
      <c r="L127" s="750" t="s">
        <v>708</v>
      </c>
      <c r="M127" s="756" t="str">
        <f t="shared" ca="1" si="330"/>
        <v>Suiza</v>
      </c>
      <c r="N127" s="756" t="str">
        <f t="shared" ca="1" si="330"/>
        <v>Colombia</v>
      </c>
      <c r="O127" s="756"/>
      <c r="P127" s="756"/>
      <c r="Q127" s="756"/>
      <c r="R127" s="756"/>
      <c r="S127" s="756"/>
      <c r="T127" s="756"/>
      <c r="U127" s="756"/>
      <c r="V127" s="178"/>
      <c r="W127" s="844"/>
      <c r="X127" s="234">
        <f ca="1">Horarios!C127</f>
        <v>46210.916666666664</v>
      </c>
      <c r="Y127" s="235">
        <f ca="1">Horarios!C127</f>
        <v>46210.916666666664</v>
      </c>
      <c r="Z127" s="305">
        <f t="shared" si="331"/>
        <v>96</v>
      </c>
      <c r="AA127" s="306" t="str">
        <f t="shared" ca="1" si="332"/>
        <v>Suiza</v>
      </c>
      <c r="AB127" s="307">
        <v>4</v>
      </c>
      <c r="AC127" s="316">
        <v>0</v>
      </c>
      <c r="AD127" s="316">
        <v>0</v>
      </c>
      <c r="AE127" s="307">
        <v>3</v>
      </c>
      <c r="AF127" s="309" t="str">
        <f t="shared" ca="1" si="333"/>
        <v>Colombia</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Suiza-Colombia</v>
      </c>
      <c r="DU127" s="756"/>
      <c r="DV127" s="756"/>
      <c r="DW127" s="8"/>
    </row>
    <row r="128" spans="1:127" ht="16" customHeight="1" thickBot="1" x14ac:dyDescent="0.25">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 customHeight="1" thickBot="1" x14ac:dyDescent="0.25">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 customHeight="1" x14ac:dyDescent="0.2">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 customHeight="1" x14ac:dyDescent="0.2">
      <c r="A131" s="750" t="s">
        <v>746</v>
      </c>
      <c r="B131" s="750" t="s">
        <v>747</v>
      </c>
      <c r="C131" s="751"/>
      <c r="D131" s="759" t="str">
        <f ca="1">IF(AND(OR(AC131="",AD131="")),"W"&amp;AH131,IF(AC131&gt;AD131,AA131,IF(AC131&lt;AD131,AF131,IF(AND(AC131=AD131,AB131=AE131),"W"&amp;AH131,IF(AND(AC131=AD131,OR(AB131="",AE131="")),"W"&amp;AH131,IF(AND(AC131=AD131,AB131&gt;AE131),AA131,AF131))))))</f>
        <v>Francia</v>
      </c>
      <c r="E131" s="756">
        <v>89</v>
      </c>
      <c r="F131" s="756">
        <v>90</v>
      </c>
      <c r="G131" s="756"/>
      <c r="H131" s="756"/>
      <c r="I131" s="756"/>
      <c r="J131" s="750">
        <v>97</v>
      </c>
      <c r="K131" s="750">
        <v>46212.75</v>
      </c>
      <c r="L131" s="750" t="s">
        <v>709</v>
      </c>
      <c r="M131" s="756" t="str">
        <f t="shared" ref="M131:N134" ca="1" si="335">+INDEX($D$101:$D$147,MATCH(E131,$AH$101:$AH$147,0))</f>
        <v>Francia</v>
      </c>
      <c r="N131" s="756" t="str">
        <f t="shared" ca="1" si="335"/>
        <v>Marruecos</v>
      </c>
      <c r="O131" s="756"/>
      <c r="P131" s="756"/>
      <c r="Q131" s="756"/>
      <c r="R131" s="756"/>
      <c r="S131" s="756"/>
      <c r="T131" s="756"/>
      <c r="U131" s="756"/>
      <c r="V131" s="178"/>
      <c r="W131" s="845" t="s">
        <v>34</v>
      </c>
      <c r="X131" s="195">
        <f ca="1">Horarios!C131</f>
        <v>46212.916666666664</v>
      </c>
      <c r="Y131" s="196">
        <f ca="1">Horarios!C131</f>
        <v>46212.916666666664</v>
      </c>
      <c r="Z131" s="317">
        <f t="shared" ref="Z131:Z134" si="336">AH131</f>
        <v>97</v>
      </c>
      <c r="AA131" s="283" t="str">
        <f t="shared" ref="AA131:AA134" ca="1" si="337">+INDEX($M$101:$M$147,MATCH(AH131,$J$101:$J$147,0))</f>
        <v>Francia</v>
      </c>
      <c r="AB131" s="314"/>
      <c r="AC131" s="311">
        <v>2</v>
      </c>
      <c r="AD131" s="311">
        <v>0</v>
      </c>
      <c r="AE131" s="285"/>
      <c r="AF131" s="318" t="str">
        <f ca="1">+INDEX($N$101:$N$147,MATCH(AH131,$J$101:$J$147,0))</f>
        <v>Marruecos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Francia-Marruecos</v>
      </c>
      <c r="DU131" s="756"/>
      <c r="DV131" s="756"/>
      <c r="DW131" s="8"/>
    </row>
    <row r="132" spans="1:127" ht="16" customHeight="1" x14ac:dyDescent="0.2">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45"/>
      <c r="X132" s="195">
        <f ca="1">Horarios!C132</f>
        <v>46213.875</v>
      </c>
      <c r="Y132" s="196">
        <f ca="1">Horarios!C132</f>
        <v>46213.875</v>
      </c>
      <c r="Z132" s="317">
        <f t="shared" si="336"/>
        <v>98</v>
      </c>
      <c r="AA132" s="283" t="str">
        <f t="shared" ca="1" si="337"/>
        <v>España</v>
      </c>
      <c r="AB132" s="284"/>
      <c r="AC132" s="315">
        <v>2</v>
      </c>
      <c r="AD132" s="315">
        <v>1</v>
      </c>
      <c r="AE132" s="284"/>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6" customHeight="1" x14ac:dyDescent="0.2">
      <c r="A133" s="750" t="s">
        <v>750</v>
      </c>
      <c r="B133" s="750" t="s">
        <v>751</v>
      </c>
      <c r="C133" s="751"/>
      <c r="D133" s="759" t="str">
        <f ca="1">IF(AND(OR(AC133="",AD133="")),"W"&amp;AH133,IF(AC133&gt;AD133,AA133,IF(AC133&lt;AD133,AF133,IF(AND(AC133=AD133,AB133=AE133),"W"&amp;AH133,IF(AND(AC133=AD133,OR(AB133="",AE133="")),"W"&amp;AH133,IF(AND(AC133=AD133,AB133&gt;AE133),AA133,AF133))))))</f>
        <v>Inglaterra</v>
      </c>
      <c r="E133" s="756">
        <v>91</v>
      </c>
      <c r="F133" s="756">
        <v>92</v>
      </c>
      <c r="G133" s="756"/>
      <c r="H133" s="756"/>
      <c r="I133" s="756"/>
      <c r="J133" s="750">
        <v>99</v>
      </c>
      <c r="K133" s="750">
        <v>46214.75</v>
      </c>
      <c r="L133" s="750" t="s">
        <v>711</v>
      </c>
      <c r="M133" s="756" t="str">
        <f t="shared" ca="1" si="335"/>
        <v>Noruega</v>
      </c>
      <c r="N133" s="756" t="str">
        <f t="shared" ca="1" si="335"/>
        <v>Inglaterra</v>
      </c>
      <c r="O133" s="756"/>
      <c r="P133" s="756"/>
      <c r="Q133" s="756"/>
      <c r="R133" s="756"/>
      <c r="S133" s="756"/>
      <c r="T133" s="756"/>
      <c r="U133" s="756"/>
      <c r="V133" s="178"/>
      <c r="W133" s="845"/>
      <c r="X133" s="195">
        <f ca="1">Horarios!C133</f>
        <v>46214.958333333336</v>
      </c>
      <c r="Y133" s="196">
        <f ca="1">Horarios!C133</f>
        <v>46214.958333333336</v>
      </c>
      <c r="Z133" s="317">
        <f t="shared" si="336"/>
        <v>99</v>
      </c>
      <c r="AA133" s="283" t="str">
        <f t="shared" ca="1" si="337"/>
        <v>Noruega</v>
      </c>
      <c r="AB133" s="284"/>
      <c r="AC133" s="315">
        <v>1</v>
      </c>
      <c r="AD133" s="315">
        <v>2</v>
      </c>
      <c r="AE133" s="284"/>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Noruega-Inglaterra</v>
      </c>
      <c r="DU133" s="756"/>
      <c r="DV133" s="756"/>
      <c r="DW133" s="8"/>
    </row>
    <row r="134" spans="1:127" ht="16" customHeight="1" thickBot="1" x14ac:dyDescent="0.25">
      <c r="A134" s="750" t="s">
        <v>752</v>
      </c>
      <c r="B134" s="750" t="s">
        <v>753</v>
      </c>
      <c r="C134" s="751"/>
      <c r="D134" s="759" t="str">
        <f ca="1">IF(AND(OR(AC134="",AD134="")),"W"&amp;AH134,IF(AC134&gt;AD134,AA134,IF(AC134&lt;AD134,AF134,IF(AND(AC134=AD134,AB134=AE134),"W"&amp;AH134,IF(AND(AC134=AD134,OR(AB134="",AE134="")),"W"&amp;AH134,IF(AND(AC134=AD134,AB134&gt;AE134),AA134,AF134))))))</f>
        <v>Argentina</v>
      </c>
      <c r="E134" s="756">
        <v>95</v>
      </c>
      <c r="F134" s="756">
        <v>96</v>
      </c>
      <c r="G134" s="756"/>
      <c r="H134" s="756"/>
      <c r="I134" s="756"/>
      <c r="J134" s="750">
        <v>100</v>
      </c>
      <c r="K134" s="750">
        <v>46214.875</v>
      </c>
      <c r="L134" s="750" t="s">
        <v>712</v>
      </c>
      <c r="M134" s="756" t="str">
        <f t="shared" ca="1" si="335"/>
        <v>Argentina</v>
      </c>
      <c r="N134" s="756" t="str">
        <f t="shared" ca="1" si="335"/>
        <v>Suiza</v>
      </c>
      <c r="O134" s="756"/>
      <c r="P134" s="756"/>
      <c r="Q134" s="756"/>
      <c r="R134" s="756"/>
      <c r="S134" s="756"/>
      <c r="T134" s="756"/>
      <c r="U134" s="756"/>
      <c r="V134" s="178"/>
      <c r="W134" s="846"/>
      <c r="X134" s="234">
        <f ca="1">Horarios!C134</f>
        <v>46215.125</v>
      </c>
      <c r="Y134" s="235">
        <f ca="1">Horarios!C134</f>
        <v>46215.125</v>
      </c>
      <c r="Z134" s="320">
        <f t="shared" si="336"/>
        <v>100</v>
      </c>
      <c r="AA134" s="306" t="str">
        <f t="shared" ca="1" si="337"/>
        <v>Argentina</v>
      </c>
      <c r="AB134" s="307"/>
      <c r="AC134" s="316">
        <v>3</v>
      </c>
      <c r="AD134" s="316">
        <v>1</v>
      </c>
      <c r="AE134" s="307"/>
      <c r="AF134" s="321" t="str">
        <f ca="1">+INDEX($N$101:$N$147,MATCH(AH134,$J$101:$J$147,0))</f>
        <v>Suiza</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Argentina-Suiza</v>
      </c>
      <c r="DU134" s="756"/>
      <c r="DV134" s="756"/>
      <c r="DW134" s="8"/>
    </row>
    <row r="135" spans="1:127" ht="16" customHeight="1" thickBot="1" x14ac:dyDescent="0.25">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 customHeight="1" thickBot="1" x14ac:dyDescent="0.25">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 customHeight="1" x14ac:dyDescent="0.2">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 customHeight="1" x14ac:dyDescent="0.2">
      <c r="A138" s="750" t="s">
        <v>754</v>
      </c>
      <c r="B138" s="750" t="s">
        <v>755</v>
      </c>
      <c r="C138" s="751"/>
      <c r="D138" s="759" t="str">
        <f ca="1">IF(AND(OR(AC138="",AD138="")),"W"&amp;AH138,IF(AC138&gt;AD138,AA138,IF(AC138&lt;AD138,AF138,IF(AND(AC138=AD138,AB138=AE138),"W"&amp;AH138,IF(AND(AC138=AD138,OR(AB138="",AE138="")),"W"&amp;AH138,IF(AND(AC138=AD138,AB138&gt;AE138),AA138,AF138))))))</f>
        <v>España</v>
      </c>
      <c r="E138" s="756">
        <v>97</v>
      </c>
      <c r="F138" s="756">
        <v>98</v>
      </c>
      <c r="G138" s="756"/>
      <c r="H138" s="756" t="str">
        <f ca="1">IF(AND(OR(AC138="",AD138="")),"L101",IF(AC138&gt;AD138,AF138,IF(AC138&lt;AD138,AA138,IF(AND(AC138=AD138,AB138=AE138),"L101",IF(AND(AC138=AD138,OR(AB138="",AE138="")),"L101",IF(AND(AC138=AD138,AB138&gt;AE138),AF138,AA138))))))</f>
        <v>Francia</v>
      </c>
      <c r="I138" s="756"/>
      <c r="J138" s="750">
        <v>101</v>
      </c>
      <c r="K138" s="750">
        <v>46217.875</v>
      </c>
      <c r="L138" s="750" t="s">
        <v>713</v>
      </c>
      <c r="M138" s="750" t="str">
        <f ca="1">+INDEX($D$101:$D$147,MATCH(E138,$AH$101:$AH$147,0))</f>
        <v>Francia</v>
      </c>
      <c r="N138" s="750" t="str">
        <f ca="1">+INDEX($D$101:$D$147,MATCH(F138,$AH$101:$AH$147,0))</f>
        <v>España</v>
      </c>
      <c r="O138" s="750"/>
      <c r="P138" s="750"/>
      <c r="Q138" s="750"/>
      <c r="R138" s="750"/>
      <c r="S138" s="750"/>
      <c r="T138" s="750"/>
      <c r="U138" s="750"/>
      <c r="V138" s="178"/>
      <c r="W138" s="847" t="s">
        <v>35</v>
      </c>
      <c r="X138" s="195">
        <f ca="1">Horarios!C138</f>
        <v>46217.875</v>
      </c>
      <c r="Y138" s="196">
        <f ca="1">Horarios!C138</f>
        <v>46217.875</v>
      </c>
      <c r="Z138" s="317">
        <f t="shared" ref="Z138:Z139" si="339">AH138</f>
        <v>101</v>
      </c>
      <c r="AA138" s="283" t="str">
        <f t="shared" ref="AA138:AA139" ca="1" si="340">+INDEX($M$101:$M$147,MATCH(AH138,$J$101:$J$147,0))</f>
        <v>Francia</v>
      </c>
      <c r="AB138" s="284"/>
      <c r="AC138" s="329">
        <v>1</v>
      </c>
      <c r="AD138" s="329">
        <v>2</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Francia-España</v>
      </c>
      <c r="DU138" s="756"/>
      <c r="DV138" s="756"/>
      <c r="DW138" s="8"/>
    </row>
    <row r="139" spans="1:127" ht="16" customHeight="1" thickBot="1" x14ac:dyDescent="0.25">
      <c r="A139" s="750" t="s">
        <v>756</v>
      </c>
      <c r="B139" s="750" t="s">
        <v>757</v>
      </c>
      <c r="C139" s="751"/>
      <c r="D139" s="759" t="str">
        <f ca="1">IF(AND(OR(AC139="",AD139="")),"W"&amp;AH139,IF(AC139&gt;AD139,AA139,IF(AC139&lt;AD139,AF139,IF(AND(AC139=AD139,AB139=AE139),"W"&amp;AH139,IF(AND(AC139=AD139,OR(AB139="",AE139="")),"W"&amp;AH139,IF(AND(AC139=AD139,AB139&gt;AE139),AA139,AF139))))))</f>
        <v>Argentina</v>
      </c>
      <c r="E139" s="756">
        <v>99</v>
      </c>
      <c r="F139" s="756">
        <v>100</v>
      </c>
      <c r="G139" s="756"/>
      <c r="H139" s="756" t="str">
        <f ca="1">IF(AND(OR(AC139="",AD139="")),"L102",IF(AC139&gt;AD139,AF139,IF(AC139&lt;AD139,AA139,IF(AND(AC139=AD139,AB139=AE139),"W102",IF(AND(AC139=AD139,OR(AB139="",AE139="")),"L102",IF(AND(AC139=AD139,AB139&gt;AE139),AF139,AA139))))))</f>
        <v>Inglaterra</v>
      </c>
      <c r="I139" s="756"/>
      <c r="J139" s="750">
        <v>102</v>
      </c>
      <c r="K139" s="750">
        <v>46218.875</v>
      </c>
      <c r="L139" s="750" t="s">
        <v>714</v>
      </c>
      <c r="M139" s="750" t="str">
        <f ca="1">+INDEX($D$101:$D$147,MATCH(E139,$AH$101:$AH$147,0))</f>
        <v>Inglaterra</v>
      </c>
      <c r="N139" s="750" t="str">
        <f ca="1">+INDEX($D$101:$D$147,MATCH(F139,$AH$101:$AH$147,0))</f>
        <v>Argentina</v>
      </c>
      <c r="O139" s="750"/>
      <c r="P139" s="750"/>
      <c r="Q139" s="750"/>
      <c r="R139" s="750"/>
      <c r="S139" s="750"/>
      <c r="T139" s="750"/>
      <c r="U139" s="750"/>
      <c r="V139" s="178"/>
      <c r="W139" s="848"/>
      <c r="X139" s="330">
        <f ca="1">Horarios!C139</f>
        <v>46218.875</v>
      </c>
      <c r="Y139" s="331">
        <f ca="1">Horarios!C139</f>
        <v>46218.875</v>
      </c>
      <c r="Z139" s="332">
        <f t="shared" si="339"/>
        <v>102</v>
      </c>
      <c r="AA139" s="333" t="str">
        <f t="shared" ca="1" si="340"/>
        <v>Inglaterra</v>
      </c>
      <c r="AB139" s="334"/>
      <c r="AC139" s="316">
        <v>1</v>
      </c>
      <c r="AD139" s="316">
        <v>2</v>
      </c>
      <c r="AE139" s="334"/>
      <c r="AF139" s="335" t="str">
        <f ca="1">+INDEX($N$101:$N$147,MATCH(AH139,$J$101:$J$147,0))</f>
        <v>Argentina</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Inglaterra-Argentina</v>
      </c>
      <c r="DU139" s="756"/>
      <c r="DV139" s="756"/>
      <c r="DW139" s="8"/>
    </row>
    <row r="140" spans="1:127" ht="16" customHeight="1" thickBot="1" x14ac:dyDescent="0.25">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 customHeight="1" thickBot="1" x14ac:dyDescent="0.25">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 customHeight="1" x14ac:dyDescent="0.2">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 customHeight="1" thickBot="1" x14ac:dyDescent="0.25">
      <c r="A143" s="750" t="s">
        <v>758</v>
      </c>
      <c r="B143" s="750" t="s">
        <v>759</v>
      </c>
      <c r="C143" s="751"/>
      <c r="D143" s="759" t="str">
        <f ca="1">IF(AND(OR(AC143="",AD143="")),"W"&amp;AH143,IF(AC143&gt;AD143,AA143,IF(AC143&lt;AD143,AF143,IF(AND(AC143=AD143,AB143=AE143),"W"&amp;AH143,IF(AND(AC143=AD143,OR(AB143="",AE143="")),"W"&amp;AH143,IF(AND(AC143=AD143,AB143&gt;AE143),AA143,AF143))))))</f>
        <v>Inglaterra</v>
      </c>
      <c r="E143" s="756">
        <v>101</v>
      </c>
      <c r="F143" s="756">
        <v>102</v>
      </c>
      <c r="G143" s="756"/>
      <c r="H143" s="756"/>
      <c r="I143" s="756"/>
      <c r="J143" s="750">
        <v>103</v>
      </c>
      <c r="K143" s="750">
        <v>46221.875</v>
      </c>
      <c r="L143" s="750" t="s">
        <v>715</v>
      </c>
      <c r="M143" s="750" t="str">
        <f ca="1">+INDEX($D$101:$D$147,MATCH(E143,$AH$101:$AH$147,0))</f>
        <v>España</v>
      </c>
      <c r="N143" s="750" t="str">
        <f ca="1">+INDEX($D$101:$D$147,MATCH(F143,$AH$101:$AH$147,0))</f>
        <v>Argentina</v>
      </c>
      <c r="O143" s="750"/>
      <c r="P143" s="750"/>
      <c r="Q143" s="750"/>
      <c r="R143" s="750"/>
      <c r="S143" s="750"/>
      <c r="T143" s="750"/>
      <c r="U143" s="750"/>
      <c r="V143" s="178"/>
      <c r="W143" s="337" t="s">
        <v>493</v>
      </c>
      <c r="X143" s="330">
        <f ca="1">Horarios!C143</f>
        <v>46221.958333333336</v>
      </c>
      <c r="Y143" s="331">
        <f ca="1">Horarios!C143</f>
        <v>46221.958333333336</v>
      </c>
      <c r="Z143" s="338">
        <f>AH143</f>
        <v>103</v>
      </c>
      <c r="AA143" s="339" t="str">
        <f ca="1">IF(AND(OR(AC138="",AD138="")),"L101",IF(AC138&gt;AD138,AF138,IF(AC138&lt;AD138,AA138,IF(AND(AC138=AD138,AB138=AE138),"L101",IF(AND(AC138=AD138,OR(AB138="",AE138="")),"L101",IF(AND(AC138=AD138,AB138&gt;AE138),AF138,AA138))))))</f>
        <v>Francia</v>
      </c>
      <c r="AB143" s="340"/>
      <c r="AC143" s="341">
        <v>4</v>
      </c>
      <c r="AD143" s="341">
        <v>6</v>
      </c>
      <c r="AE143" s="340"/>
      <c r="AF143" s="342" t="str">
        <f ca="1">IF(AND(OR(AC139="",AD139="")),"L102",IF(AC139&gt;AD139,AF139,IF(AC139&lt;AD139,AA139,IF(AND(AC139=AD139,AB139=AE139),"L102",IF(AND(AC139=AD139,OR(AB139="",AE139="")),"L102",IF(AND(AC139=AD139,AB139&gt;AE139),AF139,AA139))))))</f>
        <v>Inglaterra</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Francia-Inglaterra</v>
      </c>
      <c r="DU143" s="756"/>
      <c r="DV143" s="756"/>
      <c r="DW143" s="8"/>
    </row>
    <row r="144" spans="1:127" ht="16" customHeight="1" thickBot="1" x14ac:dyDescent="0.25">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 customHeight="1" thickBot="1" x14ac:dyDescent="0.25">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 customHeight="1" x14ac:dyDescent="0.2">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 customHeight="1" thickBot="1" x14ac:dyDescent="0.25">
      <c r="A147" s="750" t="s">
        <v>760</v>
      </c>
      <c r="B147" s="750" t="s">
        <v>761</v>
      </c>
      <c r="C147" s="751"/>
      <c r="D147" s="759" t="str">
        <f ca="1">IF(AND(OR(AC147="",AD147="")),"W"&amp;AH147,IF(AC147&gt;AD147,AA147,IF(AC147&lt;AD147,AF147,IF(AND(AC147=AD147,AB147=AE147),"W"&amp;AH147,IF(AND(AC147=AD147,OR(AB147="",AE147="")),"W"&amp;AH147,IF(AND(AC147=AD147,AB147&gt;AE147),AA147,AF147))))))</f>
        <v>España</v>
      </c>
      <c r="E147" s="756">
        <v>101</v>
      </c>
      <c r="F147" s="756">
        <v>102</v>
      </c>
      <c r="G147" s="756"/>
      <c r="H147" s="756" t="str">
        <f ca="1">IF(AND(OR(AC147="",AD147="")),"LF",IF(AC147&gt;AD147,AF147,IF(AC147&lt;AD147,AA147,IF(AND(AC147=AD147,AB147=AE147),"LF",IF(AND(AC147=AD147,OR(AB147="",AE147="")),"LF",IF(AND(AC147=AD147,AB147&gt;AE147),AF147,AA147))))))</f>
        <v>Argentina</v>
      </c>
      <c r="I147" s="756"/>
      <c r="J147" s="750">
        <v>104</v>
      </c>
      <c r="K147" s="750">
        <v>46222.875</v>
      </c>
      <c r="L147" s="750" t="s">
        <v>716</v>
      </c>
      <c r="M147" s="750" t="str">
        <f ca="1">+INDEX($D$101:$D$147,MATCH(E147,$AH$101:$AH$147,0))</f>
        <v>España</v>
      </c>
      <c r="N147" s="750" t="str">
        <f ca="1">+INDEX($D$101:$D$147,MATCH(F147,$AH$101:$AH$147,0))</f>
        <v>Argentina</v>
      </c>
      <c r="O147" s="750"/>
      <c r="P147" s="750"/>
      <c r="Q147" s="750"/>
      <c r="R147" s="750"/>
      <c r="S147" s="750"/>
      <c r="T147" s="750"/>
      <c r="U147" s="750"/>
      <c r="V147" s="178"/>
      <c r="W147" s="344" t="s">
        <v>4</v>
      </c>
      <c r="X147" s="330">
        <f ca="1">Horarios!C147</f>
        <v>46222.875</v>
      </c>
      <c r="Y147" s="331">
        <f ca="1">Horarios!C147</f>
        <v>46222.875</v>
      </c>
      <c r="Z147" s="338">
        <f>AH147</f>
        <v>104</v>
      </c>
      <c r="AA147" s="339" t="str">
        <f ca="1">IF(AND(OR(AC138="",AD138="")),"W"&amp;AH138,IF(AC138&gt;AD138,AA138,IF(AC138&lt;AD138,AF138,IF(AND(AC138=AD138,AB138=AE138),"W"&amp;AH138,IF(AND(AC138=AD138,OR(AB138="",AE138="")),"W"&amp;AH138,IF(AND(AC138=AD138,AB138&gt;AE138),AA138,AF138))))))</f>
        <v>España</v>
      </c>
      <c r="AB147" s="340"/>
      <c r="AC147" s="341">
        <v>1</v>
      </c>
      <c r="AD147" s="341">
        <v>0</v>
      </c>
      <c r="AE147" s="340"/>
      <c r="AF147" s="342" t="str">
        <f ca="1">IF(AND(OR(AC139="",AD139="")),"W"&amp;AH139,IF(AC139&gt;AD139,AA139,IF(AC139&lt;AD139,AF139,IF(AND(AC139=AD139,AB139=AE139),"W"&amp;AH139,IF(AND(AC139=AD139,OR(AB139="",AE139="")),"W"&amp;AH139,IF(AND(AC139=AD139,AB139&gt;AE139),AA139,AF139))))))</f>
        <v>Argentina</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España-Argentina</v>
      </c>
      <c r="DU147" s="756"/>
      <c r="DV147" s="756"/>
      <c r="DW147" s="8"/>
    </row>
    <row r="148" spans="1:127" ht="16" customHeight="1" thickBot="1" x14ac:dyDescent="0.25">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 customHeight="1" thickBot="1" x14ac:dyDescent="0.25">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 customHeight="1" thickBot="1" x14ac:dyDescent="0.25">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España</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 customHeight="1" x14ac:dyDescent="0.2">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Argentina</v>
      </c>
      <c r="AB151" s="359"/>
      <c r="AC151" s="359"/>
      <c r="AD151" s="359"/>
      <c r="AE151" s="359"/>
      <c r="AF151" s="360"/>
      <c r="AG151" s="425">
        <f ca="1">IF(AA151="LF",0,1)</f>
        <v>1</v>
      </c>
      <c r="AH151" s="351"/>
      <c r="AI151" s="351"/>
      <c r="AJ151" s="809" t="str">
        <f ca="1">IF(SUM(COUNTIF(AG4:AG97,0),COUNTIF(AG101:AG160,0)&gt;0),AL148,AL149)</f>
        <v>MUNDIAL FINALIZADO</v>
      </c>
      <c r="AK151" s="810"/>
      <c r="AL151" s="810"/>
      <c r="AM151" s="810"/>
      <c r="AN151" s="810"/>
      <c r="AO151" s="810"/>
      <c r="AP151" s="810"/>
      <c r="AQ151" s="810"/>
      <c r="AR151" s="810"/>
      <c r="AS151" s="810"/>
      <c r="AT151" s="810"/>
      <c r="AU151" s="811"/>
      <c r="AV151" s="361"/>
      <c r="AW151" s="249"/>
      <c r="AX151" s="248"/>
      <c r="AY151" s="250"/>
      <c r="AZ151" s="251"/>
      <c r="BA151" s="181"/>
      <c r="DW151" s="8"/>
    </row>
    <row r="152" spans="1:127" ht="16" customHeight="1" thickBot="1" x14ac:dyDescent="0.25">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Inglaterra</v>
      </c>
      <c r="AB152" s="366"/>
      <c r="AC152" s="366"/>
      <c r="AD152" s="366"/>
      <c r="AE152" s="366"/>
      <c r="AF152" s="367"/>
      <c r="AG152" s="425">
        <f ca="1">IF(AA152="W34",0,1)</f>
        <v>1</v>
      </c>
      <c r="AH152" s="351"/>
      <c r="AI152" s="351"/>
      <c r="AJ152" s="812"/>
      <c r="AK152" s="813"/>
      <c r="AL152" s="813"/>
      <c r="AM152" s="813"/>
      <c r="AN152" s="813"/>
      <c r="AO152" s="813"/>
      <c r="AP152" s="813"/>
      <c r="AQ152" s="813"/>
      <c r="AR152" s="813"/>
      <c r="AS152" s="813"/>
      <c r="AT152" s="813"/>
      <c r="AU152" s="814"/>
      <c r="AV152" s="361"/>
      <c r="AW152" s="249"/>
      <c r="AX152" s="248"/>
      <c r="AY152" s="250"/>
      <c r="AZ152" s="251"/>
      <c r="BA152" s="181"/>
      <c r="DW152" s="8"/>
    </row>
    <row r="153" spans="1:127" ht="16" customHeight="1" thickBot="1" x14ac:dyDescent="0.25">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12"/>
      <c r="AK153" s="813"/>
      <c r="AL153" s="813"/>
      <c r="AM153" s="813"/>
      <c r="AN153" s="813"/>
      <c r="AO153" s="813"/>
      <c r="AP153" s="813"/>
      <c r="AQ153" s="813"/>
      <c r="AR153" s="813"/>
      <c r="AS153" s="813"/>
      <c r="AT153" s="813"/>
      <c r="AU153" s="814"/>
      <c r="AV153" s="361"/>
      <c r="AW153" s="249"/>
      <c r="AX153" s="248"/>
      <c r="AY153" s="250"/>
      <c r="AZ153" s="251"/>
      <c r="BA153" s="181"/>
      <c r="DW153" s="8"/>
    </row>
    <row r="154" spans="1:127" ht="16" customHeight="1" x14ac:dyDescent="0.2">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
        <v>2094</v>
      </c>
      <c r="AB154" s="372"/>
      <c r="AC154" s="372"/>
      <c r="AD154" s="372"/>
      <c r="AE154" s="372"/>
      <c r="AF154" s="373"/>
      <c r="AG154" s="425">
        <f>IF(AA154=AH154,0,IF(AA154="",0,1))</f>
        <v>1</v>
      </c>
      <c r="AH154" s="374" t="str">
        <f>+Idiomas!D41</f>
        <v>Escribe el jugador Bota de Oro</v>
      </c>
      <c r="AI154" s="351"/>
      <c r="AJ154" s="812"/>
      <c r="AK154" s="813"/>
      <c r="AL154" s="813"/>
      <c r="AM154" s="813"/>
      <c r="AN154" s="813"/>
      <c r="AO154" s="813"/>
      <c r="AP154" s="813"/>
      <c r="AQ154" s="813"/>
      <c r="AR154" s="813"/>
      <c r="AS154" s="813"/>
      <c r="AT154" s="813"/>
      <c r="AU154" s="814"/>
      <c r="AV154" s="361"/>
      <c r="AW154" s="249"/>
      <c r="AX154" s="248"/>
      <c r="AY154" s="250"/>
      <c r="AZ154" s="251"/>
      <c r="BA154" s="181"/>
      <c r="DW154" s="8"/>
    </row>
    <row r="155" spans="1:127" ht="16" customHeight="1" x14ac:dyDescent="0.2">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
        <v>2095</v>
      </c>
      <c r="AB155" s="377"/>
      <c r="AC155" s="377"/>
      <c r="AD155" s="377"/>
      <c r="AE155" s="377"/>
      <c r="AF155" s="378"/>
      <c r="AG155" s="425">
        <f t="shared" ref="AG155:AG156" si="341">IF(AA155=AH155,0,IF(AA155="",0,1))</f>
        <v>1</v>
      </c>
      <c r="AH155" s="351" t="str">
        <f>+Idiomas!D42</f>
        <v>Escribe el jugador Bota de Plata</v>
      </c>
      <c r="AI155" s="351"/>
      <c r="AJ155" s="823" t="str">
        <f ca="1">IF(SUM(COUNTIF(AG4:AG97,0),COUNTIF(AG101:AG160,0)&gt;0),AM148,AM149)</f>
        <v>¿Quién habrá ganado?</v>
      </c>
      <c r="AK155" s="824"/>
      <c r="AL155" s="824"/>
      <c r="AM155" s="824"/>
      <c r="AN155" s="824"/>
      <c r="AO155" s="824"/>
      <c r="AP155" s="824"/>
      <c r="AQ155" s="824"/>
      <c r="AR155" s="824"/>
      <c r="AS155" s="824"/>
      <c r="AT155" s="824"/>
      <c r="AU155" s="825"/>
      <c r="AV155" s="361"/>
      <c r="AW155" s="249"/>
      <c r="AX155" s="248"/>
      <c r="AY155" s="250"/>
      <c r="AZ155" s="251"/>
      <c r="BA155" s="379"/>
      <c r="DW155" s="8"/>
    </row>
    <row r="156" spans="1:127" ht="16" customHeight="1" thickBot="1" x14ac:dyDescent="0.25">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
        <v>2091</v>
      </c>
      <c r="AB156" s="382"/>
      <c r="AC156" s="382"/>
      <c r="AD156" s="382"/>
      <c r="AE156" s="382"/>
      <c r="AF156" s="383"/>
      <c r="AG156" s="425">
        <f t="shared" si="341"/>
        <v>1</v>
      </c>
      <c r="AH156" s="351" t="str">
        <f>+Idiomas!D43</f>
        <v>Escribe el jugador Bota de Bronce</v>
      </c>
      <c r="AI156" s="351"/>
      <c r="AJ156" s="823"/>
      <c r="AK156" s="824"/>
      <c r="AL156" s="824"/>
      <c r="AM156" s="824"/>
      <c r="AN156" s="824"/>
      <c r="AO156" s="824"/>
      <c r="AP156" s="824"/>
      <c r="AQ156" s="824"/>
      <c r="AR156" s="824"/>
      <c r="AS156" s="824"/>
      <c r="AT156" s="824"/>
      <c r="AU156" s="825"/>
      <c r="AV156" s="361"/>
      <c r="AW156" s="249"/>
      <c r="AX156" s="248"/>
      <c r="AY156" s="250"/>
      <c r="AZ156" s="251"/>
      <c r="BA156" s="379"/>
      <c r="DW156" s="8"/>
    </row>
    <row r="157" spans="1:127" ht="16" customHeight="1" thickBot="1" x14ac:dyDescent="0.25">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26"/>
      <c r="AK157" s="827"/>
      <c r="AL157" s="827"/>
      <c r="AM157" s="827"/>
      <c r="AN157" s="827"/>
      <c r="AO157" s="827"/>
      <c r="AP157" s="827"/>
      <c r="AQ157" s="827"/>
      <c r="AR157" s="827"/>
      <c r="AS157" s="827"/>
      <c r="AT157" s="827"/>
      <c r="AU157" s="828"/>
      <c r="AV157" s="361"/>
      <c r="AW157" s="249"/>
      <c r="AX157" s="248"/>
      <c r="AY157" s="250"/>
      <c r="AZ157" s="251"/>
      <c r="BA157" s="379"/>
      <c r="DW157" s="8"/>
    </row>
    <row r="158" spans="1:127" ht="16" customHeight="1" x14ac:dyDescent="0.2">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
        <v>2096</v>
      </c>
      <c r="AB158" s="372"/>
      <c r="AC158" s="372"/>
      <c r="AD158" s="372"/>
      <c r="AE158" s="372"/>
      <c r="AF158" s="373"/>
      <c r="AG158" s="425">
        <f t="shared" ref="AG158:AG160" si="342">IF(AA158=AH158,0,IF(AA158="",0,1))</f>
        <v>1</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 customHeight="1" x14ac:dyDescent="0.2">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
        <v>2095</v>
      </c>
      <c r="AB159" s="377"/>
      <c r="AC159" s="377"/>
      <c r="AD159" s="377"/>
      <c r="AE159" s="377"/>
      <c r="AF159" s="378"/>
      <c r="AG159" s="425">
        <f t="shared" si="342"/>
        <v>1</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 customHeight="1" thickBot="1" x14ac:dyDescent="0.25">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
        <v>2094</v>
      </c>
      <c r="AB160" s="382"/>
      <c r="AC160" s="382"/>
      <c r="AD160" s="382"/>
      <c r="AE160" s="382"/>
      <c r="AF160" s="383"/>
      <c r="AG160" s="425">
        <f t="shared" si="342"/>
        <v>1</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 customHeight="1" thickBot="1" x14ac:dyDescent="0.25">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21" t="str">
        <f>+Idiomas!D12</f>
        <v>Donar</v>
      </c>
      <c r="AP161" s="822"/>
      <c r="AQ161" s="179"/>
      <c r="AR161" s="179"/>
      <c r="AS161" s="179"/>
      <c r="AT161" s="179"/>
      <c r="AU161" s="351"/>
      <c r="AV161" s="361"/>
      <c r="AW161" s="249"/>
      <c r="AX161" s="248"/>
      <c r="AY161" s="250"/>
      <c r="AZ161" s="251"/>
      <c r="BA161" s="379"/>
      <c r="DW161" s="8"/>
    </row>
    <row r="162" spans="1:127" ht="16" customHeight="1" thickBot="1" x14ac:dyDescent="0.25">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 customHeight="1" x14ac:dyDescent="0.2">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 customHeight="1" x14ac:dyDescent="0.2">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 customHeight="1" x14ac:dyDescent="0.2">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x14ac:dyDescent="0.2">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x14ac:dyDescent="0.2">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x14ac:dyDescent="0.2">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x14ac:dyDescent="0.2">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x14ac:dyDescent="0.2">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x14ac:dyDescent="0.2">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x14ac:dyDescent="0.2">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x14ac:dyDescent="0.2">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x14ac:dyDescent="0.2">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x14ac:dyDescent="0.2">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x14ac:dyDescent="0.2">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x14ac:dyDescent="0.2">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x14ac:dyDescent="0.2">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x14ac:dyDescent="0.2">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x14ac:dyDescent="0.2">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x14ac:dyDescent="0.2">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x14ac:dyDescent="0.2">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x14ac:dyDescent="0.2">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x14ac:dyDescent="0.2">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x14ac:dyDescent="0.2">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x14ac:dyDescent="0.2">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x14ac:dyDescent="0.2">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x14ac:dyDescent="0.2">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x14ac:dyDescent="0.2">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x14ac:dyDescent="0.2">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x14ac:dyDescent="0.2">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x14ac:dyDescent="0.2">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5" zoomScaleNormal="100" workbookViewId="0">
      <selection activeCell="C2" sqref="C2"/>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5" style="1" hidden="1" customWidth="1"/>
    <col min="2" max="2" width="3.5" style="1" customWidth="1"/>
    <col min="3" max="3" width="47.83203125" style="1" bestFit="1" customWidth="1"/>
    <col min="4" max="4" width="11.33203125" style="1" customWidth="1"/>
    <col min="5" max="5" width="4.5" style="7" customWidth="1"/>
    <col min="6" max="6" width="10.83203125" style="730" hidden="1" customWidth="1"/>
    <col min="7" max="7" width="7.83203125" style="5" hidden="1" customWidth="1"/>
    <col min="8" max="8" width="14.1640625" style="5" hidden="1" customWidth="1"/>
    <col min="9" max="9" width="6.5" style="67" customWidth="1"/>
    <col min="10" max="10" width="8.33203125" style="110" customWidth="1"/>
    <col min="11" max="11" width="30.6640625" style="92" bestFit="1" customWidth="1"/>
    <col min="12" max="12" width="2.83203125" style="67" customWidth="1"/>
    <col min="13" max="13" width="30" style="92" customWidth="1"/>
    <col min="14" max="14" width="3.6640625" style="452" hidden="1" customWidth="1"/>
    <col min="15" max="15" width="3.1640625" style="452" hidden="1" customWidth="1"/>
    <col min="16" max="16" width="2.83203125" style="452" hidden="1" customWidth="1"/>
    <col min="17" max="17" width="3.1640625" style="452" hidden="1" customWidth="1"/>
    <col min="18" max="18" width="2.83203125" style="5" customWidth="1"/>
    <col min="19" max="19" width="29.6640625" style="92" bestFit="1" customWidth="1"/>
    <col min="20" max="20" width="5.1640625" style="92" customWidth="1"/>
    <col min="21" max="21" width="2.83203125" style="20" customWidth="1"/>
    <col min="22" max="22" width="29.6640625" style="92" bestFit="1" customWidth="1"/>
    <col min="23" max="23" width="5.1640625" style="92" customWidth="1"/>
    <col min="24" max="24" width="2.83203125" style="20" customWidth="1"/>
    <col min="25" max="25" width="29.6640625" style="92" bestFit="1" customWidth="1"/>
    <col min="26" max="26" width="5.1640625" style="92" customWidth="1"/>
    <col min="27" max="27" width="2.83203125" style="20" customWidth="1"/>
    <col min="28" max="28" width="29.6640625" style="92" bestFit="1" customWidth="1"/>
    <col min="29" max="29" width="5.1640625" style="92" customWidth="1"/>
    <col min="30" max="30" width="2.83203125" style="20" customWidth="1"/>
    <col min="31" max="31" width="29.6640625" style="92" bestFit="1" customWidth="1"/>
    <col min="32" max="32" width="5.1640625" style="92" customWidth="1"/>
    <col min="33" max="34" width="2.83203125" style="20" customWidth="1"/>
    <col min="35" max="1518" width="0" style="1" hidden="1" customWidth="1"/>
    <col min="1519" max="16384" width="10.83203125" style="1" hidden="1"/>
  </cols>
  <sheetData>
    <row r="1" spans="1:34" s="20" customFormat="1" ht="16" thickBot="1" x14ac:dyDescent="0.25">
      <c r="A1" s="71"/>
      <c r="B1" s="71"/>
      <c r="C1" s="71"/>
      <c r="D1" s="71"/>
      <c r="E1" s="117"/>
      <c r="F1" s="742"/>
      <c r="G1" s="55"/>
      <c r="H1" s="55"/>
      <c r="I1" s="71"/>
      <c r="J1" s="99"/>
      <c r="K1" s="673"/>
      <c r="L1" s="71"/>
      <c r="M1" s="93"/>
      <c r="N1" s="25"/>
      <c r="O1" s="25"/>
      <c r="P1" s="25"/>
      <c r="Q1" s="25"/>
      <c r="R1" s="55"/>
      <c r="S1" s="93">
        <f ca="1">+IFERROR(RANK(S2,OFFSET($S$2,0,0,1,$D$5*3),0),"-")</f>
        <v>3</v>
      </c>
      <c r="T1" s="93"/>
      <c r="U1" s="71"/>
      <c r="V1" s="93">
        <f ca="1">+IFERROR(RANK(V2,OFFSET($S$2,0,0,1,$D$5*3),0),"-")</f>
        <v>4</v>
      </c>
      <c r="W1" s="93"/>
      <c r="X1" s="71"/>
      <c r="Y1" s="93">
        <f ca="1">+IFERROR(RANK(Y2,OFFSET($S$2,0,0,1,$D$5*3),0),"-")</f>
        <v>5</v>
      </c>
      <c r="Z1" s="93"/>
      <c r="AA1" s="71"/>
      <c r="AB1" s="93">
        <f ca="1">+IFERROR(RANK(AB2,OFFSET($S$2,0,0,1,$D$5*3),0),"-")</f>
        <v>1</v>
      </c>
      <c r="AC1" s="93"/>
      <c r="AD1" s="71"/>
      <c r="AE1" s="93">
        <f ca="1">+IFERROR(RANK(AE2,OFFSET($S$2,0,0,1,$D$5*3),0),"-")</f>
        <v>2</v>
      </c>
      <c r="AF1" s="93"/>
      <c r="AG1" s="71"/>
      <c r="AH1" s="117"/>
    </row>
    <row r="2" spans="1:34" s="20" customFormat="1" ht="22" customHeight="1" thickBot="1" x14ac:dyDescent="0.25">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475.99810000000002</v>
      </c>
      <c r="T2" s="93"/>
      <c r="U2" s="71"/>
      <c r="V2" s="93">
        <f t="shared" ref="V2" ca="1" si="0">V4-(COLUMN()/10000)</f>
        <v>438.99779999999998</v>
      </c>
      <c r="W2" s="93"/>
      <c r="X2" s="71"/>
      <c r="Y2" s="93">
        <f t="shared" ref="Y2" ca="1" si="1">Y4-(COLUMN()/10000)</f>
        <v>434.9975</v>
      </c>
      <c r="Z2" s="93"/>
      <c r="AA2" s="71"/>
      <c r="AB2" s="93">
        <f t="shared" ref="AB2" ca="1" si="2">AB4-(COLUMN()/10000)</f>
        <v>553.99720000000002</v>
      </c>
      <c r="AC2" s="93"/>
      <c r="AD2" s="71"/>
      <c r="AE2" s="93">
        <f t="shared" ref="AE2" ca="1" si="3">AE4-(COLUMN()/10000)</f>
        <v>484.99689999999998</v>
      </c>
      <c r="AF2" s="93"/>
      <c r="AG2" s="71"/>
      <c r="AH2" s="117"/>
    </row>
    <row r="3" spans="1:34" s="20" customFormat="1" x14ac:dyDescent="0.2">
      <c r="A3" s="71"/>
      <c r="B3" s="71"/>
      <c r="C3" s="71"/>
      <c r="D3" s="71"/>
      <c r="E3" s="117"/>
      <c r="F3" s="742"/>
      <c r="G3" s="55"/>
      <c r="H3" s="55"/>
      <c r="I3" s="71"/>
      <c r="J3" s="99"/>
      <c r="K3" s="93"/>
      <c r="L3" s="71"/>
      <c r="M3" s="93"/>
      <c r="N3" s="25"/>
      <c r="O3" s="25"/>
      <c r="P3" s="25"/>
      <c r="Q3" s="25"/>
      <c r="R3" s="55"/>
      <c r="S3" s="93">
        <f ca="1">RANK(S4,OFFSET($S$4,0,0,1,$D$5*3),0)</f>
        <v>3</v>
      </c>
      <c r="T3" s="93"/>
      <c r="U3" s="71"/>
      <c r="V3" s="93">
        <f ca="1">RANK(V4,OFFSET($S$4,0,0,1,$D$5*3),0)</f>
        <v>4</v>
      </c>
      <c r="W3" s="93"/>
      <c r="X3" s="71"/>
      <c r="Y3" s="93">
        <f ca="1">RANK(Y4,OFFSET($S$4,0,0,1,$D$5*3),0)</f>
        <v>5</v>
      </c>
      <c r="Z3" s="93"/>
      <c r="AA3" s="71"/>
      <c r="AB3" s="93">
        <f ca="1">RANK(AB4,OFFSET($S$4,0,0,1,$D$5*3),0)</f>
        <v>1</v>
      </c>
      <c r="AC3" s="93"/>
      <c r="AD3" s="71"/>
      <c r="AE3" s="93">
        <f ca="1">RANK(AE4,OFFSET($S$4,0,0,1,$D$5*3),0)</f>
        <v>2</v>
      </c>
      <c r="AF3" s="93"/>
      <c r="AG3" s="71"/>
      <c r="AH3" s="117"/>
    </row>
    <row r="4" spans="1:34" ht="15" customHeight="1" thickBot="1" x14ac:dyDescent="0.25">
      <c r="A4" s="55"/>
      <c r="B4" s="55"/>
      <c r="C4" s="56"/>
      <c r="D4" s="55"/>
      <c r="E4" s="117"/>
      <c r="F4" s="742"/>
      <c r="G4" s="55"/>
      <c r="H4" s="55"/>
      <c r="I4" s="674"/>
      <c r="J4" s="99"/>
      <c r="K4" s="93"/>
      <c r="L4" s="71"/>
      <c r="M4" s="93"/>
      <c r="N4" s="25"/>
      <c r="O4" s="25"/>
      <c r="P4" s="25"/>
      <c r="Q4" s="25"/>
      <c r="R4" s="55"/>
      <c r="S4" s="73">
        <f ca="1">SUM(T6:T259)/2</f>
        <v>476</v>
      </c>
      <c r="T4" s="74"/>
      <c r="U4" s="71"/>
      <c r="V4" s="73">
        <f ca="1">SUM(W6:W259)/2</f>
        <v>439</v>
      </c>
      <c r="W4" s="74"/>
      <c r="X4" s="71"/>
      <c r="Y4" s="73">
        <f ca="1">SUM(Z6:Z259)/2</f>
        <v>435</v>
      </c>
      <c r="Z4" s="74"/>
      <c r="AA4" s="71"/>
      <c r="AB4" s="73">
        <f ca="1">SUM(AC6:AC259)/2</f>
        <v>554</v>
      </c>
      <c r="AC4" s="74"/>
      <c r="AD4" s="71"/>
      <c r="AE4" s="73">
        <f ca="1">SUM(AF6:AF259)/2</f>
        <v>485</v>
      </c>
      <c r="AF4" s="74"/>
      <c r="AG4" s="71"/>
      <c r="AH4" s="71"/>
    </row>
    <row r="5" spans="1:34" ht="22" thickBot="1" x14ac:dyDescent="0.25">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
        <v>1958</v>
      </c>
      <c r="T5" s="76"/>
      <c r="U5" s="71">
        <v>1</v>
      </c>
      <c r="V5" s="75" t="s">
        <v>1964</v>
      </c>
      <c r="W5" s="76"/>
      <c r="X5" s="71">
        <v>2</v>
      </c>
      <c r="Y5" s="75" t="s">
        <v>1967</v>
      </c>
      <c r="Z5" s="76"/>
      <c r="AA5" s="71">
        <v>3</v>
      </c>
      <c r="AB5" s="75" t="s">
        <v>1968</v>
      </c>
      <c r="AC5" s="76"/>
      <c r="AD5" s="71">
        <v>4</v>
      </c>
      <c r="AE5" s="75" t="s">
        <v>1969</v>
      </c>
      <c r="AF5" s="76"/>
      <c r="AG5" s="71">
        <v>5</v>
      </c>
      <c r="AH5" s="71"/>
    </row>
    <row r="6" spans="1:34" ht="16" thickBot="1" x14ac:dyDescent="0.25">
      <c r="A6" s="55"/>
      <c r="B6" s="55"/>
      <c r="C6" s="677"/>
      <c r="D6" s="55"/>
      <c r="E6" s="117"/>
      <c r="F6" s="453">
        <f>SUM($D$8:$D$10)*I6</f>
        <v>6</v>
      </c>
      <c r="G6" s="453">
        <f ca="1">VLOOKUP(H6,Equipos!$Q$1:$R$25,2,0)</f>
        <v>1</v>
      </c>
      <c r="H6" s="454">
        <f ca="1">TRUNC(INDEX(WORLDCUP!$X$4:$X$147,MATCH(ADMIN!K6,WORLDCUP!$DT$4:$DT$147,0)))</f>
        <v>46184</v>
      </c>
      <c r="I6" s="54">
        <v>1</v>
      </c>
      <c r="J6" s="101" t="s">
        <v>112</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
        <v>1941</v>
      </c>
      <c r="T6" s="79">
        <f>IFERROR(IF($M6=S6,($D$8+$D$9+$D$10)*$I6,IF($N6=LEFT(S6,1),($D$8+MAX(0,IF($D$50=1,$D$9*(1-(ABS($Q6-ABS(VALUE(MID(S6,FIND("|",S6)+1,FIND("-",S6)-FIND("|",S6)-1))-VALUE(MID(S6,FIND("-",S6)+1,10)))))*$D$50),$D$9*(1-(IF($N6="X",ABS($O6-VALUE(MID(S6,FIND("|",S6)+1,FIND("-",S6)-FIND("|",S6)-1))),ABS($Q6-ABS(VALUE(MID(S6,FIND("|",S6)+1,FIND("-",S6)-FIND("|",S6)-1))-VALUE(MID(S6,FIND("-",S6)+1,10)))))*$D$50)))))*$I6,0)),0)</f>
        <v>2</v>
      </c>
      <c r="U6" s="117"/>
      <c r="V6" s="78" t="s">
        <v>1950</v>
      </c>
      <c r="W6" s="79">
        <f>IFERROR(IF($M6=V6,($D$8+$D$9+$D$10)*$I6,IF($N6=LEFT(V6,1),($D$8+MAX(0,IF($D$50=1,$D$9*(1-(ABS($Q6-ABS(VALUE(MID(V6,FIND("|",V6)+1,FIND("-",V6)-FIND("|",V6)-1))-VALUE(MID(V6,FIND("-",V6)+1,10)))))*$D$50),$D$9*(1-(IF($N6="X",ABS($O6-VALUE(MID(V6,FIND("|",V6)+1,FIND("-",V6)-FIND("|",V6)-1))),ABS($Q6-ABS(VALUE(MID(V6,FIND("|",V6)+1,FIND("-",V6)-FIND("|",V6)-1))-VALUE(MID(V6,FIND("-",V6)+1,10)))))*$D$50)))))*$I6,0)),0)</f>
        <v>2</v>
      </c>
      <c r="X6" s="117"/>
      <c r="Y6" s="78" t="s">
        <v>1941</v>
      </c>
      <c r="Z6" s="79">
        <f t="shared" ref="Z6" si="4">IFERROR(IF($M6=Y6,($D$8+$D$9+$D$10)*$I6,IF($N6=LEFT(Y6,1),($D$8+MAX(0,IF($D$50=1,$D$9*(1-(ABS($Q6-ABS(VALUE(MID(Y6,FIND("|",Y6)+1,FIND("-",Y6)-FIND("|",Y6)-1))-VALUE(MID(Y6,FIND("-",Y6)+1,10)))))*$D$50),$D$9*(1-(IF($N6="X",ABS($O6-VALUE(MID(Y6,FIND("|",Y6)+1,FIND("-",Y6)-FIND("|",Y6)-1))),ABS($Q6-ABS(VALUE(MID(Y6,FIND("|",Y6)+1,FIND("-",Y6)-FIND("|",Y6)-1))-VALUE(MID(Y6,FIND("-",Y6)+1,10)))))*$D$50)))))*$I6,0)),0)</f>
        <v>2</v>
      </c>
      <c r="AA6" s="117"/>
      <c r="AB6" s="78" t="s">
        <v>1941</v>
      </c>
      <c r="AC6" s="79">
        <f t="shared" ref="AC6" si="5">IFERROR(IF($M6=AB6,($D$8+$D$9+$D$10)*$I6,IF($N6=LEFT(AB6,1),($D$8+MAX(0,IF($D$50=1,$D$9*(1-(ABS($Q6-ABS(VALUE(MID(AB6,FIND("|",AB6)+1,FIND("-",AB6)-FIND("|",AB6)-1))-VALUE(MID(AB6,FIND("-",AB6)+1,10)))))*$D$50),$D$9*(1-(IF($N6="X",ABS($O6-VALUE(MID(AB6,FIND("|",AB6)+1,FIND("-",AB6)-FIND("|",AB6)-1))),ABS($Q6-ABS(VALUE(MID(AB6,FIND("|",AB6)+1,FIND("-",AB6)-FIND("|",AB6)-1))-VALUE(MID(AB6,FIND("-",AB6)+1,10)))))*$D$50)))))*$I6,0)),0)</f>
        <v>2</v>
      </c>
      <c r="AD6" s="117"/>
      <c r="AE6" s="78" t="s">
        <v>1949</v>
      </c>
      <c r="AF6" s="79">
        <f t="shared" ref="AF6" si="6">IFERROR(IF($M6=AE6,($D$8+$D$9+$D$10)*$I6,IF($N6=LEFT(AE6,1),($D$8+MAX(0,IF($D$50=1,$D$9*(1-(ABS($Q6-ABS(VALUE(MID(AE6,FIND("|",AE6)+1,FIND("-",AE6)-FIND("|",AE6)-1))-VALUE(MID(AE6,FIND("-",AE6)+1,10)))))*$D$50),$D$9*(1-(IF($N6="X",ABS($O6-VALUE(MID(AE6,FIND("|",AE6)+1,FIND("-",AE6)-FIND("|",AE6)-1))),ABS($Q6-ABS(VALUE(MID(AE6,FIND("|",AE6)+1,FIND("-",AE6)-FIND("|",AE6)-1))-VALUE(MID(AE6,FIND("-",AE6)+1,10)))))*$D$50)))))*$I6,0)),0)</f>
        <v>6</v>
      </c>
      <c r="AG6" s="117"/>
      <c r="AH6" s="117"/>
    </row>
    <row r="7" spans="1:34" x14ac:dyDescent="0.2">
      <c r="A7" s="55"/>
      <c r="B7" s="55"/>
      <c r="C7" s="790" t="str">
        <f>HYPERLINK(Idiomas!D302,Idiomas!D301)</f>
        <v>Regla* (Click para ver la explicación)</v>
      </c>
      <c r="D7" s="60" t="str">
        <f>Idiomas!D303</f>
        <v>Puntos</v>
      </c>
      <c r="E7" s="117"/>
      <c r="F7" s="453">
        <f t="shared" ref="F7:F70" si="7">SUM($D$8:$D$10)*I7</f>
        <v>6</v>
      </c>
      <c r="G7" s="453">
        <f ca="1">VLOOKUP(H7,Equipos!$Q$1:$R$25,2,0)</f>
        <v>2</v>
      </c>
      <c r="H7" s="454">
        <f ca="1">TRUNC(INDEX(WORLDCUP!$X$4:$X$147,MATCH(ADMIN!K7,WORLDCUP!$DT$4:$DT$147,0)))</f>
        <v>46185</v>
      </c>
      <c r="I7" s="54">
        <v>1</v>
      </c>
      <c r="J7" s="101" t="s">
        <v>112</v>
      </c>
      <c r="K7" s="59" t="str">
        <f ca="1">CONCATENATE(WORLDCUP!AA5,"-",WORLDCUP!AF5)</f>
        <v>Corea del Sur-República Checa</v>
      </c>
      <c r="L7" s="59"/>
      <c r="M7" s="61" t="str">
        <f>IF(OR(WORLDCUP!AC5="",WORLDCUP!AD5=""),"-",N7&amp;"|"&amp;O7&amp;"-"&amp;P7)</f>
        <v>1|2-1</v>
      </c>
      <c r="N7" s="25" t="str">
        <f>IF(OR(WORLDCUP!AC5="",WORLDCUP!AD5=""),"",IF(WORLDCUP!AC5&gt;WORLDCUP!AD5,"1",IF(WORLDCUP!AC5&lt;WORLDCUP!AD5,"2","X")))</f>
        <v>1</v>
      </c>
      <c r="O7" s="25">
        <f>WORLDCUP!AC5</f>
        <v>2</v>
      </c>
      <c r="P7" s="25">
        <f>WORLDCUP!AD5</f>
        <v>1</v>
      </c>
      <c r="Q7" s="25">
        <f>ABS(O7-P7)</f>
        <v>1</v>
      </c>
      <c r="R7" s="55"/>
      <c r="S7" s="78" t="s">
        <v>1942</v>
      </c>
      <c r="T7" s="79">
        <f t="shared" ref="T7:T70" si="8">IFERROR(IF($M7=S7,($D$8+$D$9+$D$10)*$I7,IF($N7=LEFT(S7,1),($D$8+MAX(0,IF($D$50=1,$D$9*(1-(ABS($Q7-ABS(VALUE(MID(S7,FIND("|",S7)+1,FIND("-",S7)-FIND("|",S7)-1))-VALUE(MID(S7,FIND("-",S7)+1,10)))))*$D$50),$D$9*(1-(IF($N7="X",ABS($O7-VALUE(MID(S7,FIND("|",S7)+1,FIND("-",S7)-FIND("|",S7)-1))),ABS($Q7-ABS(VALUE(MID(S7,FIND("|",S7)+1,FIND("-",S7)-FIND("|",S7)-1))-VALUE(MID(S7,FIND("-",S7)+1,10)))))*$D$50)))))*$I7,0)),0)</f>
        <v>0</v>
      </c>
      <c r="U7" s="117"/>
      <c r="V7" s="78" t="s">
        <v>1943</v>
      </c>
      <c r="W7" s="79">
        <f t="shared" ref="W7:W41" si="9">IFERROR(IF($M7=V7,($D$8+$D$9+$D$10)*$I7,IF($N7=LEFT(V7,1),($D$8+MAX(0,IF($D$50=1,$D$9*(1-(ABS($Q7-ABS(VALUE(MID(V7,FIND("|",V7)+1,FIND("-",V7)-FIND("|",V7)-1))-VALUE(MID(V7,FIND("-",V7)+1,10)))))*$D$50),$D$9*(1-(IF($N7="X",ABS($O7-VALUE(MID(V7,FIND("|",V7)+1,FIND("-",V7)-FIND("|",V7)-1))),ABS($Q7-ABS(VALUE(MID(V7,FIND("|",V7)+1,FIND("-",V7)-FIND("|",V7)-1))-VALUE(MID(V7,FIND("-",V7)+1,10)))))*$D$50)))))*$I7,0)),0)</f>
        <v>0</v>
      </c>
      <c r="X7" s="117"/>
      <c r="Y7" s="78" t="s">
        <v>1945</v>
      </c>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t="s">
        <v>1943</v>
      </c>
      <c r="AC7" s="79">
        <f t="shared" si="10"/>
        <v>0</v>
      </c>
      <c r="AD7" s="117"/>
      <c r="AE7" s="78" t="s">
        <v>1943</v>
      </c>
      <c r="AF7" s="79">
        <f t="shared" si="10"/>
        <v>0</v>
      </c>
      <c r="AG7" s="117"/>
      <c r="AH7" s="117"/>
    </row>
    <row r="8" spans="1:34" x14ac:dyDescent="0.2">
      <c r="A8" s="55"/>
      <c r="B8" s="55"/>
      <c r="C8" s="445" t="str">
        <f>Idiomas!D304</f>
        <v>FASE DE GRUPOS - Signo 1X2 (local, empate, visitante)</v>
      </c>
      <c r="D8" s="68">
        <v>2</v>
      </c>
      <c r="E8" s="117"/>
      <c r="F8" s="453">
        <f t="shared" si="7"/>
        <v>6</v>
      </c>
      <c r="G8" s="453">
        <f ca="1">VLOOKUP(H8,Equipos!$Q$1:$R$25,2,0)</f>
        <v>2</v>
      </c>
      <c r="H8" s="454">
        <f ca="1">TRUNC(INDEX(WORLDCUP!$X$4:$X$147,MATCH(ADMIN!K8,WORLDCUP!$DT$4:$DT$147,0)))</f>
        <v>46185</v>
      </c>
      <c r="I8" s="54">
        <v>1</v>
      </c>
      <c r="J8" s="102" t="s">
        <v>113</v>
      </c>
      <c r="K8" s="59" t="str">
        <f ca="1">CONCATENATE(WORLDCUP!AA12,"-",WORLDCUP!AF12)</f>
        <v>Canadá-Bosnia y Herzegovina</v>
      </c>
      <c r="L8" s="59"/>
      <c r="M8" s="61" t="str">
        <f>IF(OR(WORLDCUP!AC12="",WORLDCUP!AD12=""),"-",N8&amp;"|"&amp;O8&amp;"-"&amp;P8)</f>
        <v>X|1-1</v>
      </c>
      <c r="N8" s="25" t="str">
        <f>IF(OR(WORLDCUP!AC12="",WORLDCUP!AD12=""),"",IF(WORLDCUP!AC12&gt;WORLDCUP!AD12,"1",IF(WORLDCUP!AC12&lt;WORLDCUP!AD12,"2","X")))</f>
        <v>X</v>
      </c>
      <c r="O8" s="25">
        <f>WORLDCUP!AC12</f>
        <v>1</v>
      </c>
      <c r="P8" s="25">
        <f>WORLDCUP!AD12</f>
        <v>1</v>
      </c>
      <c r="Q8" s="25">
        <f t="shared" ref="Q8:Q70" si="11">ABS(O8-P8)</f>
        <v>0</v>
      </c>
      <c r="R8" s="55"/>
      <c r="S8" s="80" t="s">
        <v>1943</v>
      </c>
      <c r="T8" s="79">
        <f t="shared" si="8"/>
        <v>6</v>
      </c>
      <c r="U8" s="71"/>
      <c r="V8" s="80" t="s">
        <v>1946</v>
      </c>
      <c r="W8" s="79">
        <f t="shared" si="9"/>
        <v>0</v>
      </c>
      <c r="X8" s="71"/>
      <c r="Y8" s="80" t="s">
        <v>1951</v>
      </c>
      <c r="Z8" s="79">
        <f t="shared" si="10"/>
        <v>0</v>
      </c>
      <c r="AA8" s="71"/>
      <c r="AB8" s="80" t="s">
        <v>1943</v>
      </c>
      <c r="AC8" s="79">
        <f t="shared" si="10"/>
        <v>6</v>
      </c>
      <c r="AD8" s="71"/>
      <c r="AE8" s="80" t="s">
        <v>1941</v>
      </c>
      <c r="AF8" s="79">
        <f t="shared" si="10"/>
        <v>0</v>
      </c>
      <c r="AG8" s="71"/>
      <c r="AH8" s="71"/>
    </row>
    <row r="9" spans="1:34" x14ac:dyDescent="0.2">
      <c r="A9" s="55"/>
      <c r="B9" s="55"/>
      <c r="C9" s="446" t="str">
        <f>Idiomas!D305&amp;"**"</f>
        <v>FASE DE GRUPOS - Diferencia/Distancia de goles (Con 1X2 acertado)**</v>
      </c>
      <c r="D9" s="50">
        <v>1</v>
      </c>
      <c r="E9" s="117"/>
      <c r="F9" s="453">
        <f t="shared" si="7"/>
        <v>6</v>
      </c>
      <c r="G9" s="453">
        <f ca="1">VLOOKUP(H9,Equipos!$Q$1:$R$25,2,0)</f>
        <v>3</v>
      </c>
      <c r="H9" s="454">
        <f ca="1">TRUNC(INDEX(WORLDCUP!$X$4:$X$147,MATCH(ADMIN!K9,WORLDCUP!$DT$4:$DT$147,0)))</f>
        <v>46186</v>
      </c>
      <c r="I9" s="54">
        <v>1</v>
      </c>
      <c r="J9" s="102" t="s">
        <v>113</v>
      </c>
      <c r="K9" s="59" t="str">
        <f ca="1">CONCATENATE(WORLDCUP!AA13,"-",WORLDCUP!AF13)</f>
        <v>Catar-Suiza</v>
      </c>
      <c r="L9" s="59"/>
      <c r="M9" s="61" t="str">
        <f>IF(OR(WORLDCUP!AC13="",WORLDCUP!AD13=""),"-",N9&amp;"|"&amp;O9&amp;"-"&amp;P9)</f>
        <v>X|1-1</v>
      </c>
      <c r="N9" s="25" t="str">
        <f>IF(OR(WORLDCUP!AC13="",WORLDCUP!AD13=""),"",IF(WORLDCUP!AC13&gt;WORLDCUP!AD13,"1",IF(WORLDCUP!AC13&lt;WORLDCUP!AD13,"2","X")))</f>
        <v>X</v>
      </c>
      <c r="O9" s="25">
        <f>WORLDCUP!AC13</f>
        <v>1</v>
      </c>
      <c r="P9" s="25">
        <f>WORLDCUP!AD13</f>
        <v>1</v>
      </c>
      <c r="Q9" s="25">
        <f t="shared" si="11"/>
        <v>0</v>
      </c>
      <c r="R9" s="55"/>
      <c r="S9" s="81" t="s">
        <v>1944</v>
      </c>
      <c r="T9" s="79">
        <f t="shared" si="8"/>
        <v>0</v>
      </c>
      <c r="U9" s="71"/>
      <c r="V9" s="81" t="s">
        <v>1946</v>
      </c>
      <c r="W9" s="79">
        <f t="shared" si="9"/>
        <v>0</v>
      </c>
      <c r="X9" s="71"/>
      <c r="Y9" s="81" t="s">
        <v>1942</v>
      </c>
      <c r="Z9" s="79">
        <f t="shared" si="10"/>
        <v>0</v>
      </c>
      <c r="AA9" s="71"/>
      <c r="AB9" s="81" t="s">
        <v>1946</v>
      </c>
      <c r="AC9" s="79">
        <f t="shared" si="10"/>
        <v>0</v>
      </c>
      <c r="AD9" s="71"/>
      <c r="AE9" s="81" t="s">
        <v>1944</v>
      </c>
      <c r="AF9" s="79">
        <f t="shared" si="10"/>
        <v>0</v>
      </c>
      <c r="AG9" s="71"/>
      <c r="AH9" s="71"/>
    </row>
    <row r="10" spans="1:34" x14ac:dyDescent="0.2">
      <c r="A10" s="55"/>
      <c r="B10" s="55"/>
      <c r="C10" s="445" t="str">
        <f>Idiomas!D306</f>
        <v>FASE DE GRUPOS - Resultado exacto</v>
      </c>
      <c r="D10" s="68">
        <v>3</v>
      </c>
      <c r="E10" s="117"/>
      <c r="F10" s="453">
        <f t="shared" si="7"/>
        <v>6</v>
      </c>
      <c r="G10" s="453">
        <f ca="1">VLOOKUP(H10,Equipos!$Q$1:$R$25,2,0)</f>
        <v>4</v>
      </c>
      <c r="H10" s="454">
        <f ca="1">TRUNC(INDEX(WORLDCUP!$X$4:$X$147,MATCH(ADMIN!K10,WORLDCUP!$DT$4:$DT$147,0)))</f>
        <v>46187</v>
      </c>
      <c r="I10" s="54">
        <v>1</v>
      </c>
      <c r="J10" s="101" t="s">
        <v>114</v>
      </c>
      <c r="K10" s="62" t="str">
        <f ca="1">CONCATENATE(WORLDCUP!AA20,"-",WORLDCUP!AF20)</f>
        <v>Brasil-Marruecos</v>
      </c>
      <c r="L10" s="59"/>
      <c r="M10" s="61" t="str">
        <f>IF(OR(WORLDCUP!AC20="",WORLDCUP!AD20=""),"-",N10&amp;"|"&amp;O10&amp;"-"&amp;P10)</f>
        <v>X|1-1</v>
      </c>
      <c r="N10" s="25" t="str">
        <f>IF(OR(WORLDCUP!AC20="",WORLDCUP!AD20=""),"",IF(WORLDCUP!AC20&gt;WORLDCUP!AD20,"1",IF(WORLDCUP!AC20&lt;WORLDCUP!AD20,"2","X")))</f>
        <v>X</v>
      </c>
      <c r="O10" s="25">
        <f>WORLDCUP!AC20</f>
        <v>1</v>
      </c>
      <c r="P10" s="25">
        <f>WORLDCUP!AD20</f>
        <v>1</v>
      </c>
      <c r="Q10" s="25">
        <f t="shared" si="11"/>
        <v>0</v>
      </c>
      <c r="R10" s="55"/>
      <c r="S10" s="80" t="s">
        <v>1945</v>
      </c>
      <c r="T10" s="79">
        <f t="shared" si="8"/>
        <v>3</v>
      </c>
      <c r="U10" s="71"/>
      <c r="V10" s="80" t="s">
        <v>1945</v>
      </c>
      <c r="W10" s="79">
        <f t="shared" si="9"/>
        <v>3</v>
      </c>
      <c r="X10" s="71"/>
      <c r="Y10" s="80" t="s">
        <v>1965</v>
      </c>
      <c r="Z10" s="79">
        <f t="shared" si="10"/>
        <v>3</v>
      </c>
      <c r="AA10" s="71"/>
      <c r="AB10" s="80" t="s">
        <v>1941</v>
      </c>
      <c r="AC10" s="79">
        <f t="shared" si="10"/>
        <v>0</v>
      </c>
      <c r="AD10" s="71"/>
      <c r="AE10" s="80" t="s">
        <v>1941</v>
      </c>
      <c r="AF10" s="79">
        <f t="shared" si="10"/>
        <v>0</v>
      </c>
      <c r="AG10" s="71"/>
      <c r="AH10" s="71"/>
    </row>
    <row r="11" spans="1:34" x14ac:dyDescent="0.2">
      <c r="A11" s="55"/>
      <c r="B11" s="55"/>
      <c r="C11" s="446" t="str">
        <f>Idiomas!D307</f>
        <v>FASE DE GRUPOS - Posición exacta (1º)</v>
      </c>
      <c r="D11" s="50">
        <v>4</v>
      </c>
      <c r="E11" s="117"/>
      <c r="F11" s="453">
        <f t="shared" si="7"/>
        <v>6</v>
      </c>
      <c r="G11" s="453">
        <f ca="1">VLOOKUP(H11,Equipos!$Q$1:$R$25,2,0)</f>
        <v>4</v>
      </c>
      <c r="H11" s="454">
        <f ca="1">TRUNC(INDEX(WORLDCUP!$X$4:$X$147,MATCH(ADMIN!K11,WORLDCUP!$DT$4:$DT$147,0)))</f>
        <v>46187</v>
      </c>
      <c r="I11" s="54">
        <v>1</v>
      </c>
      <c r="J11" s="101" t="s">
        <v>114</v>
      </c>
      <c r="K11" s="59" t="str">
        <f ca="1">CONCATENATE(WORLDCUP!AA21,"-",WORLDCUP!AF21)</f>
        <v>Haití-Escocia</v>
      </c>
      <c r="L11" s="59"/>
      <c r="M11" s="61" t="str">
        <f>IF(OR(WORLDCUP!AC21="",WORLDCUP!AD21=""),"-",N11&amp;"|"&amp;O11&amp;"-"&amp;P11)</f>
        <v>2|0-1</v>
      </c>
      <c r="N11" s="25" t="str">
        <f>IF(OR(WORLDCUP!AC21="",WORLDCUP!AD21=""),"",IF(WORLDCUP!AC21&gt;WORLDCUP!AD21,"1",IF(WORLDCUP!AC21&lt;WORLDCUP!AD21,"2","X")))</f>
        <v>2</v>
      </c>
      <c r="O11" s="25">
        <f>WORLDCUP!AC21</f>
        <v>0</v>
      </c>
      <c r="P11" s="25">
        <f>WORLDCUP!AD21</f>
        <v>1</v>
      </c>
      <c r="Q11" s="25">
        <f t="shared" si="11"/>
        <v>1</v>
      </c>
      <c r="R11" s="55"/>
      <c r="S11" s="80" t="s">
        <v>1944</v>
      </c>
      <c r="T11" s="79">
        <f t="shared" si="8"/>
        <v>2</v>
      </c>
      <c r="U11" s="71"/>
      <c r="V11" s="80" t="s">
        <v>1944</v>
      </c>
      <c r="W11" s="79">
        <f t="shared" si="9"/>
        <v>2</v>
      </c>
      <c r="X11" s="71"/>
      <c r="Y11" s="80" t="s">
        <v>1942</v>
      </c>
      <c r="Z11" s="79">
        <f t="shared" si="10"/>
        <v>6</v>
      </c>
      <c r="AA11" s="71"/>
      <c r="AB11" s="80" t="s">
        <v>1946</v>
      </c>
      <c r="AC11" s="79">
        <f t="shared" si="10"/>
        <v>2</v>
      </c>
      <c r="AD11" s="71"/>
      <c r="AE11" s="80" t="s">
        <v>1944</v>
      </c>
      <c r="AF11" s="79">
        <f t="shared" si="10"/>
        <v>2</v>
      </c>
      <c r="AG11" s="71"/>
      <c r="AH11" s="71"/>
    </row>
    <row r="12" spans="1:34" x14ac:dyDescent="0.2">
      <c r="A12" s="55"/>
      <c r="B12" s="55"/>
      <c r="C12" s="445" t="str">
        <f>Idiomas!D308</f>
        <v>FASE DE GRUPOS - Posición exacta (2º)</v>
      </c>
      <c r="D12" s="68">
        <v>3</v>
      </c>
      <c r="E12" s="117"/>
      <c r="F12" s="453">
        <f t="shared" si="7"/>
        <v>6</v>
      </c>
      <c r="G12" s="453">
        <f ca="1">VLOOKUP(H12,Equipos!$Q$1:$R$25,2,0)</f>
        <v>3</v>
      </c>
      <c r="H12" s="454">
        <f ca="1">TRUNC(INDEX(WORLDCUP!$X$4:$X$147,MATCH(ADMIN!K12,WORLDCUP!$DT$4:$DT$147,0)))</f>
        <v>46186</v>
      </c>
      <c r="I12" s="54">
        <v>1</v>
      </c>
      <c r="J12" s="102" t="s">
        <v>115</v>
      </c>
      <c r="K12" s="62" t="str">
        <f ca="1">CONCATENATE(WORLDCUP!AA28,"-",WORLDCUP!AF28)</f>
        <v>Estados Unidos-Paraguay</v>
      </c>
      <c r="L12" s="59"/>
      <c r="M12" s="61" t="str">
        <f>IF(OR(WORLDCUP!AC28="",WORLDCUP!AD28=""),"-",N12&amp;"|"&amp;O12&amp;"-"&amp;P12)</f>
        <v>1|4-1</v>
      </c>
      <c r="N12" s="25" t="str">
        <f>IF(OR(WORLDCUP!AC28="",WORLDCUP!AD28=""),"",IF(WORLDCUP!AC28&gt;WORLDCUP!AD28,"1",IF(WORLDCUP!AC28&lt;WORLDCUP!AD28,"2","X")))</f>
        <v>1</v>
      </c>
      <c r="O12" s="25">
        <f>WORLDCUP!AC28</f>
        <v>4</v>
      </c>
      <c r="P12" s="25">
        <f>WORLDCUP!AD28</f>
        <v>1</v>
      </c>
      <c r="Q12" s="25">
        <f t="shared" si="11"/>
        <v>3</v>
      </c>
      <c r="R12" s="55"/>
      <c r="S12" s="80" t="s">
        <v>1941</v>
      </c>
      <c r="T12" s="79">
        <f t="shared" si="8"/>
        <v>2</v>
      </c>
      <c r="U12" s="71"/>
      <c r="V12" s="80" t="s">
        <v>1959</v>
      </c>
      <c r="W12" s="79">
        <f t="shared" si="9"/>
        <v>0</v>
      </c>
      <c r="X12" s="71"/>
      <c r="Y12" s="80" t="s">
        <v>1951</v>
      </c>
      <c r="Z12" s="79">
        <f t="shared" si="10"/>
        <v>0</v>
      </c>
      <c r="AA12" s="71"/>
      <c r="AB12" s="80" t="s">
        <v>1941</v>
      </c>
      <c r="AC12" s="79">
        <f t="shared" si="10"/>
        <v>2</v>
      </c>
      <c r="AD12" s="71"/>
      <c r="AE12" s="80" t="s">
        <v>1949</v>
      </c>
      <c r="AF12" s="79">
        <f t="shared" si="10"/>
        <v>2</v>
      </c>
      <c r="AG12" s="71"/>
      <c r="AH12" s="71"/>
    </row>
    <row r="13" spans="1:34" x14ac:dyDescent="0.2">
      <c r="A13" s="55"/>
      <c r="B13" s="55"/>
      <c r="C13" s="446" t="str">
        <f>Idiomas!D309</f>
        <v>FASE DE GRUPOS - Posición exacta (3º)</v>
      </c>
      <c r="D13" s="50">
        <v>2</v>
      </c>
      <c r="E13" s="117"/>
      <c r="F13" s="453">
        <f t="shared" si="7"/>
        <v>6</v>
      </c>
      <c r="G13" s="453">
        <f ca="1">VLOOKUP(H13,Equipos!$Q$1:$R$25,2,0)</f>
        <v>4</v>
      </c>
      <c r="H13" s="454">
        <f ca="1">TRUNC(INDEX(WORLDCUP!$X$4:$X$147,MATCH(ADMIN!K13,WORLDCUP!$DT$4:$DT$147,0)))</f>
        <v>46187</v>
      </c>
      <c r="I13" s="54">
        <v>1</v>
      </c>
      <c r="J13" s="102" t="s">
        <v>115</v>
      </c>
      <c r="K13" s="59" t="str">
        <f ca="1">CONCATENATE(WORLDCUP!AA29,"-",WORLDCUP!AF29)</f>
        <v>Australia-Turquía</v>
      </c>
      <c r="L13" s="59"/>
      <c r="M13" s="61" t="str">
        <f>IF(OR(WORLDCUP!AC29="",WORLDCUP!AD29=""),"-",N13&amp;"|"&amp;O13&amp;"-"&amp;P13)</f>
        <v>1|2-0</v>
      </c>
      <c r="N13" s="25" t="str">
        <f>IF(OR(WORLDCUP!AC29="",WORLDCUP!AD29=""),"",IF(WORLDCUP!AC29&gt;WORLDCUP!AD29,"1",IF(WORLDCUP!AC29&lt;WORLDCUP!AD29,"2","X")))</f>
        <v>1</v>
      </c>
      <c r="O13" s="25">
        <f>WORLDCUP!AC29</f>
        <v>2</v>
      </c>
      <c r="P13" s="25">
        <f>WORLDCUP!AD29</f>
        <v>0</v>
      </c>
      <c r="Q13" s="25">
        <f t="shared" si="11"/>
        <v>2</v>
      </c>
      <c r="R13" s="55"/>
      <c r="S13" s="80" t="s">
        <v>1946</v>
      </c>
      <c r="T13" s="79">
        <f t="shared" si="8"/>
        <v>0</v>
      </c>
      <c r="U13" s="71"/>
      <c r="V13" s="80" t="s">
        <v>1946</v>
      </c>
      <c r="W13" s="79">
        <f t="shared" si="9"/>
        <v>0</v>
      </c>
      <c r="X13" s="71"/>
      <c r="Y13" s="80" t="s">
        <v>1945</v>
      </c>
      <c r="Z13" s="79">
        <f t="shared" si="10"/>
        <v>0</v>
      </c>
      <c r="AA13" s="71"/>
      <c r="AB13" s="80" t="s">
        <v>1951</v>
      </c>
      <c r="AC13" s="79">
        <f t="shared" si="10"/>
        <v>0</v>
      </c>
      <c r="AD13" s="71"/>
      <c r="AE13" s="80" t="s">
        <v>1946</v>
      </c>
      <c r="AF13" s="79">
        <f t="shared" si="10"/>
        <v>0</v>
      </c>
      <c r="AG13" s="71"/>
      <c r="AH13" s="71"/>
    </row>
    <row r="14" spans="1:34" x14ac:dyDescent="0.2">
      <c r="A14" s="55"/>
      <c r="B14" s="55"/>
      <c r="C14" s="445" t="str">
        <f>Idiomas!D310</f>
        <v>FASE DE GRUPOS - Posición exacta (4º)</v>
      </c>
      <c r="D14" s="68">
        <v>1</v>
      </c>
      <c r="E14" s="117"/>
      <c r="F14" s="453">
        <f t="shared" si="7"/>
        <v>6</v>
      </c>
      <c r="G14" s="453">
        <f ca="1">VLOOKUP(H14,Equipos!$Q$1:$R$25,2,0)</f>
        <v>4</v>
      </c>
      <c r="H14" s="454">
        <f ca="1">TRUNC(INDEX(WORLDCUP!$X$4:$X$147,MATCH(ADMIN!K14,WORLDCUP!$DT$4:$DT$147,0)))</f>
        <v>46187</v>
      </c>
      <c r="I14" s="54">
        <v>1</v>
      </c>
      <c r="J14" s="101" t="s">
        <v>116</v>
      </c>
      <c r="K14" s="62" t="str">
        <f ca="1">CONCATENATE(WORLDCUP!AA36,"-",WORLDCUP!AF36)</f>
        <v>Alemania-Curazao</v>
      </c>
      <c r="L14" s="59"/>
      <c r="M14" s="61" t="str">
        <f>IF(OR(WORLDCUP!AC36="",WORLDCUP!AD36=""),"-",N14&amp;"|"&amp;O14&amp;"-"&amp;P14)</f>
        <v>1|7-1</v>
      </c>
      <c r="N14" s="25" t="str">
        <f>IF(OR(WORLDCUP!AC36="",WORLDCUP!AD36=""),"",IF(WORLDCUP!AC36&gt;WORLDCUP!AD36,"1",IF(WORLDCUP!AC36&lt;WORLDCUP!AD36,"2","X")))</f>
        <v>1</v>
      </c>
      <c r="O14" s="25">
        <f>WORLDCUP!AC36</f>
        <v>7</v>
      </c>
      <c r="P14" s="25">
        <f>WORLDCUP!AD36</f>
        <v>1</v>
      </c>
      <c r="Q14" s="25">
        <f t="shared" si="11"/>
        <v>6</v>
      </c>
      <c r="R14" s="55"/>
      <c r="S14" s="80" t="s">
        <v>1947</v>
      </c>
      <c r="T14" s="79">
        <f t="shared" si="8"/>
        <v>2</v>
      </c>
      <c r="U14" s="71"/>
      <c r="V14" s="80" t="s">
        <v>1960</v>
      </c>
      <c r="W14" s="79">
        <f t="shared" si="9"/>
        <v>3</v>
      </c>
      <c r="X14" s="71"/>
      <c r="Y14" s="80" t="s">
        <v>1954</v>
      </c>
      <c r="Z14" s="79">
        <f t="shared" si="10"/>
        <v>2</v>
      </c>
      <c r="AA14" s="71"/>
      <c r="AB14" s="80" t="s">
        <v>1947</v>
      </c>
      <c r="AC14" s="79">
        <f t="shared" si="10"/>
        <v>2</v>
      </c>
      <c r="AD14" s="71"/>
      <c r="AE14" s="80" t="s">
        <v>1960</v>
      </c>
      <c r="AF14" s="79">
        <f t="shared" si="10"/>
        <v>3</v>
      </c>
      <c r="AG14" s="71"/>
      <c r="AH14" s="71"/>
    </row>
    <row r="15" spans="1:34" x14ac:dyDescent="0.2">
      <c r="A15" s="55"/>
      <c r="B15" s="55"/>
      <c r="C15" s="447" t="str">
        <f>Idiomas!D311</f>
        <v>Equipo clasificado para DIECISEISAVOS</v>
      </c>
      <c r="D15" s="51">
        <v>2</v>
      </c>
      <c r="E15" s="117"/>
      <c r="F15" s="453">
        <f t="shared" si="7"/>
        <v>6</v>
      </c>
      <c r="G15" s="453">
        <f ca="1">VLOOKUP(H15,Equipos!$Q$1:$R$25,2,0)</f>
        <v>5</v>
      </c>
      <c r="H15" s="454">
        <f ca="1">TRUNC(INDEX(WORLDCUP!$X$4:$X$147,MATCH(ADMIN!K15,WORLDCUP!$DT$4:$DT$147,0)))</f>
        <v>46188</v>
      </c>
      <c r="I15" s="54">
        <v>1</v>
      </c>
      <c r="J15" s="101" t="s">
        <v>116</v>
      </c>
      <c r="K15" s="59" t="str">
        <f ca="1">CONCATENATE(WORLDCUP!AA37,"-",WORLDCUP!AF37)</f>
        <v>Costa de Marfil-Ecuador</v>
      </c>
      <c r="L15" s="59"/>
      <c r="M15" s="61" t="str">
        <f>IF(OR(WORLDCUP!AC37="",WORLDCUP!AD37=""),"-",N15&amp;"|"&amp;O15&amp;"-"&amp;P15)</f>
        <v>1|1-0</v>
      </c>
      <c r="N15" s="25" t="str">
        <f>IF(OR(WORLDCUP!AC37="",WORLDCUP!AD37=""),"",IF(WORLDCUP!AC37&gt;WORLDCUP!AD37,"1",IF(WORLDCUP!AC37&lt;WORLDCUP!AD37,"2","X")))</f>
        <v>1</v>
      </c>
      <c r="O15" s="25">
        <f>WORLDCUP!AC37</f>
        <v>1</v>
      </c>
      <c r="P15" s="25">
        <f>WORLDCUP!AD37</f>
        <v>0</v>
      </c>
      <c r="Q15" s="25">
        <f t="shared" si="11"/>
        <v>1</v>
      </c>
      <c r="R15" s="55"/>
      <c r="S15" s="80" t="s">
        <v>1945</v>
      </c>
      <c r="T15" s="79">
        <f t="shared" si="8"/>
        <v>0</v>
      </c>
      <c r="U15" s="71"/>
      <c r="V15" s="80" t="s">
        <v>1951</v>
      </c>
      <c r="W15" s="79">
        <f t="shared" si="9"/>
        <v>0</v>
      </c>
      <c r="X15" s="71"/>
      <c r="Y15" s="80" t="s">
        <v>1950</v>
      </c>
      <c r="Z15" s="79">
        <f t="shared" si="10"/>
        <v>6</v>
      </c>
      <c r="AA15" s="71"/>
      <c r="AB15" s="80" t="s">
        <v>1943</v>
      </c>
      <c r="AC15" s="79">
        <f t="shared" si="10"/>
        <v>0</v>
      </c>
      <c r="AD15" s="71"/>
      <c r="AE15" s="80" t="s">
        <v>1942</v>
      </c>
      <c r="AF15" s="79">
        <f t="shared" si="10"/>
        <v>0</v>
      </c>
      <c r="AG15" s="71"/>
      <c r="AH15" s="71"/>
    </row>
    <row r="16" spans="1:34" x14ac:dyDescent="0.2">
      <c r="A16" s="55"/>
      <c r="B16" s="55"/>
      <c r="C16" s="445" t="str">
        <f>Idiomas!D312</f>
        <v>DIECISEISAVOS - Signo 1X2 (local, empate, visitante)</v>
      </c>
      <c r="D16" s="68">
        <v>3</v>
      </c>
      <c r="E16" s="117"/>
      <c r="F16" s="453">
        <f t="shared" si="7"/>
        <v>6</v>
      </c>
      <c r="G16" s="453">
        <f ca="1">VLOOKUP(H16,Equipos!$Q$1:$R$25,2,0)</f>
        <v>4</v>
      </c>
      <c r="H16" s="454">
        <f ca="1">TRUNC(INDEX(WORLDCUP!$X$4:$X$147,MATCH(ADMIN!K16,WORLDCUP!$DT$4:$DT$147,0)))</f>
        <v>46187</v>
      </c>
      <c r="I16" s="54">
        <v>1</v>
      </c>
      <c r="J16" s="102" t="s">
        <v>117</v>
      </c>
      <c r="K16" s="62" t="str">
        <f ca="1">CONCATENATE(WORLDCUP!AA44,"-",WORLDCUP!AF44)</f>
        <v>Países Bajos-Japón</v>
      </c>
      <c r="L16" s="59"/>
      <c r="M16" s="61" t="str">
        <f>IF(OR(WORLDCUP!AC44="",WORLDCUP!AD44=""),"-",N16&amp;"|"&amp;O16&amp;"-"&amp;P16)</f>
        <v>X|2-2</v>
      </c>
      <c r="N16" s="25" t="str">
        <f>IF(OR(WORLDCUP!AC44="",WORLDCUP!AD44=""),"",IF(WORLDCUP!AC44&gt;WORLDCUP!AD44,"1",IF(WORLDCUP!AC44&lt;WORLDCUP!AD44,"2","X")))</f>
        <v>X</v>
      </c>
      <c r="O16" s="25">
        <f>WORLDCUP!AC44</f>
        <v>2</v>
      </c>
      <c r="P16" s="25">
        <f>WORLDCUP!AD44</f>
        <v>2</v>
      </c>
      <c r="Q16" s="25">
        <f t="shared" si="11"/>
        <v>0</v>
      </c>
      <c r="R16" s="55"/>
      <c r="S16" s="80" t="s">
        <v>1948</v>
      </c>
      <c r="T16" s="79">
        <f t="shared" si="8"/>
        <v>0</v>
      </c>
      <c r="U16" s="71"/>
      <c r="V16" s="80" t="s">
        <v>1950</v>
      </c>
      <c r="W16" s="79">
        <f t="shared" si="9"/>
        <v>0</v>
      </c>
      <c r="X16" s="71"/>
      <c r="Y16" s="80" t="s">
        <v>1945</v>
      </c>
      <c r="Z16" s="79">
        <f t="shared" si="10"/>
        <v>6</v>
      </c>
      <c r="AA16" s="71"/>
      <c r="AB16" s="80" t="s">
        <v>1943</v>
      </c>
      <c r="AC16" s="79">
        <f t="shared" si="10"/>
        <v>3</v>
      </c>
      <c r="AD16" s="71"/>
      <c r="AE16" s="80" t="s">
        <v>1950</v>
      </c>
      <c r="AF16" s="79">
        <f t="shared" si="10"/>
        <v>0</v>
      </c>
      <c r="AG16" s="71"/>
      <c r="AH16" s="71"/>
    </row>
    <row r="17" spans="1:34" x14ac:dyDescent="0.2">
      <c r="A17" s="55"/>
      <c r="B17" s="55"/>
      <c r="C17" s="446" t="str">
        <f>Idiomas!D313&amp;"**"</f>
        <v>DIECISEISAVOS - Diferencia/Distancia de goles (Con 1X2 acertado)**</v>
      </c>
      <c r="D17" s="50">
        <v>2</v>
      </c>
      <c r="E17" s="117"/>
      <c r="F17" s="453">
        <f t="shared" si="7"/>
        <v>6</v>
      </c>
      <c r="G17" s="453">
        <f ca="1">VLOOKUP(H17,Equipos!$Q$1:$R$25,2,0)</f>
        <v>5</v>
      </c>
      <c r="H17" s="454">
        <f ca="1">TRUNC(INDEX(WORLDCUP!$X$4:$X$147,MATCH(ADMIN!K17,WORLDCUP!$DT$4:$DT$147,0)))</f>
        <v>46188</v>
      </c>
      <c r="I17" s="54">
        <v>1</v>
      </c>
      <c r="J17" s="102" t="s">
        <v>117</v>
      </c>
      <c r="K17" s="59" t="str">
        <f ca="1">CONCATENATE(WORLDCUP!AA45,"-",WORLDCUP!AF45)</f>
        <v>Suecia-Túnez</v>
      </c>
      <c r="L17" s="59"/>
      <c r="M17" s="61" t="str">
        <f>IF(OR(WORLDCUP!AC45="",WORLDCUP!AD45=""),"-",N17&amp;"|"&amp;O17&amp;"-"&amp;P17)</f>
        <v>1|5-1</v>
      </c>
      <c r="N17" s="25" t="str">
        <f>IF(OR(WORLDCUP!AC45="",WORLDCUP!AD45=""),"",IF(WORLDCUP!AC45&gt;WORLDCUP!AD45,"1",IF(WORLDCUP!AC45&lt;WORLDCUP!AD45,"2","X")))</f>
        <v>1</v>
      </c>
      <c r="O17" s="25">
        <f>WORLDCUP!AC45</f>
        <v>5</v>
      </c>
      <c r="P17" s="25">
        <f>WORLDCUP!AD45</f>
        <v>1</v>
      </c>
      <c r="Q17" s="25">
        <f t="shared" si="11"/>
        <v>4</v>
      </c>
      <c r="R17" s="55"/>
      <c r="S17" s="80" t="s">
        <v>1942</v>
      </c>
      <c r="T17" s="79">
        <f t="shared" si="8"/>
        <v>0</v>
      </c>
      <c r="U17" s="71"/>
      <c r="V17" s="80" t="s">
        <v>1949</v>
      </c>
      <c r="W17" s="79">
        <f t="shared" si="9"/>
        <v>2</v>
      </c>
      <c r="X17" s="71"/>
      <c r="Y17" s="80" t="s">
        <v>1942</v>
      </c>
      <c r="Z17" s="79">
        <f t="shared" si="10"/>
        <v>0</v>
      </c>
      <c r="AA17" s="71"/>
      <c r="AB17" s="80" t="s">
        <v>1949</v>
      </c>
      <c r="AC17" s="79">
        <f t="shared" si="10"/>
        <v>2</v>
      </c>
      <c r="AD17" s="71"/>
      <c r="AE17" s="80" t="s">
        <v>1941</v>
      </c>
      <c r="AF17" s="79">
        <f t="shared" si="10"/>
        <v>2</v>
      </c>
      <c r="AG17" s="71"/>
      <c r="AH17" s="71"/>
    </row>
    <row r="18" spans="1:34" x14ac:dyDescent="0.2">
      <c r="A18" s="55"/>
      <c r="B18" s="55"/>
      <c r="C18" s="445" t="str">
        <f>Idiomas!D314</f>
        <v>DIECISEISAVOS - Resultado exacto</v>
      </c>
      <c r="D18" s="68">
        <v>4</v>
      </c>
      <c r="E18" s="117"/>
      <c r="F18" s="453">
        <f t="shared" si="7"/>
        <v>6</v>
      </c>
      <c r="G18" s="453">
        <f ca="1">VLOOKUP(H18,Equipos!$Q$1:$R$25,2,0)</f>
        <v>5</v>
      </c>
      <c r="H18" s="454">
        <f ca="1">TRUNC(INDEX(WORLDCUP!$X$4:$X$147,MATCH(ADMIN!K18,WORLDCUP!$DT$4:$DT$147,0)))</f>
        <v>46188</v>
      </c>
      <c r="I18" s="54">
        <v>1</v>
      </c>
      <c r="J18" s="101" t="s">
        <v>510</v>
      </c>
      <c r="K18" s="62" t="str">
        <f ca="1">CONCATENATE(WORLDCUP!AA52,"-",WORLDCUP!AF52)</f>
        <v>Bélgica-Egipto</v>
      </c>
      <c r="L18" s="59"/>
      <c r="M18" s="61" t="str">
        <f>IF(OR(WORLDCUP!AC52="",WORLDCUP!AD52=""),"-",N18&amp;"|"&amp;O18&amp;"-"&amp;P18)</f>
        <v>X|1-1</v>
      </c>
      <c r="N18" s="25" t="str">
        <f>IF(OR(WORLDCUP!AC52="",WORLDCUP!AD52=""),"",IF(WORLDCUP!AC52&gt;WORLDCUP!AD52,"1",IF(WORLDCUP!AC52&lt;WORLDCUP!AD52,"2","X")))</f>
        <v>X</v>
      </c>
      <c r="O18" s="25">
        <f>WORLDCUP!AC52</f>
        <v>1</v>
      </c>
      <c r="P18" s="25">
        <f>WORLDCUP!AD52</f>
        <v>1</v>
      </c>
      <c r="Q18" s="25">
        <f t="shared" si="11"/>
        <v>0</v>
      </c>
      <c r="R18" s="55"/>
      <c r="S18" s="80" t="s">
        <v>1949</v>
      </c>
      <c r="T18" s="79">
        <f t="shared" si="8"/>
        <v>0</v>
      </c>
      <c r="U18" s="71"/>
      <c r="V18" s="80" t="s">
        <v>1941</v>
      </c>
      <c r="W18" s="79">
        <f t="shared" si="9"/>
        <v>0</v>
      </c>
      <c r="X18" s="71"/>
      <c r="Y18" s="80" t="s">
        <v>1941</v>
      </c>
      <c r="Z18" s="79">
        <f t="shared" si="10"/>
        <v>0</v>
      </c>
      <c r="AA18" s="71"/>
      <c r="AB18" s="80" t="s">
        <v>1941</v>
      </c>
      <c r="AC18" s="79">
        <f t="shared" si="10"/>
        <v>0</v>
      </c>
      <c r="AD18" s="71"/>
      <c r="AE18" s="80" t="s">
        <v>1949</v>
      </c>
      <c r="AF18" s="79">
        <f t="shared" si="10"/>
        <v>0</v>
      </c>
      <c r="AG18" s="71"/>
      <c r="AH18" s="71"/>
    </row>
    <row r="19" spans="1:34" x14ac:dyDescent="0.2">
      <c r="A19" s="55"/>
      <c r="B19" s="55"/>
      <c r="C19" s="447" t="str">
        <f>Idiomas!D315</f>
        <v>Equipo clasificado para OCTAVOS</v>
      </c>
      <c r="D19" s="51">
        <v>3</v>
      </c>
      <c r="E19" s="117"/>
      <c r="F19" s="453">
        <f t="shared" si="7"/>
        <v>6</v>
      </c>
      <c r="G19" s="453">
        <f ca="1">VLOOKUP(H19,Equipos!$Q$1:$R$25,2,0)</f>
        <v>6</v>
      </c>
      <c r="H19" s="454">
        <f ca="1">TRUNC(INDEX(WORLDCUP!$X$4:$X$147,MATCH(ADMIN!K19,WORLDCUP!$DT$4:$DT$147,0)))</f>
        <v>46189</v>
      </c>
      <c r="I19" s="54">
        <v>1</v>
      </c>
      <c r="J19" s="101" t="s">
        <v>510</v>
      </c>
      <c r="K19" s="59" t="str">
        <f ca="1">CONCATENATE(WORLDCUP!AA53,"-",WORLDCUP!AF53)</f>
        <v>Irán-Nueva Zelanda</v>
      </c>
      <c r="L19" s="59"/>
      <c r="M19" s="61" t="str">
        <f>IF(OR(WORLDCUP!AC53="",WORLDCUP!AD53=""),"-",N19&amp;"|"&amp;O19&amp;"-"&amp;P19)</f>
        <v>X|2-2</v>
      </c>
      <c r="N19" s="25" t="str">
        <f>IF(OR(WORLDCUP!AC53="",WORLDCUP!AD53=""),"",IF(WORLDCUP!AC53&gt;WORLDCUP!AD53,"1",IF(WORLDCUP!AC53&lt;WORLDCUP!AD53,"2","X")))</f>
        <v>X</v>
      </c>
      <c r="O19" s="25">
        <f>WORLDCUP!AC53</f>
        <v>2</v>
      </c>
      <c r="P19" s="25">
        <f>WORLDCUP!AD53</f>
        <v>2</v>
      </c>
      <c r="Q19" s="25">
        <f t="shared" si="11"/>
        <v>0</v>
      </c>
      <c r="R19" s="55"/>
      <c r="S19" s="80" t="s">
        <v>1950</v>
      </c>
      <c r="T19" s="79">
        <f t="shared" si="8"/>
        <v>0</v>
      </c>
      <c r="U19" s="71"/>
      <c r="V19" s="80" t="s">
        <v>1950</v>
      </c>
      <c r="W19" s="79">
        <f t="shared" si="9"/>
        <v>0</v>
      </c>
      <c r="X19" s="71"/>
      <c r="Y19" s="80" t="s">
        <v>1950</v>
      </c>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t="s">
        <v>1943</v>
      </c>
      <c r="AC19" s="79">
        <f t="shared" si="12"/>
        <v>3</v>
      </c>
      <c r="AD19" s="71"/>
      <c r="AE19" s="80" t="s">
        <v>1950</v>
      </c>
      <c r="AF19" s="79">
        <f t="shared" si="12"/>
        <v>0</v>
      </c>
      <c r="AG19" s="71"/>
      <c r="AH19" s="71"/>
    </row>
    <row r="20" spans="1:34" x14ac:dyDescent="0.2">
      <c r="A20" s="55"/>
      <c r="B20" s="55"/>
      <c r="C20" s="445" t="str">
        <f>Idiomas!D316</f>
        <v>OCTAVOS - Signo 1X2  (local, empate, visitante)</v>
      </c>
      <c r="D20" s="68">
        <v>4</v>
      </c>
      <c r="E20" s="117"/>
      <c r="F20" s="453">
        <f t="shared" si="7"/>
        <v>6</v>
      </c>
      <c r="G20" s="453">
        <f ca="1">VLOOKUP(H20,Equipos!$Q$1:$R$25,2,0)</f>
        <v>5</v>
      </c>
      <c r="H20" s="454">
        <f ca="1">TRUNC(INDEX(WORLDCUP!$X$4:$X$147,MATCH(ADMIN!K20,WORLDCUP!$DT$4:$DT$147,0)))</f>
        <v>46188</v>
      </c>
      <c r="I20" s="54">
        <v>1</v>
      </c>
      <c r="J20" s="102" t="s">
        <v>512</v>
      </c>
      <c r="K20" s="62" t="str">
        <f ca="1">CONCATENATE(WORLDCUP!AA60,"-",WORLDCUP!AF60)</f>
        <v>España-Cabo Verde</v>
      </c>
      <c r="L20" s="59"/>
      <c r="M20" s="61" t="str">
        <f>IF(OR(WORLDCUP!AC60="",WORLDCUP!AD60=""),"-",N20&amp;"|"&amp;O20&amp;"-"&amp;P20)</f>
        <v>X|0-0</v>
      </c>
      <c r="N20" s="25" t="str">
        <f>IF(OR(WORLDCUP!AC60="",WORLDCUP!AD60=""),"",IF(WORLDCUP!AC60&gt;WORLDCUP!AD60,"1",IF(WORLDCUP!AC60&lt;WORLDCUP!AD60,"2","X")))</f>
        <v>X</v>
      </c>
      <c r="O20" s="25">
        <f>WORLDCUP!AC60</f>
        <v>0</v>
      </c>
      <c r="P20" s="25">
        <f>WORLDCUP!AD60</f>
        <v>0</v>
      </c>
      <c r="Q20" s="25">
        <f t="shared" si="11"/>
        <v>0</v>
      </c>
      <c r="R20" s="55"/>
      <c r="S20" s="80" t="s">
        <v>1949</v>
      </c>
      <c r="T20" s="79">
        <f t="shared" si="8"/>
        <v>0</v>
      </c>
      <c r="U20" s="71"/>
      <c r="V20" s="80" t="s">
        <v>1952</v>
      </c>
      <c r="W20" s="79">
        <f t="shared" si="9"/>
        <v>0</v>
      </c>
      <c r="X20" s="71"/>
      <c r="Y20" s="80" t="s">
        <v>1943</v>
      </c>
      <c r="Z20" s="79">
        <f t="shared" si="12"/>
        <v>3</v>
      </c>
      <c r="AA20" s="71"/>
      <c r="AB20" s="80" t="s">
        <v>1947</v>
      </c>
      <c r="AC20" s="79">
        <f t="shared" si="12"/>
        <v>0</v>
      </c>
      <c r="AD20" s="71"/>
      <c r="AE20" s="80" t="s">
        <v>1952</v>
      </c>
      <c r="AF20" s="79">
        <f t="shared" si="12"/>
        <v>0</v>
      </c>
      <c r="AG20" s="71"/>
      <c r="AH20" s="71"/>
    </row>
    <row r="21" spans="1:34" x14ac:dyDescent="0.2">
      <c r="A21" s="55"/>
      <c r="B21" s="55"/>
      <c r="C21" s="446" t="str">
        <f>Idiomas!D317&amp;"**"</f>
        <v>OCTAVOS -Diferencia/Distancia de goles (Con 1X2 acertado)**</v>
      </c>
      <c r="D21" s="50">
        <v>3</v>
      </c>
      <c r="E21" s="117"/>
      <c r="F21" s="453">
        <f t="shared" si="7"/>
        <v>6</v>
      </c>
      <c r="G21" s="453">
        <f ca="1">VLOOKUP(H21,Equipos!$Q$1:$R$25,2,0)</f>
        <v>6</v>
      </c>
      <c r="H21" s="454">
        <f ca="1">TRUNC(INDEX(WORLDCUP!$X$4:$X$147,MATCH(ADMIN!K21,WORLDCUP!$DT$4:$DT$147,0)))</f>
        <v>46189</v>
      </c>
      <c r="I21" s="54">
        <v>1</v>
      </c>
      <c r="J21" s="102" t="s">
        <v>512</v>
      </c>
      <c r="K21" s="59" t="str">
        <f ca="1">CONCATENATE(WORLDCUP!AA61,"-",WORLDCUP!AF61)</f>
        <v>Arabia Saudita-Uruguay</v>
      </c>
      <c r="L21" s="59"/>
      <c r="M21" s="61" t="str">
        <f>IF(OR(WORLDCUP!AC61="",WORLDCUP!AD61=""),"-",N21&amp;"|"&amp;O21&amp;"-"&amp;P21)</f>
        <v>X|1-1</v>
      </c>
      <c r="N21" s="25" t="str">
        <f>IF(OR(WORLDCUP!AC61="",WORLDCUP!AD61=""),"",IF(WORLDCUP!AC61&gt;WORLDCUP!AD61,"1",IF(WORLDCUP!AC61&lt;WORLDCUP!AD61,"2","X")))</f>
        <v>X</v>
      </c>
      <c r="O21" s="25">
        <f>WORLDCUP!AC61</f>
        <v>1</v>
      </c>
      <c r="P21" s="25">
        <f>WORLDCUP!AD61</f>
        <v>1</v>
      </c>
      <c r="Q21" s="25">
        <f t="shared" si="11"/>
        <v>0</v>
      </c>
      <c r="R21" s="55"/>
      <c r="S21" s="80" t="s">
        <v>1946</v>
      </c>
      <c r="T21" s="79">
        <f t="shared" si="8"/>
        <v>0</v>
      </c>
      <c r="U21" s="71"/>
      <c r="V21" s="80" t="s">
        <v>1942</v>
      </c>
      <c r="W21" s="79">
        <f t="shared" si="9"/>
        <v>0</v>
      </c>
      <c r="X21" s="71"/>
      <c r="Y21" s="80" t="s">
        <v>1946</v>
      </c>
      <c r="Z21" s="79">
        <f t="shared" si="12"/>
        <v>0</v>
      </c>
      <c r="AA21" s="71"/>
      <c r="AB21" s="80" t="s">
        <v>1951</v>
      </c>
      <c r="AC21" s="79">
        <f t="shared" si="12"/>
        <v>0</v>
      </c>
      <c r="AD21" s="71"/>
      <c r="AE21" s="80" t="s">
        <v>1946</v>
      </c>
      <c r="AF21" s="79">
        <f t="shared" si="12"/>
        <v>0</v>
      </c>
      <c r="AG21" s="71"/>
      <c r="AH21" s="71"/>
    </row>
    <row r="22" spans="1:34" x14ac:dyDescent="0.2">
      <c r="A22" s="55"/>
      <c r="B22" s="55"/>
      <c r="C22" s="445" t="str">
        <f>Idiomas!D318</f>
        <v>OCTAVOS - Resultado exacto</v>
      </c>
      <c r="D22" s="68">
        <v>5</v>
      </c>
      <c r="E22" s="117"/>
      <c r="F22" s="453">
        <f t="shared" si="7"/>
        <v>6</v>
      </c>
      <c r="G22" s="453">
        <f ca="1">VLOOKUP(H22,Equipos!$Q$1:$R$25,2,0)</f>
        <v>6</v>
      </c>
      <c r="H22" s="454">
        <f ca="1">TRUNC(INDEX(WORLDCUP!$X$4:$X$147,MATCH(ADMIN!K22,WORLDCUP!$DT$4:$DT$147,0)))</f>
        <v>46189</v>
      </c>
      <c r="I22" s="54">
        <v>1</v>
      </c>
      <c r="J22" s="101" t="s">
        <v>179</v>
      </c>
      <c r="K22" s="62" t="str">
        <f ca="1">CONCATENATE(WORLDCUP!AA68,"-",WORLDCUP!AF68)</f>
        <v>Francia-Senegal</v>
      </c>
      <c r="L22" s="59"/>
      <c r="M22" s="61" t="str">
        <f>IF(OR(WORLDCUP!AC68="",WORLDCUP!AD68=""),"-",N22&amp;"|"&amp;O22&amp;"-"&amp;P22)</f>
        <v>1|3-1</v>
      </c>
      <c r="N22" s="25" t="str">
        <f>IF(OR(WORLDCUP!AC68="",WORLDCUP!AD68=""),"",IF(WORLDCUP!AC68&gt;WORLDCUP!AD68,"1",IF(WORLDCUP!AC68&lt;WORLDCUP!AD68,"2","X")))</f>
        <v>1</v>
      </c>
      <c r="O22" s="25">
        <f>WORLDCUP!AC68</f>
        <v>3</v>
      </c>
      <c r="P22" s="25">
        <f>WORLDCUP!AD68</f>
        <v>1</v>
      </c>
      <c r="Q22" s="25">
        <f t="shared" si="11"/>
        <v>2</v>
      </c>
      <c r="R22" s="55"/>
      <c r="S22" s="80" t="s">
        <v>1947</v>
      </c>
      <c r="T22" s="79">
        <f t="shared" si="8"/>
        <v>2</v>
      </c>
      <c r="U22" s="71"/>
      <c r="V22" s="80" t="s">
        <v>1945</v>
      </c>
      <c r="W22" s="79">
        <f t="shared" si="9"/>
        <v>0</v>
      </c>
      <c r="X22" s="71"/>
      <c r="Y22" s="80" t="s">
        <v>1941</v>
      </c>
      <c r="Z22" s="79">
        <f t="shared" si="12"/>
        <v>2</v>
      </c>
      <c r="AA22" s="71"/>
      <c r="AB22" s="80" t="s">
        <v>1941</v>
      </c>
      <c r="AC22" s="79">
        <f t="shared" si="12"/>
        <v>2</v>
      </c>
      <c r="AD22" s="71"/>
      <c r="AE22" s="80" t="s">
        <v>1949</v>
      </c>
      <c r="AF22" s="79">
        <f t="shared" si="12"/>
        <v>3</v>
      </c>
      <c r="AG22" s="71"/>
      <c r="AH22" s="71"/>
    </row>
    <row r="23" spans="1:34" x14ac:dyDescent="0.2">
      <c r="A23" s="55"/>
      <c r="B23" s="55"/>
      <c r="C23" s="447" t="str">
        <f>Idiomas!D319</f>
        <v>Equipo clasificado para CUARTOS</v>
      </c>
      <c r="D23" s="51">
        <v>5</v>
      </c>
      <c r="E23" s="117"/>
      <c r="F23" s="453">
        <f t="shared" si="7"/>
        <v>6</v>
      </c>
      <c r="G23" s="453">
        <f ca="1">VLOOKUP(H23,Equipos!$Q$1:$R$25,2,0)</f>
        <v>7</v>
      </c>
      <c r="H23" s="454">
        <f ca="1">TRUNC(INDEX(WORLDCUP!$X$4:$X$147,MATCH(ADMIN!K23,WORLDCUP!$DT$4:$DT$147,0)))</f>
        <v>46190</v>
      </c>
      <c r="I23" s="54">
        <v>1</v>
      </c>
      <c r="J23" s="101" t="s">
        <v>179</v>
      </c>
      <c r="K23" s="62" t="str">
        <f ca="1">CONCATENATE(WORLDCUP!AA69,"-",WORLDCUP!AF69)</f>
        <v>Irak-Noruega</v>
      </c>
      <c r="L23" s="59"/>
      <c r="M23" s="61" t="str">
        <f>IF(OR(WORLDCUP!AC69="",WORLDCUP!AD69=""),"-",N23&amp;"|"&amp;O23&amp;"-"&amp;P23)</f>
        <v>2|1-4</v>
      </c>
      <c r="N23" s="25" t="str">
        <f>IF(OR(WORLDCUP!AC69="",WORLDCUP!AD69=""),"",IF(WORLDCUP!AC69&gt;WORLDCUP!AD69,"1",IF(WORLDCUP!AC69&lt;WORLDCUP!AD69,"2","X")))</f>
        <v>2</v>
      </c>
      <c r="O23" s="25">
        <f>WORLDCUP!AC69</f>
        <v>1</v>
      </c>
      <c r="P23" s="25">
        <f>WORLDCUP!AD69</f>
        <v>4</v>
      </c>
      <c r="Q23" s="25">
        <f t="shared" si="11"/>
        <v>3</v>
      </c>
      <c r="R23" s="55"/>
      <c r="S23" s="80" t="s">
        <v>1946</v>
      </c>
      <c r="T23" s="79">
        <f t="shared" si="8"/>
        <v>2</v>
      </c>
      <c r="U23" s="71"/>
      <c r="V23" s="80" t="s">
        <v>1961</v>
      </c>
      <c r="W23" s="79">
        <f t="shared" si="9"/>
        <v>2</v>
      </c>
      <c r="X23" s="71"/>
      <c r="Y23" s="80" t="s">
        <v>1944</v>
      </c>
      <c r="Z23" s="79">
        <f t="shared" si="12"/>
        <v>3</v>
      </c>
      <c r="AA23" s="71"/>
      <c r="AB23" s="80" t="s">
        <v>1946</v>
      </c>
      <c r="AC23" s="79">
        <f t="shared" si="12"/>
        <v>2</v>
      </c>
      <c r="AD23" s="71"/>
      <c r="AE23" s="80" t="s">
        <v>1955</v>
      </c>
      <c r="AF23" s="79">
        <f t="shared" si="12"/>
        <v>2</v>
      </c>
      <c r="AG23" s="71"/>
      <c r="AH23" s="71"/>
    </row>
    <row r="24" spans="1:34" x14ac:dyDescent="0.2">
      <c r="A24" s="55"/>
      <c r="B24" s="55"/>
      <c r="C24" s="445" t="str">
        <f>Idiomas!D320</f>
        <v>CUARTOS - Signo 1X2  (local, empate, visitante)</v>
      </c>
      <c r="D24" s="68">
        <v>5</v>
      </c>
      <c r="E24" s="117"/>
      <c r="F24" s="453">
        <f t="shared" si="7"/>
        <v>6</v>
      </c>
      <c r="G24" s="453">
        <f ca="1">VLOOKUP(H24,Equipos!$Q$1:$R$25,2,0)</f>
        <v>7</v>
      </c>
      <c r="H24" s="454">
        <f ca="1">TRUNC(INDEX(WORLDCUP!$X$4:$X$147,MATCH(ADMIN!K24,WORLDCUP!$DT$4:$DT$147,0)))</f>
        <v>46190</v>
      </c>
      <c r="I24" s="54">
        <v>1</v>
      </c>
      <c r="J24" s="102" t="s">
        <v>26</v>
      </c>
      <c r="K24" s="59" t="str">
        <f ca="1">CONCATENATE(WORLDCUP!AA76,"-",WORLDCUP!AF76)</f>
        <v>Argentina-Argelia</v>
      </c>
      <c r="L24" s="59"/>
      <c r="M24" s="61" t="str">
        <f>IF(OR(WORLDCUP!AC76="",WORLDCUP!AD76=""),"-",N24&amp;"|"&amp;O24&amp;"-"&amp;P24)</f>
        <v>1|3-0</v>
      </c>
      <c r="N24" s="25" t="str">
        <f>IF(OR(WORLDCUP!AC76="",WORLDCUP!AD76=""),"",IF(WORLDCUP!AC76&gt;WORLDCUP!AD76,"1",IF(WORLDCUP!AC76&lt;WORLDCUP!AD76,"2","X")))</f>
        <v>1</v>
      </c>
      <c r="O24" s="25">
        <f>WORLDCUP!AC76</f>
        <v>3</v>
      </c>
      <c r="P24" s="25">
        <f>WORLDCUP!AD76</f>
        <v>0</v>
      </c>
      <c r="Q24" s="25">
        <f t="shared" si="11"/>
        <v>3</v>
      </c>
      <c r="R24" s="55"/>
      <c r="S24" s="82" t="s">
        <v>1949</v>
      </c>
      <c r="T24" s="83">
        <f t="shared" si="8"/>
        <v>2</v>
      </c>
      <c r="U24" s="71"/>
      <c r="V24" s="82" t="s">
        <v>1941</v>
      </c>
      <c r="W24" s="83">
        <f t="shared" si="9"/>
        <v>2</v>
      </c>
      <c r="X24" s="71"/>
      <c r="Y24" s="82" t="s">
        <v>1943</v>
      </c>
      <c r="Z24" s="83">
        <f t="shared" si="12"/>
        <v>0</v>
      </c>
      <c r="AA24" s="71"/>
      <c r="AB24" s="82" t="s">
        <v>1949</v>
      </c>
      <c r="AC24" s="83">
        <f t="shared" si="12"/>
        <v>2</v>
      </c>
      <c r="AD24" s="71"/>
      <c r="AE24" s="82" t="s">
        <v>1947</v>
      </c>
      <c r="AF24" s="83">
        <f t="shared" si="12"/>
        <v>6</v>
      </c>
      <c r="AG24" s="71"/>
      <c r="AH24" s="71"/>
    </row>
    <row r="25" spans="1:34" x14ac:dyDescent="0.2">
      <c r="A25" s="55"/>
      <c r="B25" s="55"/>
      <c r="C25" s="446" t="str">
        <f>Idiomas!D321&amp;"**"</f>
        <v>CUARTOS -Diferencia/Distancia de goles (Con 1X2 acertado)**</v>
      </c>
      <c r="D25" s="50">
        <v>4</v>
      </c>
      <c r="E25" s="117"/>
      <c r="F25" s="453">
        <f t="shared" si="7"/>
        <v>6</v>
      </c>
      <c r="G25" s="453">
        <f ca="1">VLOOKUP(H25,Equipos!$Q$1:$R$25,2,0)</f>
        <v>7</v>
      </c>
      <c r="H25" s="454">
        <f ca="1">TRUNC(INDEX(WORLDCUP!$X$4:$X$147,MATCH(ADMIN!K25,WORLDCUP!$DT$4:$DT$147,0)))</f>
        <v>46190</v>
      </c>
      <c r="I25" s="54">
        <v>1</v>
      </c>
      <c r="J25" s="102" t="s">
        <v>26</v>
      </c>
      <c r="K25" s="59" t="str">
        <f ca="1">CONCATENATE(WORLDCUP!AA77,"-",WORLDCUP!AF77)</f>
        <v>Austria-Jordania</v>
      </c>
      <c r="L25" s="59"/>
      <c r="M25" s="61" t="str">
        <f>IF(OR(WORLDCUP!AC77="",WORLDCUP!AD77=""),"-",N25&amp;"|"&amp;O25&amp;"-"&amp;P25)</f>
        <v>1|3-1</v>
      </c>
      <c r="N25" s="25" t="str">
        <f>IF(OR(WORLDCUP!AC77="",WORLDCUP!AD77=""),"",IF(WORLDCUP!AC77&gt;WORLDCUP!AD77,"1",IF(WORLDCUP!AC77&lt;WORLDCUP!AD77,"2","X")))</f>
        <v>1</v>
      </c>
      <c r="O25" s="25">
        <f>WORLDCUP!AC77</f>
        <v>3</v>
      </c>
      <c r="P25" s="25">
        <f>WORLDCUP!AD77</f>
        <v>1</v>
      </c>
      <c r="Q25" s="25">
        <f t="shared" si="11"/>
        <v>2</v>
      </c>
      <c r="R25" s="55"/>
      <c r="S25" s="80" t="s">
        <v>1949</v>
      </c>
      <c r="T25" s="79">
        <f t="shared" si="8"/>
        <v>3</v>
      </c>
      <c r="U25" s="71"/>
      <c r="V25" s="80" t="s">
        <v>1947</v>
      </c>
      <c r="W25" s="79">
        <f t="shared" si="9"/>
        <v>2</v>
      </c>
      <c r="X25" s="71"/>
      <c r="Y25" s="80" t="s">
        <v>1950</v>
      </c>
      <c r="Z25" s="79">
        <f t="shared" si="12"/>
        <v>2</v>
      </c>
      <c r="AA25" s="71"/>
      <c r="AB25" s="80" t="s">
        <v>1941</v>
      </c>
      <c r="AC25" s="79">
        <f t="shared" si="12"/>
        <v>2</v>
      </c>
      <c r="AD25" s="71"/>
      <c r="AE25" s="80" t="s">
        <v>1947</v>
      </c>
      <c r="AF25" s="79">
        <f t="shared" si="12"/>
        <v>2</v>
      </c>
      <c r="AG25" s="71"/>
      <c r="AH25" s="71"/>
    </row>
    <row r="26" spans="1:34" x14ac:dyDescent="0.2">
      <c r="A26" s="55"/>
      <c r="B26" s="55"/>
      <c r="C26" s="445" t="str">
        <f>Idiomas!D322</f>
        <v>CUARTOS - Resultado exacto</v>
      </c>
      <c r="D26" s="68">
        <v>6</v>
      </c>
      <c r="E26" s="117"/>
      <c r="F26" s="453">
        <f t="shared" si="7"/>
        <v>6</v>
      </c>
      <c r="G26" s="453">
        <f ca="1">VLOOKUP(H26,Equipos!$Q$1:$R$25,2,0)</f>
        <v>7</v>
      </c>
      <c r="H26" s="454">
        <f ca="1">TRUNC(INDEX(WORLDCUP!$X$4:$X$147,MATCH(ADMIN!K26,WORLDCUP!$DT$4:$DT$147,0)))</f>
        <v>46190</v>
      </c>
      <c r="I26" s="54">
        <v>1</v>
      </c>
      <c r="J26" s="101" t="s">
        <v>515</v>
      </c>
      <c r="K26" s="62" t="str">
        <f ca="1">CONCATENATE(WORLDCUP!AA84,"-",WORLDCUP!AF84)</f>
        <v>Portugal-RD Congo</v>
      </c>
      <c r="L26" s="59"/>
      <c r="M26" s="61" t="str">
        <f>IF(OR(WORLDCUP!AC84="",WORLDCUP!AD84=""),"-",N26&amp;"|"&amp;O26&amp;"-"&amp;P26)</f>
        <v>X|1-1</v>
      </c>
      <c r="N26" s="25" t="str">
        <f>IF(OR(WORLDCUP!AC84="",WORLDCUP!AD84=""),"",IF(WORLDCUP!AC84&gt;WORLDCUP!AD84,"1",IF(WORLDCUP!AC84&lt;WORLDCUP!AD84,"2","X")))</f>
        <v>X</v>
      </c>
      <c r="O26" s="25">
        <f>WORLDCUP!AC84</f>
        <v>1</v>
      </c>
      <c r="P26" s="25">
        <f>WORLDCUP!AD84</f>
        <v>1</v>
      </c>
      <c r="Q26" s="25">
        <f t="shared" si="11"/>
        <v>0</v>
      </c>
      <c r="R26" s="55"/>
      <c r="S26" s="80" t="s">
        <v>1941</v>
      </c>
      <c r="T26" s="79">
        <f t="shared" si="8"/>
        <v>0</v>
      </c>
      <c r="U26" s="71"/>
      <c r="V26" s="80" t="s">
        <v>1947</v>
      </c>
      <c r="W26" s="79">
        <f t="shared" si="9"/>
        <v>0</v>
      </c>
      <c r="X26" s="71"/>
      <c r="Y26" s="80" t="s">
        <v>1950</v>
      </c>
      <c r="Z26" s="79">
        <f t="shared" si="12"/>
        <v>0</v>
      </c>
      <c r="AA26" s="71"/>
      <c r="AB26" s="80" t="s">
        <v>1947</v>
      </c>
      <c r="AC26" s="79">
        <f t="shared" si="12"/>
        <v>0</v>
      </c>
      <c r="AD26" s="71"/>
      <c r="AE26" s="80" t="s">
        <v>1947</v>
      </c>
      <c r="AF26" s="79">
        <f t="shared" si="12"/>
        <v>0</v>
      </c>
      <c r="AG26" s="71"/>
      <c r="AH26" s="71"/>
    </row>
    <row r="27" spans="1:34" x14ac:dyDescent="0.2">
      <c r="A27" s="55"/>
      <c r="B27" s="55"/>
      <c r="C27" s="447" t="str">
        <f>Idiomas!D323</f>
        <v>Equipo clasificado para SEMIFINALES</v>
      </c>
      <c r="D27" s="51">
        <v>8</v>
      </c>
      <c r="E27" s="117"/>
      <c r="F27" s="453">
        <f t="shared" si="7"/>
        <v>6</v>
      </c>
      <c r="G27" s="453">
        <f ca="1">VLOOKUP(H27,Equipos!$Q$1:$R$25,2,0)</f>
        <v>8</v>
      </c>
      <c r="H27" s="454">
        <f ca="1">TRUNC(INDEX(WORLDCUP!$X$4:$X$147,MATCH(ADMIN!K27,WORLDCUP!$DT$4:$DT$147,0)))</f>
        <v>46191</v>
      </c>
      <c r="I27" s="54">
        <v>1</v>
      </c>
      <c r="J27" s="101" t="s">
        <v>515</v>
      </c>
      <c r="K27" s="59" t="str">
        <f ca="1">CONCATENATE(WORLDCUP!AA85,"-",WORLDCUP!AF85)</f>
        <v>Uzbekistán-Colombia</v>
      </c>
      <c r="L27" s="59"/>
      <c r="M27" s="59" t="str">
        <f>IF(OR(WORLDCUP!AC85="",WORLDCUP!AD85=""),"-",N27&amp;"|"&amp;O27&amp;"-"&amp;P27)</f>
        <v>2|1-3</v>
      </c>
      <c r="N27" s="25" t="str">
        <f>IF(OR(WORLDCUP!AC85="",WORLDCUP!AD85=""),"",IF(WORLDCUP!AC85&gt;WORLDCUP!AD85,"1",IF(WORLDCUP!AC85&lt;WORLDCUP!AD85,"2","X")))</f>
        <v>2</v>
      </c>
      <c r="O27" s="25">
        <f>WORLDCUP!AC85</f>
        <v>1</v>
      </c>
      <c r="P27" s="25">
        <f>WORLDCUP!AD85</f>
        <v>3</v>
      </c>
      <c r="Q27" s="25">
        <f t="shared" si="11"/>
        <v>2</v>
      </c>
      <c r="R27" s="55"/>
      <c r="S27" s="80" t="s">
        <v>1946</v>
      </c>
      <c r="T27" s="79">
        <f t="shared" si="8"/>
        <v>3</v>
      </c>
      <c r="U27" s="71"/>
      <c r="V27" s="80" t="s">
        <v>1946</v>
      </c>
      <c r="W27" s="79">
        <f t="shared" si="9"/>
        <v>3</v>
      </c>
      <c r="X27" s="71"/>
      <c r="Y27" s="80" t="s">
        <v>1946</v>
      </c>
      <c r="Z27" s="79">
        <f t="shared" si="12"/>
        <v>3</v>
      </c>
      <c r="AA27" s="71"/>
      <c r="AB27" s="80" t="s">
        <v>1951</v>
      </c>
      <c r="AC27" s="79">
        <f t="shared" si="12"/>
        <v>2</v>
      </c>
      <c r="AD27" s="71"/>
      <c r="AE27" s="80" t="s">
        <v>1946</v>
      </c>
      <c r="AF27" s="79">
        <f t="shared" si="12"/>
        <v>3</v>
      </c>
      <c r="AG27" s="71"/>
      <c r="AH27" s="71"/>
    </row>
    <row r="28" spans="1:34" x14ac:dyDescent="0.2">
      <c r="A28" s="55"/>
      <c r="B28" s="55"/>
      <c r="C28" s="445" t="str">
        <f>Idiomas!D324</f>
        <v>SEMIFINALES - Signo 1X2  (local, empate, visitante)</v>
      </c>
      <c r="D28" s="68">
        <v>6</v>
      </c>
      <c r="E28" s="117"/>
      <c r="F28" s="453">
        <f t="shared" si="7"/>
        <v>6</v>
      </c>
      <c r="G28" s="453">
        <f ca="1">VLOOKUP(H28,Equipos!$Q$1:$R$25,2,0)</f>
        <v>7</v>
      </c>
      <c r="H28" s="454">
        <f ca="1">TRUNC(INDEX(WORLDCUP!$X$4:$X$147,MATCH(ADMIN!K28,WORLDCUP!$DT$4:$DT$147,0)))</f>
        <v>46190</v>
      </c>
      <c r="I28" s="54">
        <v>1</v>
      </c>
      <c r="J28" s="102" t="s">
        <v>1196</v>
      </c>
      <c r="K28" s="59" t="str">
        <f ca="1">CONCATENATE(WORLDCUP!AA92,"-",WORLDCUP!AF92)</f>
        <v>Inglaterra-Croacia</v>
      </c>
      <c r="L28" s="59"/>
      <c r="M28" s="61" t="str">
        <f>IF(OR(WORLDCUP!AC92="",WORLDCUP!AD92=""),"-",N28&amp;"|"&amp;O28&amp;"-"&amp;P28)</f>
        <v>1|4-2</v>
      </c>
      <c r="N28" s="25" t="str">
        <f>IF(OR(WORLDCUP!AC92="",WORLDCUP!AD92=""),"",IF(WORLDCUP!AC92&gt;WORLDCUP!AD92,"1",IF(WORLDCUP!AC92&lt;WORLDCUP!AD92,"2","X")))</f>
        <v>1</v>
      </c>
      <c r="O28" s="25">
        <f>WORLDCUP!AC92</f>
        <v>4</v>
      </c>
      <c r="P28" s="25">
        <f>WORLDCUP!AD92</f>
        <v>2</v>
      </c>
      <c r="Q28" s="25">
        <f t="shared" si="11"/>
        <v>2</v>
      </c>
      <c r="R28" s="55"/>
      <c r="S28" s="80" t="s">
        <v>1945</v>
      </c>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t="s">
        <v>1953</v>
      </c>
      <c r="W28" s="79">
        <f t="shared" si="9"/>
        <v>3</v>
      </c>
      <c r="X28" s="71"/>
      <c r="Y28" s="80" t="s">
        <v>1943</v>
      </c>
      <c r="Z28" s="79">
        <f t="shared" si="12"/>
        <v>0</v>
      </c>
      <c r="AA28" s="71"/>
      <c r="AB28" s="80" t="s">
        <v>1949</v>
      </c>
      <c r="AC28" s="79">
        <f t="shared" si="12"/>
        <v>3</v>
      </c>
      <c r="AD28" s="71"/>
      <c r="AE28" s="80" t="s">
        <v>1950</v>
      </c>
      <c r="AF28" s="79">
        <f t="shared" si="12"/>
        <v>2</v>
      </c>
      <c r="AG28" s="71"/>
      <c r="AH28" s="71"/>
    </row>
    <row r="29" spans="1:34" x14ac:dyDescent="0.2">
      <c r="A29" s="55"/>
      <c r="B29" s="55"/>
      <c r="C29" s="446" t="str">
        <f>Idiomas!D325&amp;"**"</f>
        <v>SEMIFINALES -Diferencia/Distancia de goles (Con 1X2 acertado)**</v>
      </c>
      <c r="D29" s="50">
        <v>5</v>
      </c>
      <c r="E29" s="117"/>
      <c r="F29" s="453">
        <f t="shared" si="7"/>
        <v>6</v>
      </c>
      <c r="G29" s="453">
        <f ca="1">VLOOKUP(H29,Equipos!$Q$1:$R$25,2,0)</f>
        <v>8</v>
      </c>
      <c r="H29" s="454">
        <f ca="1">TRUNC(INDEX(WORLDCUP!$X$4:$X$147,MATCH(ADMIN!K29,WORLDCUP!$DT$4:$DT$147,0)))</f>
        <v>46191</v>
      </c>
      <c r="I29" s="54">
        <v>1</v>
      </c>
      <c r="J29" s="102" t="s">
        <v>1196</v>
      </c>
      <c r="K29" s="63" t="str">
        <f ca="1">CONCATENATE(WORLDCUP!AA93,"-",WORLDCUP!AF93)</f>
        <v>Ghana-Panamá</v>
      </c>
      <c r="L29" s="64"/>
      <c r="M29" s="65" t="str">
        <f>IF(OR(WORLDCUP!AC93="",WORLDCUP!AD93=""),"-",N29&amp;"|"&amp;O29&amp;"-"&amp;P29)</f>
        <v>1|1-0</v>
      </c>
      <c r="N29" s="25" t="str">
        <f>IF(OR(WORLDCUP!AC93="",WORLDCUP!AD93=""),"",IF(WORLDCUP!AC93&gt;WORLDCUP!AD93,"1",IF(WORLDCUP!AC93&lt;WORLDCUP!AD93,"2","X")))</f>
        <v>1</v>
      </c>
      <c r="O29" s="25">
        <f>WORLDCUP!AC93</f>
        <v>1</v>
      </c>
      <c r="P29" s="25">
        <f>WORLDCUP!AD93</f>
        <v>0</v>
      </c>
      <c r="Q29" s="25">
        <f t="shared" si="11"/>
        <v>1</v>
      </c>
      <c r="R29" s="55"/>
      <c r="S29" s="84" t="s">
        <v>1943</v>
      </c>
      <c r="T29" s="85">
        <f t="shared" si="13"/>
        <v>0</v>
      </c>
      <c r="U29" s="71"/>
      <c r="V29" s="84" t="s">
        <v>1947</v>
      </c>
      <c r="W29" s="85">
        <f t="shared" si="9"/>
        <v>2</v>
      </c>
      <c r="X29" s="71"/>
      <c r="Y29" s="84" t="s">
        <v>1947</v>
      </c>
      <c r="Z29" s="85">
        <f t="shared" si="12"/>
        <v>2</v>
      </c>
      <c r="AA29" s="71"/>
      <c r="AB29" s="84" t="s">
        <v>1941</v>
      </c>
      <c r="AC29" s="85">
        <f t="shared" si="12"/>
        <v>3</v>
      </c>
      <c r="AD29" s="71"/>
      <c r="AE29" s="84" t="s">
        <v>1950</v>
      </c>
      <c r="AF29" s="85">
        <f t="shared" si="12"/>
        <v>6</v>
      </c>
      <c r="AG29" s="71"/>
      <c r="AH29" s="71"/>
    </row>
    <row r="30" spans="1:34" x14ac:dyDescent="0.2">
      <c r="A30" s="55"/>
      <c r="B30" s="55"/>
      <c r="C30" s="445" t="str">
        <f>Idiomas!D326</f>
        <v>SEMIFINALES - Resultado exacto</v>
      </c>
      <c r="D30" s="68">
        <v>8</v>
      </c>
      <c r="E30" s="117"/>
      <c r="F30" s="453">
        <f t="shared" si="7"/>
        <v>6</v>
      </c>
      <c r="G30" s="453">
        <f ca="1">VLOOKUP(H30,Equipos!$Q$1:$R$25,2,0)</f>
        <v>8</v>
      </c>
      <c r="H30" s="454">
        <f ca="1">TRUNC(INDEX(WORLDCUP!$X$4:$X$147,MATCH(ADMIN!K30,WORLDCUP!$DT$4:$DT$147,0)))</f>
        <v>46191</v>
      </c>
      <c r="I30" s="54">
        <v>1</v>
      </c>
      <c r="J30" s="101" t="s">
        <v>118</v>
      </c>
      <c r="K30" s="59" t="str">
        <f ca="1">CONCATENATE(WORLDCUP!AA6,"-",WORLDCUP!AF6)</f>
        <v>República Checa-Sudáfrica</v>
      </c>
      <c r="L30" s="59"/>
      <c r="M30" s="61" t="str">
        <f>IF(OR(WORLDCUP!AC6="",WORLDCUP!AD6=""),"-",N30&amp;"|"&amp;O30&amp;"-"&amp;P30)</f>
        <v>X|1-1</v>
      </c>
      <c r="N30" s="25" t="str">
        <f>IF(OR(WORLDCUP!AC6="",WORLDCUP!AD6=""),"",IF(WORLDCUP!AC6&gt;WORLDCUP!AD6,"1",IF(WORLDCUP!AC6&lt;WORLDCUP!AD6,"2","X")))</f>
        <v>X</v>
      </c>
      <c r="O30" s="25">
        <f>WORLDCUP!AC6</f>
        <v>1</v>
      </c>
      <c r="P30" s="25">
        <f>WORLDCUP!AD6</f>
        <v>1</v>
      </c>
      <c r="Q30" s="25">
        <f t="shared" si="11"/>
        <v>0</v>
      </c>
      <c r="R30" s="55"/>
      <c r="S30" s="82" t="s">
        <v>1943</v>
      </c>
      <c r="T30" s="83">
        <f t="shared" si="13"/>
        <v>6</v>
      </c>
      <c r="U30" s="71"/>
      <c r="V30" s="82" t="s">
        <v>1941</v>
      </c>
      <c r="W30" s="83">
        <f t="shared" si="9"/>
        <v>0</v>
      </c>
      <c r="X30" s="71"/>
      <c r="Y30" s="82" t="s">
        <v>1951</v>
      </c>
      <c r="Z30" s="83">
        <f t="shared" si="12"/>
        <v>0</v>
      </c>
      <c r="AA30" s="71"/>
      <c r="AB30" s="82" t="s">
        <v>1941</v>
      </c>
      <c r="AC30" s="83">
        <f t="shared" si="12"/>
        <v>0</v>
      </c>
      <c r="AD30" s="71"/>
      <c r="AE30" s="82" t="s">
        <v>1949</v>
      </c>
      <c r="AF30" s="83">
        <f t="shared" si="12"/>
        <v>0</v>
      </c>
      <c r="AG30" s="71"/>
      <c r="AH30" s="71"/>
    </row>
    <row r="31" spans="1:34" x14ac:dyDescent="0.2">
      <c r="A31" s="55"/>
      <c r="B31" s="55"/>
      <c r="C31" s="446" t="str">
        <f>Idiomas!D327</f>
        <v>Equipo clasificado para 3º y 4º puesto</v>
      </c>
      <c r="D31" s="50">
        <v>8</v>
      </c>
      <c r="E31" s="117"/>
      <c r="F31" s="453">
        <f t="shared" si="7"/>
        <v>6</v>
      </c>
      <c r="G31" s="453">
        <f ca="1">VLOOKUP(H31,Equipos!$Q$1:$R$25,2,0)</f>
        <v>9</v>
      </c>
      <c r="H31" s="454">
        <f ca="1">TRUNC(INDEX(WORLDCUP!$X$4:$X$147,MATCH(ADMIN!K31,WORLDCUP!$DT$4:$DT$147,0)))</f>
        <v>46192</v>
      </c>
      <c r="I31" s="54">
        <v>1</v>
      </c>
      <c r="J31" s="101" t="s">
        <v>118</v>
      </c>
      <c r="K31" s="62" t="str">
        <f ca="1">CONCATENATE(WORLDCUP!AA7,"-",WORLDCUP!AF7)</f>
        <v>México-Corea del Sur</v>
      </c>
      <c r="L31" s="59"/>
      <c r="M31" s="61" t="str">
        <f>IF(OR(WORLDCUP!AC7="",WORLDCUP!AD7=""),"-",N31&amp;"|"&amp;O31&amp;"-"&amp;P31)</f>
        <v>1|1-0</v>
      </c>
      <c r="N31" s="25" t="str">
        <f>IF(OR(WORLDCUP!AC7="",WORLDCUP!AD7=""),"",IF(WORLDCUP!AC7&gt;WORLDCUP!AD7,"1",IF(WORLDCUP!AC7&lt;WORLDCUP!AD7,"2","X")))</f>
        <v>1</v>
      </c>
      <c r="O31" s="25">
        <f>WORLDCUP!AC7</f>
        <v>1</v>
      </c>
      <c r="P31" s="25">
        <f>WORLDCUP!AD7</f>
        <v>0</v>
      </c>
      <c r="Q31" s="25">
        <f t="shared" si="11"/>
        <v>1</v>
      </c>
      <c r="R31" s="55"/>
      <c r="S31" s="80" t="s">
        <v>1951</v>
      </c>
      <c r="T31" s="79">
        <f t="shared" si="13"/>
        <v>0</v>
      </c>
      <c r="U31" s="71"/>
      <c r="V31" s="80" t="s">
        <v>1949</v>
      </c>
      <c r="W31" s="79">
        <f t="shared" si="9"/>
        <v>2</v>
      </c>
      <c r="X31" s="71"/>
      <c r="Y31" s="80" t="s">
        <v>1955</v>
      </c>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t="s">
        <v>1943</v>
      </c>
      <c r="AC31" s="79">
        <f t="shared" si="14"/>
        <v>0</v>
      </c>
      <c r="AD31" s="71"/>
      <c r="AE31" s="80" t="s">
        <v>1943</v>
      </c>
      <c r="AF31" s="79">
        <f t="shared" si="14"/>
        <v>0</v>
      </c>
      <c r="AG31" s="71"/>
      <c r="AH31" s="71"/>
    </row>
    <row r="32" spans="1:34" x14ac:dyDescent="0.2">
      <c r="A32" s="55"/>
      <c r="B32" s="55"/>
      <c r="C32" s="448" t="str">
        <f>Idiomas!D328</f>
        <v>Equipo clasificado para FINAL</v>
      </c>
      <c r="D32" s="69">
        <v>12</v>
      </c>
      <c r="E32" s="117"/>
      <c r="F32" s="453">
        <f t="shared" si="7"/>
        <v>6</v>
      </c>
      <c r="G32" s="453">
        <f ca="1">VLOOKUP(H32,Equipos!$Q$1:$R$25,2,0)</f>
        <v>8</v>
      </c>
      <c r="H32" s="454">
        <f ca="1">TRUNC(INDEX(WORLDCUP!$X$4:$X$147,MATCH(ADMIN!K32,WORLDCUP!$DT$4:$DT$147,0)))</f>
        <v>46191</v>
      </c>
      <c r="I32" s="54">
        <v>1</v>
      </c>
      <c r="J32" s="102" t="s">
        <v>119</v>
      </c>
      <c r="K32" s="59" t="str">
        <f ca="1">CONCATENATE(WORLDCUP!AA14,"-",WORLDCUP!AF14)</f>
        <v>Suiza-Bosnia y Herzegovina</v>
      </c>
      <c r="L32" s="59"/>
      <c r="M32" s="61" t="str">
        <f>IF(OR(WORLDCUP!AC14="",WORLDCUP!AD14=""),"-",N32&amp;"|"&amp;O32&amp;"-"&amp;P32)</f>
        <v>1|4-1</v>
      </c>
      <c r="N32" s="25" t="str">
        <f>IF(OR(WORLDCUP!AC14="",WORLDCUP!AD14=""),"",IF(WORLDCUP!AC14&gt;WORLDCUP!AD14,"1",IF(WORLDCUP!AC14&lt;WORLDCUP!AD14,"2","X")))</f>
        <v>1</v>
      </c>
      <c r="O32" s="25">
        <f>WORLDCUP!AC14</f>
        <v>4</v>
      </c>
      <c r="P32" s="25">
        <f>WORLDCUP!AD14</f>
        <v>1</v>
      </c>
      <c r="Q32" s="25">
        <f t="shared" si="11"/>
        <v>3</v>
      </c>
      <c r="R32" s="55"/>
      <c r="S32" s="80" t="s">
        <v>1941</v>
      </c>
      <c r="T32" s="79">
        <f t="shared" si="13"/>
        <v>2</v>
      </c>
      <c r="U32" s="71"/>
      <c r="V32" s="80" t="s">
        <v>1941</v>
      </c>
      <c r="W32" s="79">
        <f t="shared" si="9"/>
        <v>2</v>
      </c>
      <c r="X32" s="71"/>
      <c r="Y32" s="80" t="s">
        <v>1945</v>
      </c>
      <c r="Z32" s="79">
        <f t="shared" si="14"/>
        <v>0</v>
      </c>
      <c r="AA32" s="71"/>
      <c r="AB32" s="80" t="s">
        <v>1950</v>
      </c>
      <c r="AC32" s="79">
        <f t="shared" si="14"/>
        <v>2</v>
      </c>
      <c r="AD32" s="71"/>
      <c r="AE32" s="80" t="s">
        <v>1941</v>
      </c>
      <c r="AF32" s="79">
        <f t="shared" si="14"/>
        <v>2</v>
      </c>
      <c r="AG32" s="71"/>
      <c r="AH32" s="71"/>
    </row>
    <row r="33" spans="1:34" x14ac:dyDescent="0.2">
      <c r="A33" s="55"/>
      <c r="B33" s="55"/>
      <c r="C33" s="446" t="str">
        <f>Idiomas!D329</f>
        <v>3ºy4º PUESTO - Signo 1X2  (local, empate, visitante)</v>
      </c>
      <c r="D33" s="50">
        <v>6</v>
      </c>
      <c r="E33" s="117"/>
      <c r="F33" s="453">
        <f t="shared" si="7"/>
        <v>6</v>
      </c>
      <c r="G33" s="453">
        <f ca="1">VLOOKUP(H33,Equipos!$Q$1:$R$25,2,0)</f>
        <v>9</v>
      </c>
      <c r="H33" s="454">
        <f ca="1">TRUNC(INDEX(WORLDCUP!$X$4:$X$147,MATCH(ADMIN!K33,WORLDCUP!$DT$4:$DT$147,0)))</f>
        <v>46192</v>
      </c>
      <c r="I33" s="54">
        <v>1</v>
      </c>
      <c r="J33" s="102" t="s">
        <v>119</v>
      </c>
      <c r="K33" s="62" t="str">
        <f ca="1">CONCATENATE(WORLDCUP!AA15,"-",WORLDCUP!AF15)</f>
        <v>Canadá-Catar</v>
      </c>
      <c r="L33" s="59"/>
      <c r="M33" s="61" t="str">
        <f>IF(OR(WORLDCUP!AC15="",WORLDCUP!AD15=""),"-",N33&amp;"|"&amp;O33&amp;"-"&amp;P33)</f>
        <v>1|6-0</v>
      </c>
      <c r="N33" s="25" t="str">
        <f>IF(OR(WORLDCUP!AC15="",WORLDCUP!AD15=""),"",IF(WORLDCUP!AC15&gt;WORLDCUP!AD15,"1",IF(WORLDCUP!AC15&lt;WORLDCUP!AD15,"2","X")))</f>
        <v>1</v>
      </c>
      <c r="O33" s="25">
        <f>WORLDCUP!AC15</f>
        <v>6</v>
      </c>
      <c r="P33" s="25">
        <f>WORLDCUP!AD15</f>
        <v>0</v>
      </c>
      <c r="Q33" s="25">
        <f t="shared" si="11"/>
        <v>6</v>
      </c>
      <c r="R33" s="55"/>
      <c r="S33" s="80" t="s">
        <v>1941</v>
      </c>
      <c r="T33" s="79">
        <f t="shared" si="13"/>
        <v>2</v>
      </c>
      <c r="U33" s="71"/>
      <c r="V33" s="80" t="s">
        <v>1950</v>
      </c>
      <c r="W33" s="79">
        <f t="shared" si="9"/>
        <v>2</v>
      </c>
      <c r="X33" s="71"/>
      <c r="Y33" s="80" t="s">
        <v>1953</v>
      </c>
      <c r="Z33" s="79">
        <f t="shared" si="14"/>
        <v>2</v>
      </c>
      <c r="AA33" s="71"/>
      <c r="AB33" s="80" t="s">
        <v>1941</v>
      </c>
      <c r="AC33" s="79">
        <f t="shared" si="14"/>
        <v>2</v>
      </c>
      <c r="AD33" s="71"/>
      <c r="AE33" s="80" t="s">
        <v>1949</v>
      </c>
      <c r="AF33" s="79">
        <f t="shared" si="14"/>
        <v>2</v>
      </c>
      <c r="AG33" s="71"/>
      <c r="AH33" s="71"/>
    </row>
    <row r="34" spans="1:34" x14ac:dyDescent="0.2">
      <c r="A34" s="55"/>
      <c r="B34" s="55"/>
      <c r="C34" s="445" t="str">
        <f>Idiomas!D330&amp;"**"</f>
        <v>3ºy4º PUESTO - Diferencia/Distancia de goles (Con 1X2 acertado)**</v>
      </c>
      <c r="D34" s="68">
        <v>5</v>
      </c>
      <c r="E34" s="117"/>
      <c r="F34" s="453">
        <f t="shared" si="7"/>
        <v>6</v>
      </c>
      <c r="G34" s="453">
        <f ca="1">VLOOKUP(H34,Equipos!$Q$1:$R$25,2,0)</f>
        <v>10</v>
      </c>
      <c r="H34" s="454">
        <f ca="1">TRUNC(INDEX(WORLDCUP!$X$4:$X$147,MATCH(ADMIN!K34,WORLDCUP!$DT$4:$DT$147,0)))</f>
        <v>46193</v>
      </c>
      <c r="I34" s="54">
        <v>1</v>
      </c>
      <c r="J34" s="101" t="s">
        <v>120</v>
      </c>
      <c r="K34" s="59" t="str">
        <f ca="1">CONCATENATE(WORLDCUP!AA22,"-",WORLDCUP!AF22)</f>
        <v>Escocia-Marruecos</v>
      </c>
      <c r="L34" s="59"/>
      <c r="M34" s="61" t="str">
        <f>IF(OR(WORLDCUP!AC22="",WORLDCUP!AD22=""),"-",N34&amp;"|"&amp;O34&amp;"-"&amp;P34)</f>
        <v>2|0-1</v>
      </c>
      <c r="N34" s="25" t="str">
        <f>IF(OR(WORLDCUP!AC22="",WORLDCUP!AD22=""),"",IF(WORLDCUP!AC22&gt;WORLDCUP!AD22,"1",IF(WORLDCUP!AC22&lt;WORLDCUP!AD22,"2","X")))</f>
        <v>2</v>
      </c>
      <c r="O34" s="25">
        <f>WORLDCUP!AC22</f>
        <v>0</v>
      </c>
      <c r="P34" s="25">
        <f>WORLDCUP!AD22</f>
        <v>1</v>
      </c>
      <c r="Q34" s="25">
        <f t="shared" si="11"/>
        <v>1</v>
      </c>
      <c r="R34" s="55"/>
      <c r="S34" s="80" t="s">
        <v>1951</v>
      </c>
      <c r="T34" s="79">
        <f t="shared" si="13"/>
        <v>3</v>
      </c>
      <c r="U34" s="71"/>
      <c r="V34" s="80" t="s">
        <v>1951</v>
      </c>
      <c r="W34" s="79">
        <f t="shared" si="9"/>
        <v>3</v>
      </c>
      <c r="X34" s="71"/>
      <c r="Y34" s="80" t="s">
        <v>1946</v>
      </c>
      <c r="Z34" s="79">
        <f t="shared" si="14"/>
        <v>2</v>
      </c>
      <c r="AA34" s="71"/>
      <c r="AB34" s="80" t="s">
        <v>1943</v>
      </c>
      <c r="AC34" s="79">
        <f t="shared" si="14"/>
        <v>0</v>
      </c>
      <c r="AD34" s="71"/>
      <c r="AE34" s="80" t="s">
        <v>1943</v>
      </c>
      <c r="AF34" s="79">
        <f t="shared" si="14"/>
        <v>0</v>
      </c>
      <c r="AG34" s="71"/>
      <c r="AH34" s="71"/>
    </row>
    <row r="35" spans="1:34" x14ac:dyDescent="0.2">
      <c r="A35" s="55"/>
      <c r="B35" s="55"/>
      <c r="C35" s="447" t="str">
        <f>Idiomas!D331</f>
        <v>3ºy4º PUESTO - Resultado exacto</v>
      </c>
      <c r="D35" s="51">
        <v>8</v>
      </c>
      <c r="E35" s="117"/>
      <c r="F35" s="453">
        <f t="shared" si="7"/>
        <v>6</v>
      </c>
      <c r="G35" s="453">
        <f ca="1">VLOOKUP(H35,Equipos!$Q$1:$R$25,2,0)</f>
        <v>10</v>
      </c>
      <c r="H35" s="454">
        <f ca="1">TRUNC(INDEX(WORLDCUP!$X$4:$X$147,MATCH(ADMIN!K35,WORLDCUP!$DT$4:$DT$147,0)))</f>
        <v>46193</v>
      </c>
      <c r="I35" s="54">
        <v>1</v>
      </c>
      <c r="J35" s="101" t="s">
        <v>120</v>
      </c>
      <c r="K35" s="62" t="str">
        <f ca="1">CONCATENATE(WORLDCUP!AA23,"-",WORLDCUP!AF23)</f>
        <v>Brasil-Haití</v>
      </c>
      <c r="L35" s="59"/>
      <c r="M35" s="61" t="str">
        <f>IF(OR(WORLDCUP!AC23="",WORLDCUP!AD23=""),"-",N35&amp;"|"&amp;O35&amp;"-"&amp;P35)</f>
        <v>1|3-0</v>
      </c>
      <c r="N35" s="25" t="str">
        <f>IF(OR(WORLDCUP!AC23="",WORLDCUP!AD23=""),"",IF(WORLDCUP!AC23&gt;WORLDCUP!AD23,"1",IF(WORLDCUP!AC23&lt;WORLDCUP!AD23,"2","X")))</f>
        <v>1</v>
      </c>
      <c r="O35" s="25">
        <f>WORLDCUP!AC23</f>
        <v>3</v>
      </c>
      <c r="P35" s="25">
        <f>WORLDCUP!AD23</f>
        <v>0</v>
      </c>
      <c r="Q35" s="25">
        <f t="shared" si="11"/>
        <v>3</v>
      </c>
      <c r="R35" s="55"/>
      <c r="S35" s="80" t="s">
        <v>1952</v>
      </c>
      <c r="T35" s="79">
        <f t="shared" si="13"/>
        <v>2</v>
      </c>
      <c r="U35" s="71"/>
      <c r="V35" s="80" t="s">
        <v>1960</v>
      </c>
      <c r="W35" s="79">
        <f t="shared" si="9"/>
        <v>2</v>
      </c>
      <c r="X35" s="71"/>
      <c r="Y35" s="80" t="s">
        <v>1941</v>
      </c>
      <c r="Z35" s="79">
        <f t="shared" si="14"/>
        <v>2</v>
      </c>
      <c r="AA35" s="71"/>
      <c r="AB35" s="80" t="s">
        <v>1947</v>
      </c>
      <c r="AC35" s="79">
        <f t="shared" si="14"/>
        <v>6</v>
      </c>
      <c r="AD35" s="71"/>
      <c r="AE35" s="80" t="s">
        <v>1954</v>
      </c>
      <c r="AF35" s="79">
        <f t="shared" si="14"/>
        <v>2</v>
      </c>
      <c r="AG35" s="71"/>
      <c r="AH35" s="71"/>
    </row>
    <row r="36" spans="1:34" x14ac:dyDescent="0.2">
      <c r="A36" s="55"/>
      <c r="B36" s="55"/>
      <c r="C36" s="445" t="str">
        <f>Idiomas!D332</f>
        <v>FINAL - Signo 1X2  (local, empate, visitante)</v>
      </c>
      <c r="D36" s="68">
        <v>8</v>
      </c>
      <c r="E36" s="117"/>
      <c r="F36" s="453">
        <f t="shared" si="7"/>
        <v>6</v>
      </c>
      <c r="G36" s="453">
        <f ca="1">VLOOKUP(H36,Equipos!$Q$1:$R$25,2,0)</f>
        <v>9</v>
      </c>
      <c r="H36" s="454">
        <f ca="1">TRUNC(INDEX(WORLDCUP!$X$4:$X$147,MATCH(ADMIN!K36,WORLDCUP!$DT$4:$DT$147,0)))</f>
        <v>46192</v>
      </c>
      <c r="I36" s="54">
        <v>1</v>
      </c>
      <c r="J36" s="102" t="s">
        <v>121</v>
      </c>
      <c r="K36" s="59" t="str">
        <f ca="1">CONCATENATE(WORLDCUP!AA30,"-",WORLDCUP!AF30)</f>
        <v>Estados Unidos-Australia</v>
      </c>
      <c r="L36" s="59"/>
      <c r="M36" s="61" t="str">
        <f>IF(OR(WORLDCUP!AC30="",WORLDCUP!AD30=""),"-",N36&amp;"|"&amp;O36&amp;"-"&amp;P36)</f>
        <v>1|2-0</v>
      </c>
      <c r="N36" s="25" t="str">
        <f>IF(OR(WORLDCUP!AC30="",WORLDCUP!AD30=""),"",IF(WORLDCUP!AC30&gt;WORLDCUP!AD30,"1",IF(WORLDCUP!AC30&lt;WORLDCUP!AD30,"2","X")))</f>
        <v>1</v>
      </c>
      <c r="O36" s="25">
        <f>WORLDCUP!AC30</f>
        <v>2</v>
      </c>
      <c r="P36" s="25">
        <f>WORLDCUP!AD30</f>
        <v>0</v>
      </c>
      <c r="Q36" s="25">
        <f t="shared" si="11"/>
        <v>2</v>
      </c>
      <c r="R36" s="55"/>
      <c r="S36" s="80" t="s">
        <v>1945</v>
      </c>
      <c r="T36" s="79">
        <f t="shared" si="13"/>
        <v>0</v>
      </c>
      <c r="U36" s="71"/>
      <c r="V36" s="80" t="s">
        <v>1950</v>
      </c>
      <c r="W36" s="79">
        <f t="shared" si="9"/>
        <v>2</v>
      </c>
      <c r="X36" s="71"/>
      <c r="Y36" s="80" t="s">
        <v>1950</v>
      </c>
      <c r="Z36" s="79">
        <f t="shared" si="14"/>
        <v>2</v>
      </c>
      <c r="AA36" s="71"/>
      <c r="AB36" s="80" t="s">
        <v>1941</v>
      </c>
      <c r="AC36" s="79">
        <f t="shared" si="14"/>
        <v>2</v>
      </c>
      <c r="AD36" s="71"/>
      <c r="AE36" s="80" t="s">
        <v>1950</v>
      </c>
      <c r="AF36" s="79">
        <f t="shared" si="14"/>
        <v>2</v>
      </c>
      <c r="AG36" s="71"/>
      <c r="AH36" s="71"/>
    </row>
    <row r="37" spans="1:34" x14ac:dyDescent="0.2">
      <c r="A37" s="55"/>
      <c r="B37" s="55"/>
      <c r="C37" s="446" t="str">
        <f>Idiomas!D333&amp;"**"</f>
        <v>FINAL - Diferencia/Distancia de goles (Con 1X2 acertado)**</v>
      </c>
      <c r="D37" s="50">
        <v>6</v>
      </c>
      <c r="E37" s="117"/>
      <c r="F37" s="453">
        <f t="shared" si="7"/>
        <v>6</v>
      </c>
      <c r="G37" s="453">
        <f ca="1">VLOOKUP(H37,Equipos!$Q$1:$R$25,2,0)</f>
        <v>10</v>
      </c>
      <c r="H37" s="454">
        <f ca="1">TRUNC(INDEX(WORLDCUP!$X$4:$X$147,MATCH(ADMIN!K37,WORLDCUP!$DT$4:$DT$147,0)))</f>
        <v>46193</v>
      </c>
      <c r="I37" s="54">
        <v>1</v>
      </c>
      <c r="J37" s="102" t="s">
        <v>121</v>
      </c>
      <c r="K37" s="62" t="str">
        <f ca="1">CONCATENATE(WORLDCUP!AA31,"-",WORLDCUP!AF31)</f>
        <v>Turquía-Paraguay</v>
      </c>
      <c r="L37" s="59"/>
      <c r="M37" s="61" t="str">
        <f>IF(OR(WORLDCUP!AC31="",WORLDCUP!AD31=""),"-",N37&amp;"|"&amp;O37&amp;"-"&amp;P37)</f>
        <v>2|0-1</v>
      </c>
      <c r="N37" s="25" t="str">
        <f>IF(OR(WORLDCUP!AC31="",WORLDCUP!AD31=""),"",IF(WORLDCUP!AC31&gt;WORLDCUP!AD31,"1",IF(WORLDCUP!AC31&lt;WORLDCUP!AD31,"2","X")))</f>
        <v>2</v>
      </c>
      <c r="O37" s="25">
        <f>WORLDCUP!AC31</f>
        <v>0</v>
      </c>
      <c r="P37" s="25">
        <f>WORLDCUP!AD31</f>
        <v>1</v>
      </c>
      <c r="Q37" s="25">
        <f t="shared" si="11"/>
        <v>1</v>
      </c>
      <c r="R37" s="55"/>
      <c r="S37" s="80" t="s">
        <v>1943</v>
      </c>
      <c r="T37" s="79">
        <f t="shared" si="8"/>
        <v>0</v>
      </c>
      <c r="U37" s="71"/>
      <c r="V37" s="80" t="s">
        <v>1941</v>
      </c>
      <c r="W37" s="79">
        <f t="shared" si="9"/>
        <v>0</v>
      </c>
      <c r="X37" s="71"/>
      <c r="Y37" s="80" t="s">
        <v>1950</v>
      </c>
      <c r="Z37" s="79">
        <f t="shared" si="14"/>
        <v>0</v>
      </c>
      <c r="AA37" s="71"/>
      <c r="AB37" s="80" t="s">
        <v>1943</v>
      </c>
      <c r="AC37" s="79">
        <f t="shared" si="14"/>
        <v>0</v>
      </c>
      <c r="AD37" s="71"/>
      <c r="AE37" s="80" t="s">
        <v>1941</v>
      </c>
      <c r="AF37" s="79">
        <f t="shared" si="14"/>
        <v>0</v>
      </c>
      <c r="AG37" s="71"/>
      <c r="AH37" s="71"/>
    </row>
    <row r="38" spans="1:34" x14ac:dyDescent="0.2">
      <c r="A38" s="55"/>
      <c r="B38" s="55"/>
      <c r="C38" s="448" t="str">
        <f>Idiomas!D334</f>
        <v>FINAL - Resultado exacto</v>
      </c>
      <c r="D38" s="69">
        <v>12</v>
      </c>
      <c r="E38" s="117"/>
      <c r="F38" s="453">
        <f t="shared" si="7"/>
        <v>6</v>
      </c>
      <c r="G38" s="453">
        <f ca="1">VLOOKUP(H38,Equipos!$Q$1:$R$25,2,0)</f>
        <v>10</v>
      </c>
      <c r="H38" s="454">
        <f ca="1">TRUNC(INDEX(WORLDCUP!$X$4:$X$147,MATCH(ADMIN!K38,WORLDCUP!$DT$4:$DT$147,0)))</f>
        <v>46193</v>
      </c>
      <c r="I38" s="54">
        <v>1</v>
      </c>
      <c r="J38" s="101" t="s">
        <v>122</v>
      </c>
      <c r="K38" s="59" t="str">
        <f ca="1">CONCATENATE(WORLDCUP!AA38,"-",WORLDCUP!AF38)</f>
        <v>Alemania-Costa de Marfil</v>
      </c>
      <c r="L38" s="59"/>
      <c r="M38" s="61" t="str">
        <f>IF(OR(WORLDCUP!AC38="",WORLDCUP!AD38=""),"-",N38&amp;"|"&amp;O38&amp;"-"&amp;P38)</f>
        <v>1|2-1</v>
      </c>
      <c r="N38" s="25" t="str">
        <f>IF(OR(WORLDCUP!AC38="",WORLDCUP!AD38=""),"",IF(WORLDCUP!AC38&gt;WORLDCUP!AD38,"1",IF(WORLDCUP!AC38&lt;WORLDCUP!AD38,"2","X")))</f>
        <v>1</v>
      </c>
      <c r="O38" s="25">
        <f>WORLDCUP!AC38</f>
        <v>2</v>
      </c>
      <c r="P38" s="25">
        <f>WORLDCUP!AD38</f>
        <v>1</v>
      </c>
      <c r="Q38" s="25">
        <f t="shared" si="11"/>
        <v>1</v>
      </c>
      <c r="R38" s="55"/>
      <c r="S38" s="80" t="s">
        <v>1941</v>
      </c>
      <c r="T38" s="79">
        <f t="shared" si="8"/>
        <v>6</v>
      </c>
      <c r="U38" s="71"/>
      <c r="V38" s="80" t="s">
        <v>1943</v>
      </c>
      <c r="W38" s="79">
        <f t="shared" si="9"/>
        <v>0</v>
      </c>
      <c r="X38" s="71"/>
      <c r="Y38" s="80" t="s">
        <v>1945</v>
      </c>
      <c r="Z38" s="79">
        <f t="shared" si="14"/>
        <v>0</v>
      </c>
      <c r="AA38" s="71"/>
      <c r="AB38" s="80" t="s">
        <v>1941</v>
      </c>
      <c r="AC38" s="79">
        <f t="shared" si="14"/>
        <v>6</v>
      </c>
      <c r="AD38" s="71"/>
      <c r="AE38" s="80" t="s">
        <v>1953</v>
      </c>
      <c r="AF38" s="79">
        <f t="shared" si="14"/>
        <v>2</v>
      </c>
      <c r="AG38" s="71"/>
      <c r="AH38" s="71"/>
    </row>
    <row r="39" spans="1:34" x14ac:dyDescent="0.2">
      <c r="A39" s="55"/>
      <c r="B39" s="55"/>
      <c r="C39" s="446" t="str">
        <f>Idiomas!D335</f>
        <v>Campeón</v>
      </c>
      <c r="D39" s="50">
        <v>25</v>
      </c>
      <c r="E39" s="117"/>
      <c r="F39" s="453">
        <f t="shared" si="7"/>
        <v>6</v>
      </c>
      <c r="G39" s="453">
        <f ca="1">VLOOKUP(H39,Equipos!$Q$1:$R$25,2,0)</f>
        <v>11</v>
      </c>
      <c r="H39" s="454">
        <f ca="1">TRUNC(INDEX(WORLDCUP!$X$4:$X$147,MATCH(ADMIN!K39,WORLDCUP!$DT$4:$DT$147,0)))</f>
        <v>46194</v>
      </c>
      <c r="I39" s="54">
        <v>1</v>
      </c>
      <c r="J39" s="101" t="s">
        <v>122</v>
      </c>
      <c r="K39" s="62" t="str">
        <f ca="1">CONCATENATE(WORLDCUP!AA39,"-",WORLDCUP!AF39)</f>
        <v>Ecuador-Curazao</v>
      </c>
      <c r="L39" s="59"/>
      <c r="M39" s="61" t="str">
        <f>IF(OR(WORLDCUP!AC39="",WORLDCUP!AD39=""),"-",N39&amp;"|"&amp;O39&amp;"-"&amp;P39)</f>
        <v>X|0-0</v>
      </c>
      <c r="N39" s="25" t="str">
        <f>IF(OR(WORLDCUP!AC39="",WORLDCUP!AD39=""),"",IF(WORLDCUP!AC39&gt;WORLDCUP!AD39,"1",IF(WORLDCUP!AC39&lt;WORLDCUP!AD39,"2","X")))</f>
        <v>X</v>
      </c>
      <c r="O39" s="25">
        <f>WORLDCUP!AC39</f>
        <v>0</v>
      </c>
      <c r="P39" s="25">
        <f>WORLDCUP!AD39</f>
        <v>0</v>
      </c>
      <c r="Q39" s="25">
        <f t="shared" si="11"/>
        <v>0</v>
      </c>
      <c r="R39" s="55"/>
      <c r="S39" s="80" t="s">
        <v>1949</v>
      </c>
      <c r="T39" s="79">
        <f t="shared" si="8"/>
        <v>0</v>
      </c>
      <c r="U39" s="71"/>
      <c r="V39" s="80" t="s">
        <v>1952</v>
      </c>
      <c r="W39" s="79">
        <f t="shared" si="9"/>
        <v>0</v>
      </c>
      <c r="X39" s="71"/>
      <c r="Y39" s="80" t="s">
        <v>1949</v>
      </c>
      <c r="Z39" s="79">
        <f t="shared" si="14"/>
        <v>0</v>
      </c>
      <c r="AA39" s="71"/>
      <c r="AB39" s="80" t="s">
        <v>1949</v>
      </c>
      <c r="AC39" s="79">
        <f t="shared" si="14"/>
        <v>0</v>
      </c>
      <c r="AD39" s="71"/>
      <c r="AE39" s="80" t="s">
        <v>1947</v>
      </c>
      <c r="AF39" s="79">
        <f t="shared" si="14"/>
        <v>0</v>
      </c>
      <c r="AG39" s="71"/>
      <c r="AH39" s="71"/>
    </row>
    <row r="40" spans="1:34" x14ac:dyDescent="0.2">
      <c r="A40" s="55"/>
      <c r="B40" s="55"/>
      <c r="C40" s="445" t="str">
        <f>Idiomas!D336</f>
        <v>Subcampeón</v>
      </c>
      <c r="D40" s="68">
        <v>18</v>
      </c>
      <c r="E40" s="117"/>
      <c r="F40" s="453">
        <f t="shared" si="7"/>
        <v>6</v>
      </c>
      <c r="G40" s="453">
        <f ca="1">VLOOKUP(H40,Equipos!$Q$1:$R$25,2,0)</f>
        <v>10</v>
      </c>
      <c r="H40" s="454">
        <f ca="1">TRUNC(INDEX(WORLDCUP!$X$4:$X$147,MATCH(ADMIN!K40,WORLDCUP!$DT$4:$DT$147,0)))</f>
        <v>46193</v>
      </c>
      <c r="I40" s="54">
        <v>1</v>
      </c>
      <c r="J40" s="102" t="s">
        <v>123</v>
      </c>
      <c r="K40" s="59" t="str">
        <f ca="1">CONCATENATE(WORLDCUP!AA46,"-",WORLDCUP!AF46)</f>
        <v>Países Bajos-Suecia</v>
      </c>
      <c r="L40" s="59"/>
      <c r="M40" s="61" t="str">
        <f>IF(OR(WORLDCUP!AC46="",WORLDCUP!AD46=""),"-",N40&amp;"|"&amp;O40&amp;"-"&amp;P40)</f>
        <v>1|5-1</v>
      </c>
      <c r="N40" s="25" t="str">
        <f>IF(OR(WORLDCUP!AC46="",WORLDCUP!AD46=""),"",IF(WORLDCUP!AC46&gt;WORLDCUP!AD46,"1",IF(WORLDCUP!AC46&lt;WORLDCUP!AD46,"2","X")))</f>
        <v>1</v>
      </c>
      <c r="O40" s="25">
        <f>WORLDCUP!AC46</f>
        <v>5</v>
      </c>
      <c r="P40" s="25">
        <f>WORLDCUP!AD46</f>
        <v>1</v>
      </c>
      <c r="Q40" s="25">
        <f t="shared" si="11"/>
        <v>4</v>
      </c>
      <c r="R40" s="55"/>
      <c r="S40" s="80" t="s">
        <v>1941</v>
      </c>
      <c r="T40" s="79">
        <f t="shared" si="8"/>
        <v>2</v>
      </c>
      <c r="U40" s="71"/>
      <c r="V40" s="80" t="s">
        <v>1949</v>
      </c>
      <c r="W40" s="79">
        <f t="shared" si="9"/>
        <v>2</v>
      </c>
      <c r="X40" s="71"/>
      <c r="Y40" s="80" t="s">
        <v>1941</v>
      </c>
      <c r="Z40" s="79">
        <f t="shared" si="14"/>
        <v>2</v>
      </c>
      <c r="AA40" s="71"/>
      <c r="AB40" s="80" t="s">
        <v>1941</v>
      </c>
      <c r="AC40" s="79">
        <f t="shared" si="14"/>
        <v>2</v>
      </c>
      <c r="AD40" s="71"/>
      <c r="AE40" s="80" t="s">
        <v>1943</v>
      </c>
      <c r="AF40" s="79">
        <f t="shared" si="14"/>
        <v>0</v>
      </c>
      <c r="AG40" s="71"/>
      <c r="AH40" s="71"/>
    </row>
    <row r="41" spans="1:34" x14ac:dyDescent="0.2">
      <c r="A41" s="55"/>
      <c r="B41" s="55"/>
      <c r="C41" s="446" t="str">
        <f>Idiomas!D337</f>
        <v>3º puesto</v>
      </c>
      <c r="D41" s="50">
        <v>12</v>
      </c>
      <c r="E41" s="117"/>
      <c r="F41" s="453">
        <f t="shared" si="7"/>
        <v>6</v>
      </c>
      <c r="G41" s="453">
        <f ca="1">VLOOKUP(H41,Equipos!$Q$1:$R$25,2,0)</f>
        <v>11</v>
      </c>
      <c r="H41" s="454">
        <f ca="1">TRUNC(INDEX(WORLDCUP!$X$4:$X$147,MATCH(ADMIN!K41,WORLDCUP!$DT$4:$DT$147,0)))</f>
        <v>46194</v>
      </c>
      <c r="I41" s="54">
        <v>1</v>
      </c>
      <c r="J41" s="102" t="s">
        <v>123</v>
      </c>
      <c r="K41" s="62" t="str">
        <f ca="1">CONCATENATE(WORLDCUP!AA47,"-",WORLDCUP!AF47)</f>
        <v>Túnez-Japón</v>
      </c>
      <c r="L41" s="59"/>
      <c r="M41" s="61" t="str">
        <f>IF(OR(WORLDCUP!AC47="",WORLDCUP!AD47=""),"-",N41&amp;"|"&amp;O41&amp;"-"&amp;P41)</f>
        <v>2|0-4</v>
      </c>
      <c r="N41" s="25" t="str">
        <f>IF(OR(WORLDCUP!AC47="",WORLDCUP!AD47=""),"",IF(WORLDCUP!AC47&gt;WORLDCUP!AD47,"1",IF(WORLDCUP!AC47&lt;WORLDCUP!AD47,"2","X")))</f>
        <v>2</v>
      </c>
      <c r="O41" s="25">
        <f>WORLDCUP!AC47</f>
        <v>0</v>
      </c>
      <c r="P41" s="25">
        <f>WORLDCUP!AD47</f>
        <v>4</v>
      </c>
      <c r="Q41" s="25">
        <f t="shared" si="11"/>
        <v>4</v>
      </c>
      <c r="R41" s="55"/>
      <c r="S41" s="80" t="s">
        <v>1951</v>
      </c>
      <c r="T41" s="79">
        <f t="shared" si="8"/>
        <v>2</v>
      </c>
      <c r="U41" s="71"/>
      <c r="V41" s="80" t="s">
        <v>1946</v>
      </c>
      <c r="W41" s="79">
        <f t="shared" si="9"/>
        <v>2</v>
      </c>
      <c r="X41" s="71"/>
      <c r="Y41" s="80" t="s">
        <v>1942</v>
      </c>
      <c r="Z41" s="79">
        <f t="shared" si="14"/>
        <v>2</v>
      </c>
      <c r="AA41" s="71"/>
      <c r="AB41" s="80" t="s">
        <v>1942</v>
      </c>
      <c r="AC41" s="79">
        <f t="shared" si="14"/>
        <v>2</v>
      </c>
      <c r="AD41" s="71"/>
      <c r="AE41" s="80" t="s">
        <v>1946</v>
      </c>
      <c r="AF41" s="79">
        <f t="shared" si="14"/>
        <v>2</v>
      </c>
      <c r="AG41" s="71"/>
      <c r="AH41" s="71"/>
    </row>
    <row r="42" spans="1:34" x14ac:dyDescent="0.2">
      <c r="A42" s="55"/>
      <c r="B42" s="55"/>
      <c r="C42" s="445" t="str">
        <f>Idiomas!D338</f>
        <v>Bota de Oro  (máximo goleador)</v>
      </c>
      <c r="D42" s="68">
        <v>20</v>
      </c>
      <c r="E42" s="117"/>
      <c r="F42" s="453">
        <f t="shared" si="7"/>
        <v>6</v>
      </c>
      <c r="G42" s="453">
        <f ca="1">VLOOKUP(H42,Equipos!$Q$1:$R$25,2,0)</f>
        <v>11</v>
      </c>
      <c r="H42" s="454">
        <f ca="1">TRUNC(INDEX(WORLDCUP!$X$4:$X$147,MATCH(ADMIN!K42,WORLDCUP!$DT$4:$DT$147,0)))</f>
        <v>46194</v>
      </c>
      <c r="I42" s="54">
        <v>1</v>
      </c>
      <c r="J42" s="101" t="s">
        <v>511</v>
      </c>
      <c r="K42" s="59" t="str">
        <f ca="1">CONCATENATE(WORLDCUP!AA54,"-",WORLDCUP!AF54)</f>
        <v>Bélgica-Irán</v>
      </c>
      <c r="L42" s="59"/>
      <c r="M42" s="61" t="str">
        <f>IF(OR(WORLDCUP!AC54="",WORLDCUP!AD54=""),"-",N42&amp;"|"&amp;O42&amp;"-"&amp;P42)</f>
        <v>X|0-0</v>
      </c>
      <c r="N42" s="25" t="str">
        <f>IF(OR(WORLDCUP!AC54="",WORLDCUP!AD54=""),"",IF(WORLDCUP!AC54&gt;WORLDCUP!AD54,"1",IF(WORLDCUP!AC54&lt;WORLDCUP!AD54,"2","X")))</f>
        <v>X</v>
      </c>
      <c r="O42" s="25">
        <f>WORLDCUP!AC54</f>
        <v>0</v>
      </c>
      <c r="P42" s="25">
        <f>WORLDCUP!AD54</f>
        <v>0</v>
      </c>
      <c r="Q42" s="25">
        <f t="shared" si="11"/>
        <v>0</v>
      </c>
      <c r="R42" s="55"/>
      <c r="S42" s="82" t="s">
        <v>1947</v>
      </c>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t="s">
        <v>1949</v>
      </c>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t="s">
        <v>1950</v>
      </c>
      <c r="Z42" s="83">
        <f t="shared" si="14"/>
        <v>0</v>
      </c>
      <c r="AA42" s="71"/>
      <c r="AB42" s="82" t="s">
        <v>1949</v>
      </c>
      <c r="AC42" s="83">
        <f t="shared" si="14"/>
        <v>0</v>
      </c>
      <c r="AD42" s="71"/>
      <c r="AE42" s="82" t="s">
        <v>1941</v>
      </c>
      <c r="AF42" s="83">
        <f t="shared" si="14"/>
        <v>0</v>
      </c>
      <c r="AG42" s="71"/>
      <c r="AH42" s="71"/>
    </row>
    <row r="43" spans="1:34" x14ac:dyDescent="0.2">
      <c r="A43" s="55"/>
      <c r="B43" s="55"/>
      <c r="C43" s="446" t="str">
        <f>Idiomas!D339</f>
        <v>Bota de Plata (2º máximo goleador)</v>
      </c>
      <c r="D43" s="50">
        <v>12</v>
      </c>
      <c r="E43" s="117"/>
      <c r="F43" s="453">
        <f t="shared" si="7"/>
        <v>6</v>
      </c>
      <c r="G43" s="453">
        <f ca="1">VLOOKUP(H43,Equipos!$Q$1:$R$25,2,0)</f>
        <v>12</v>
      </c>
      <c r="H43" s="454">
        <f ca="1">TRUNC(INDEX(WORLDCUP!$X$4:$X$147,MATCH(ADMIN!K43,WORLDCUP!$DT$4:$DT$147,0)))</f>
        <v>46195</v>
      </c>
      <c r="I43" s="54">
        <v>1</v>
      </c>
      <c r="J43" s="101" t="s">
        <v>511</v>
      </c>
      <c r="K43" s="62" t="str">
        <f ca="1">CONCATENATE(WORLDCUP!AA55,"-",WORLDCUP!AF55)</f>
        <v>Nueva Zelanda-Egipto</v>
      </c>
      <c r="L43" s="59"/>
      <c r="M43" s="61" t="str">
        <f>IF(OR(WORLDCUP!AC55="",WORLDCUP!AD55=""),"-",N43&amp;"|"&amp;O43&amp;"-"&amp;P43)</f>
        <v>2|1-3</v>
      </c>
      <c r="N43" s="25" t="str">
        <f>IF(OR(WORLDCUP!AC55="",WORLDCUP!AD55=""),"",IF(WORLDCUP!AC55&gt;WORLDCUP!AD55,"1",IF(WORLDCUP!AC55&lt;WORLDCUP!AD55,"2","X")))</f>
        <v>2</v>
      </c>
      <c r="O43" s="25">
        <f>WORLDCUP!AC55</f>
        <v>1</v>
      </c>
      <c r="P43" s="25">
        <f>WORLDCUP!AD55</f>
        <v>3</v>
      </c>
      <c r="Q43" s="25">
        <f t="shared" si="11"/>
        <v>2</v>
      </c>
      <c r="R43" s="55"/>
      <c r="S43" s="80" t="s">
        <v>1946</v>
      </c>
      <c r="T43" s="79">
        <f t="shared" si="8"/>
        <v>3</v>
      </c>
      <c r="U43" s="71"/>
      <c r="V43" s="80" t="s">
        <v>1955</v>
      </c>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6</v>
      </c>
      <c r="X43" s="71"/>
      <c r="Y43" s="80" t="s">
        <v>1951</v>
      </c>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2</v>
      </c>
      <c r="AA43" s="71"/>
      <c r="AB43" s="80" t="s">
        <v>1946</v>
      </c>
      <c r="AC43" s="79">
        <f t="shared" si="16"/>
        <v>3</v>
      </c>
      <c r="AD43" s="71"/>
      <c r="AE43" s="80" t="s">
        <v>1951</v>
      </c>
      <c r="AF43" s="79">
        <f t="shared" si="16"/>
        <v>2</v>
      </c>
      <c r="AG43" s="71"/>
      <c r="AH43" s="71"/>
    </row>
    <row r="44" spans="1:34" x14ac:dyDescent="0.2">
      <c r="A44" s="55"/>
      <c r="B44" s="55"/>
      <c r="C44" s="445" t="str">
        <f>Idiomas!D340</f>
        <v>Bota de Bronce (3º máximo goleador)</v>
      </c>
      <c r="D44" s="68">
        <v>8</v>
      </c>
      <c r="E44" s="117"/>
      <c r="F44" s="453">
        <f t="shared" si="7"/>
        <v>6</v>
      </c>
      <c r="G44" s="453">
        <f ca="1">VLOOKUP(H44,Equipos!$Q$1:$R$25,2,0)</f>
        <v>11</v>
      </c>
      <c r="H44" s="454">
        <f ca="1">TRUNC(INDEX(WORLDCUP!$X$4:$X$147,MATCH(ADMIN!K44,WORLDCUP!$DT$4:$DT$147,0)))</f>
        <v>46194</v>
      </c>
      <c r="I44" s="54">
        <v>1</v>
      </c>
      <c r="J44" s="102" t="s">
        <v>513</v>
      </c>
      <c r="K44" s="62" t="str">
        <f ca="1">CONCATENATE(WORLDCUP!AA62,"-",WORLDCUP!AF62)</f>
        <v>España-Arabia Saudita</v>
      </c>
      <c r="L44" s="59"/>
      <c r="M44" s="61" t="str">
        <f>IF(OR(WORLDCUP!AC62="",WORLDCUP!AD62=""),"-",N44&amp;"|"&amp;O44&amp;"-"&amp;P44)</f>
        <v>1|4-0</v>
      </c>
      <c r="N44" s="25" t="str">
        <f>IF(OR(WORLDCUP!AC62="",WORLDCUP!AD62=""),"",IF(WORLDCUP!AC62&gt;WORLDCUP!AD62,"1",IF(WORLDCUP!AC62&lt;WORLDCUP!AD62,"2","X")))</f>
        <v>1</v>
      </c>
      <c r="O44" s="25">
        <f>WORLDCUP!AC62</f>
        <v>4</v>
      </c>
      <c r="P44" s="25">
        <f>WORLDCUP!AD62</f>
        <v>0</v>
      </c>
      <c r="Q44" s="25">
        <f t="shared" si="11"/>
        <v>4</v>
      </c>
      <c r="R44" s="55"/>
      <c r="S44" s="80" t="s">
        <v>1953</v>
      </c>
      <c r="T44" s="79">
        <f t="shared" si="8"/>
        <v>2</v>
      </c>
      <c r="U44" s="71"/>
      <c r="V44" s="80" t="s">
        <v>1962</v>
      </c>
      <c r="W44" s="79">
        <f t="shared" si="15"/>
        <v>3</v>
      </c>
      <c r="X44" s="71"/>
      <c r="Y44" s="80" t="s">
        <v>1949</v>
      </c>
      <c r="Z44" s="79">
        <f t="shared" si="16"/>
        <v>2</v>
      </c>
      <c r="AA44" s="71"/>
      <c r="AB44" s="80" t="s">
        <v>1949</v>
      </c>
      <c r="AC44" s="79">
        <f t="shared" si="16"/>
        <v>2</v>
      </c>
      <c r="AD44" s="71"/>
      <c r="AE44" s="80" t="s">
        <v>1949</v>
      </c>
      <c r="AF44" s="79">
        <f t="shared" si="16"/>
        <v>2</v>
      </c>
      <c r="AG44" s="71"/>
      <c r="AH44" s="71"/>
    </row>
    <row r="45" spans="1:34" x14ac:dyDescent="0.2">
      <c r="A45" s="55"/>
      <c r="B45" s="55"/>
      <c r="C45" s="446" t="str">
        <f>Idiomas!D341</f>
        <v>Balón de Oro  (mejor jugador)</v>
      </c>
      <c r="D45" s="50">
        <v>20</v>
      </c>
      <c r="E45" s="117"/>
      <c r="F45" s="453">
        <f t="shared" si="7"/>
        <v>6</v>
      </c>
      <c r="G45" s="453">
        <f ca="1">VLOOKUP(H45,Equipos!$Q$1:$R$25,2,0)</f>
        <v>12</v>
      </c>
      <c r="H45" s="454">
        <f ca="1">TRUNC(INDEX(WORLDCUP!$X$4:$X$147,MATCH(ADMIN!K45,WORLDCUP!$DT$4:$DT$147,0)))</f>
        <v>46195</v>
      </c>
      <c r="I45" s="54">
        <v>1</v>
      </c>
      <c r="J45" s="102" t="s">
        <v>513</v>
      </c>
      <c r="K45" s="59" t="str">
        <f ca="1">CONCATENATE(WORLDCUP!AA63,"-",WORLDCUP!AF63)</f>
        <v>Uruguay-Cabo Verde</v>
      </c>
      <c r="L45" s="59"/>
      <c r="M45" s="61" t="str">
        <f>IF(OR(WORLDCUP!AC63="",WORLDCUP!AD63=""),"-",N45&amp;"|"&amp;O45&amp;"-"&amp;P45)</f>
        <v>X|2-2</v>
      </c>
      <c r="N45" s="25" t="str">
        <f>IF(OR(WORLDCUP!AC63="",WORLDCUP!AD63=""),"",IF(WORLDCUP!AC63&gt;WORLDCUP!AD63,"1",IF(WORLDCUP!AC63&lt;WORLDCUP!AD63,"2","X")))</f>
        <v>X</v>
      </c>
      <c r="O45" s="25">
        <f>WORLDCUP!AC63</f>
        <v>2</v>
      </c>
      <c r="P45" s="25">
        <f>WORLDCUP!AD63</f>
        <v>2</v>
      </c>
      <c r="Q45" s="25">
        <f t="shared" si="11"/>
        <v>0</v>
      </c>
      <c r="R45" s="55"/>
      <c r="S45" s="80" t="s">
        <v>1947</v>
      </c>
      <c r="T45" s="79">
        <f t="shared" si="8"/>
        <v>0</v>
      </c>
      <c r="U45" s="71"/>
      <c r="V45" s="80" t="s">
        <v>1949</v>
      </c>
      <c r="W45" s="79">
        <f t="shared" si="15"/>
        <v>0</v>
      </c>
      <c r="X45" s="71"/>
      <c r="Y45" s="80" t="s">
        <v>1950</v>
      </c>
      <c r="Z45" s="79">
        <f t="shared" si="16"/>
        <v>0</v>
      </c>
      <c r="AA45" s="71"/>
      <c r="AB45" s="80" t="s">
        <v>1949</v>
      </c>
      <c r="AC45" s="79">
        <f t="shared" si="16"/>
        <v>0</v>
      </c>
      <c r="AD45" s="71"/>
      <c r="AE45" s="80" t="s">
        <v>1953</v>
      </c>
      <c r="AF45" s="79">
        <f t="shared" si="16"/>
        <v>0</v>
      </c>
      <c r="AG45" s="71"/>
      <c r="AH45" s="71"/>
    </row>
    <row r="46" spans="1:34" x14ac:dyDescent="0.2">
      <c r="A46" s="55"/>
      <c r="B46" s="55"/>
      <c r="C46" s="445" t="str">
        <f>Idiomas!D342</f>
        <v>Balón de Plata (2º mejor jugador)</v>
      </c>
      <c r="D46" s="68">
        <v>12</v>
      </c>
      <c r="E46" s="117"/>
      <c r="F46" s="453">
        <f t="shared" si="7"/>
        <v>6</v>
      </c>
      <c r="G46" s="453">
        <f ca="1">VLOOKUP(H46,Equipos!$Q$1:$R$25,2,0)</f>
        <v>12</v>
      </c>
      <c r="H46" s="454">
        <f ca="1">TRUNC(INDEX(WORLDCUP!$X$4:$X$147,MATCH(ADMIN!K46,WORLDCUP!$DT$4:$DT$147,0)))</f>
        <v>46195</v>
      </c>
      <c r="I46" s="54">
        <v>1</v>
      </c>
      <c r="J46" s="101" t="s">
        <v>514</v>
      </c>
      <c r="K46" s="59" t="str">
        <f ca="1">CONCATENATE(WORLDCUP!AA70,"-",WORLDCUP!AF70)</f>
        <v>Francia-Irak</v>
      </c>
      <c r="L46" s="59"/>
      <c r="M46" s="61" t="str">
        <f>IF(OR(WORLDCUP!AC70="",WORLDCUP!AD70=""),"-",N46&amp;"|"&amp;O46&amp;"-"&amp;P46)</f>
        <v>1|3-0</v>
      </c>
      <c r="N46" s="25" t="str">
        <f>IF(OR(WORLDCUP!AC70="",WORLDCUP!AD70=""),"",IF(WORLDCUP!AC70&gt;WORLDCUP!AD70,"1",IF(WORLDCUP!AC70&lt;WORLDCUP!AD70,"2","X")))</f>
        <v>1</v>
      </c>
      <c r="O46" s="25">
        <f>WORLDCUP!AC70</f>
        <v>3</v>
      </c>
      <c r="P46" s="25">
        <f>WORLDCUP!AD70</f>
        <v>0</v>
      </c>
      <c r="Q46" s="25">
        <f t="shared" si="11"/>
        <v>3</v>
      </c>
      <c r="R46" s="55"/>
      <c r="S46" s="80" t="s">
        <v>1954</v>
      </c>
      <c r="T46" s="79">
        <f t="shared" si="8"/>
        <v>2</v>
      </c>
      <c r="U46" s="71"/>
      <c r="V46" s="80" t="s">
        <v>1954</v>
      </c>
      <c r="W46" s="79">
        <f t="shared" si="15"/>
        <v>2</v>
      </c>
      <c r="X46" s="71"/>
      <c r="Y46" s="80" t="s">
        <v>1949</v>
      </c>
      <c r="Z46" s="79">
        <f t="shared" si="16"/>
        <v>2</v>
      </c>
      <c r="AA46" s="71"/>
      <c r="AB46" s="80" t="s">
        <v>1947</v>
      </c>
      <c r="AC46" s="79">
        <f t="shared" si="16"/>
        <v>6</v>
      </c>
      <c r="AD46" s="71"/>
      <c r="AE46" s="80" t="s">
        <v>1947</v>
      </c>
      <c r="AF46" s="79">
        <f t="shared" si="16"/>
        <v>6</v>
      </c>
      <c r="AG46" s="71"/>
      <c r="AH46" s="71"/>
    </row>
    <row r="47" spans="1:34" x14ac:dyDescent="0.2">
      <c r="A47" s="55"/>
      <c r="B47" s="55"/>
      <c r="C47" s="447" t="str">
        <f>Idiomas!D343</f>
        <v>Balón de Bronce (3º mejor jugador)</v>
      </c>
      <c r="D47" s="51">
        <v>8</v>
      </c>
      <c r="E47" s="117"/>
      <c r="F47" s="453">
        <f t="shared" si="7"/>
        <v>6</v>
      </c>
      <c r="G47" s="453">
        <f ca="1">VLOOKUP(H47,Equipos!$Q$1:$R$25,2,0)</f>
        <v>13</v>
      </c>
      <c r="H47" s="454">
        <f ca="1">TRUNC(INDEX(WORLDCUP!$X$4:$X$147,MATCH(ADMIN!K47,WORLDCUP!$DT$4:$DT$147,0)))</f>
        <v>46196</v>
      </c>
      <c r="I47" s="54">
        <v>1</v>
      </c>
      <c r="J47" s="101" t="s">
        <v>514</v>
      </c>
      <c r="K47" s="62" t="str">
        <f ca="1">CONCATENATE(WORLDCUP!AA71,"-",WORLDCUP!AF71)</f>
        <v>Noruega-Senegal</v>
      </c>
      <c r="L47" s="59"/>
      <c r="M47" s="61" t="str">
        <f>IF(OR(WORLDCUP!AC71="",WORLDCUP!AD71=""),"-",N47&amp;"|"&amp;O47&amp;"-"&amp;P47)</f>
        <v>1|3-2</v>
      </c>
      <c r="N47" s="25" t="str">
        <f>IF(OR(WORLDCUP!AC71="",WORLDCUP!AD71=""),"",IF(WORLDCUP!AC71&gt;WORLDCUP!AD71,"1",IF(WORLDCUP!AC71&lt;WORLDCUP!AD71,"2","X")))</f>
        <v>1</v>
      </c>
      <c r="O47" s="25">
        <f>WORLDCUP!AC71</f>
        <v>3</v>
      </c>
      <c r="P47" s="25">
        <f>WORLDCUP!AD71</f>
        <v>2</v>
      </c>
      <c r="Q47" s="25">
        <f t="shared" si="11"/>
        <v>1</v>
      </c>
      <c r="R47" s="55"/>
      <c r="S47" s="80" t="s">
        <v>1950</v>
      </c>
      <c r="T47" s="79">
        <f t="shared" si="8"/>
        <v>3</v>
      </c>
      <c r="U47" s="71"/>
      <c r="V47" s="80" t="s">
        <v>1941</v>
      </c>
      <c r="W47" s="79">
        <f t="shared" si="15"/>
        <v>3</v>
      </c>
      <c r="X47" s="71"/>
      <c r="Y47" s="80" t="s">
        <v>1945</v>
      </c>
      <c r="Z47" s="79">
        <f t="shared" si="16"/>
        <v>0</v>
      </c>
      <c r="AA47" s="71"/>
      <c r="AB47" s="80" t="s">
        <v>1945</v>
      </c>
      <c r="AC47" s="79">
        <f t="shared" si="16"/>
        <v>0</v>
      </c>
      <c r="AD47" s="71"/>
      <c r="AE47" s="80" t="s">
        <v>1941</v>
      </c>
      <c r="AF47" s="79">
        <f t="shared" si="16"/>
        <v>3</v>
      </c>
      <c r="AG47" s="71"/>
      <c r="AH47" s="71"/>
    </row>
    <row r="48" spans="1:34" x14ac:dyDescent="0.2">
      <c r="A48" s="55"/>
      <c r="B48" s="55"/>
      <c r="C48" s="17"/>
      <c r="D48" s="17"/>
      <c r="E48" s="95"/>
      <c r="F48" s="453">
        <f t="shared" si="7"/>
        <v>6</v>
      </c>
      <c r="G48" s="453">
        <f ca="1">VLOOKUP(H48,Equipos!$Q$1:$R$25,2,0)</f>
        <v>12</v>
      </c>
      <c r="H48" s="454">
        <f ca="1">TRUNC(INDEX(WORLDCUP!$X$4:$X$147,MATCH(ADMIN!K48,WORLDCUP!$DT$4:$DT$147,0)))</f>
        <v>46195</v>
      </c>
      <c r="I48" s="54">
        <v>1</v>
      </c>
      <c r="J48" s="102" t="s">
        <v>27</v>
      </c>
      <c r="K48" s="59" t="str">
        <f ca="1">CONCATENATE(WORLDCUP!AA78,"-",WORLDCUP!AF78)</f>
        <v>Argentina-Austria</v>
      </c>
      <c r="L48" s="59"/>
      <c r="M48" s="59" t="str">
        <f>IF(OR(WORLDCUP!AC78="",WORLDCUP!AD78=""),"-",N48&amp;"|"&amp;O48&amp;"-"&amp;P48)</f>
        <v>1|2-0</v>
      </c>
      <c r="N48" s="25" t="str">
        <f>IF(OR(WORLDCUP!AC78="",WORLDCUP!AD78=""),"",IF(WORLDCUP!AC78&gt;WORLDCUP!AD78,"1",IF(WORLDCUP!AC78&lt;WORLDCUP!AD78,"2","X")))</f>
        <v>1</v>
      </c>
      <c r="O48" s="25">
        <f>WORLDCUP!AC78</f>
        <v>2</v>
      </c>
      <c r="P48" s="25">
        <f>WORLDCUP!AD78</f>
        <v>0</v>
      </c>
      <c r="Q48" s="25">
        <f t="shared" si="11"/>
        <v>2</v>
      </c>
      <c r="R48" s="55"/>
      <c r="S48" s="80" t="s">
        <v>1941</v>
      </c>
      <c r="T48" s="79">
        <f t="shared" si="8"/>
        <v>2</v>
      </c>
      <c r="U48" s="71"/>
      <c r="V48" s="80" t="s">
        <v>1951</v>
      </c>
      <c r="W48" s="79">
        <f t="shared" si="15"/>
        <v>0</v>
      </c>
      <c r="X48" s="71"/>
      <c r="Y48" s="80" t="s">
        <v>1952</v>
      </c>
      <c r="Z48" s="79">
        <f t="shared" si="16"/>
        <v>2</v>
      </c>
      <c r="AA48" s="71"/>
      <c r="AB48" s="80" t="s">
        <v>1941</v>
      </c>
      <c r="AC48" s="79">
        <f t="shared" si="16"/>
        <v>2</v>
      </c>
      <c r="AD48" s="71"/>
      <c r="AE48" s="80" t="s">
        <v>1950</v>
      </c>
      <c r="AF48" s="79">
        <f t="shared" si="16"/>
        <v>2</v>
      </c>
      <c r="AG48" s="71"/>
      <c r="AH48" s="71"/>
    </row>
    <row r="49" spans="1:34" ht="16" thickBot="1" x14ac:dyDescent="0.25">
      <c r="A49" s="55"/>
      <c r="B49" s="444"/>
      <c r="C49" s="675" t="str">
        <f>"**"&amp;Idiomas!D441&amp;": -&gt;"</f>
        <v>**% Ajuste por desvío en Diferencia/Distancia de goles: -&gt;</v>
      </c>
      <c r="D49" s="676" t="s">
        <v>1927</v>
      </c>
      <c r="E49" s="95"/>
      <c r="F49" s="453">
        <f t="shared" si="7"/>
        <v>6</v>
      </c>
      <c r="G49" s="453">
        <f ca="1">VLOOKUP(H49,Equipos!$Q$1:$R$25,2,0)</f>
        <v>13</v>
      </c>
      <c r="H49" s="454">
        <f ca="1">TRUNC(INDEX(WORLDCUP!$X$4:$X$147,MATCH(ADMIN!K49,WORLDCUP!$DT$4:$DT$147,0)))</f>
        <v>46196</v>
      </c>
      <c r="I49" s="54">
        <v>1</v>
      </c>
      <c r="J49" s="102" t="s">
        <v>27</v>
      </c>
      <c r="K49" s="59" t="str">
        <f ca="1">CONCATENATE(WORLDCUP!AA79,"-",WORLDCUP!AF79)</f>
        <v>Jordania-Argelia</v>
      </c>
      <c r="L49" s="59"/>
      <c r="M49" s="61" t="str">
        <f>IF(OR(WORLDCUP!AC79="",WORLDCUP!AD79=""),"-",N49&amp;"|"&amp;O49&amp;"-"&amp;P49)</f>
        <v>2|1-2</v>
      </c>
      <c r="N49" s="25" t="str">
        <f>IF(OR(WORLDCUP!AC79="",WORLDCUP!AD79=""),"",IF(WORLDCUP!AC79&gt;WORLDCUP!AD79,"1",IF(WORLDCUP!AC79&lt;WORLDCUP!AD79,"2","X")))</f>
        <v>2</v>
      </c>
      <c r="O49" s="25">
        <f>WORLDCUP!AC79</f>
        <v>1</v>
      </c>
      <c r="P49" s="25">
        <f>WORLDCUP!AD79</f>
        <v>2</v>
      </c>
      <c r="Q49" s="25">
        <f t="shared" si="11"/>
        <v>1</v>
      </c>
      <c r="R49" s="55"/>
      <c r="S49" s="80" t="s">
        <v>1942</v>
      </c>
      <c r="T49" s="79">
        <f t="shared" si="8"/>
        <v>3</v>
      </c>
      <c r="U49" s="71"/>
      <c r="V49" s="80" t="s">
        <v>1946</v>
      </c>
      <c r="W49" s="79">
        <f t="shared" si="15"/>
        <v>2</v>
      </c>
      <c r="X49" s="71"/>
      <c r="Y49" s="80" t="s">
        <v>1942</v>
      </c>
      <c r="Z49" s="79">
        <f t="shared" si="16"/>
        <v>3</v>
      </c>
      <c r="AA49" s="71"/>
      <c r="AB49" s="80" t="s">
        <v>1942</v>
      </c>
      <c r="AC49" s="79">
        <f t="shared" si="16"/>
        <v>3</v>
      </c>
      <c r="AD49" s="71"/>
      <c r="AE49" s="80" t="s">
        <v>1942</v>
      </c>
      <c r="AF49" s="79">
        <f t="shared" si="16"/>
        <v>3</v>
      </c>
      <c r="AG49" s="71"/>
      <c r="AH49" s="71"/>
    </row>
    <row r="50" spans="1:34" ht="16" thickBot="1" x14ac:dyDescent="0.25">
      <c r="A50" s="55"/>
      <c r="B50" s="55"/>
      <c r="C50" s="679" t="str">
        <f>HYPERLINK(Idiomas!D444,Idiomas!D443)</f>
        <v>**¿Qué es esto y cómo funciona?</v>
      </c>
      <c r="D50" s="437">
        <f>IF(D49=Idiomas!$D$442,1,D49)</f>
        <v>1</v>
      </c>
      <c r="E50" s="95"/>
      <c r="F50" s="453">
        <f t="shared" si="7"/>
        <v>6</v>
      </c>
      <c r="G50" s="453">
        <f ca="1">VLOOKUP(H50,Equipos!$Q$1:$R$25,2,0)</f>
        <v>13</v>
      </c>
      <c r="H50" s="454">
        <f ca="1">TRUNC(INDEX(WORLDCUP!$X$4:$X$147,MATCH(ADMIN!K50,WORLDCUP!$DT$4:$DT$147,0)))</f>
        <v>46196</v>
      </c>
      <c r="I50" s="54">
        <v>1</v>
      </c>
      <c r="J50" s="101" t="s">
        <v>300</v>
      </c>
      <c r="K50" s="62" t="str">
        <f ca="1">CONCATENATE(WORLDCUP!AA86,"-",WORLDCUP!AF86)</f>
        <v>Portugal-Uzbekistán</v>
      </c>
      <c r="L50" s="59"/>
      <c r="M50" s="61" t="str">
        <f>IF(OR(WORLDCUP!AC86="",WORLDCUP!AD86=""),"-",N50&amp;"|"&amp;O50&amp;"-"&amp;P50)</f>
        <v>1|5-0</v>
      </c>
      <c r="N50" s="25" t="str">
        <f>IF(OR(WORLDCUP!AC86="",WORLDCUP!AD86=""),"",IF(WORLDCUP!AC86&gt;WORLDCUP!AD86,"1",IF(WORLDCUP!AC86&lt;WORLDCUP!AD86,"2","X")))</f>
        <v>1</v>
      </c>
      <c r="O50" s="25">
        <f>WORLDCUP!AC86</f>
        <v>5</v>
      </c>
      <c r="P50" s="25">
        <f>WORLDCUP!AD86</f>
        <v>0</v>
      </c>
      <c r="Q50" s="25">
        <f t="shared" si="11"/>
        <v>5</v>
      </c>
      <c r="R50" s="55"/>
      <c r="S50" s="80" t="s">
        <v>1950</v>
      </c>
      <c r="T50" s="79">
        <f t="shared" si="8"/>
        <v>2</v>
      </c>
      <c r="U50" s="71"/>
      <c r="V50" s="80" t="s">
        <v>1952</v>
      </c>
      <c r="W50" s="79">
        <f t="shared" si="15"/>
        <v>2</v>
      </c>
      <c r="X50" s="71"/>
      <c r="Y50" s="80" t="s">
        <v>1949</v>
      </c>
      <c r="Z50" s="79">
        <f t="shared" si="16"/>
        <v>2</v>
      </c>
      <c r="AA50" s="71"/>
      <c r="AB50" s="80" t="s">
        <v>1949</v>
      </c>
      <c r="AC50" s="79">
        <f t="shared" si="16"/>
        <v>2</v>
      </c>
      <c r="AD50" s="71"/>
      <c r="AE50" s="80" t="s">
        <v>1941</v>
      </c>
      <c r="AF50" s="79">
        <f t="shared" si="16"/>
        <v>2</v>
      </c>
      <c r="AG50" s="71"/>
      <c r="AH50" s="71"/>
    </row>
    <row r="51" spans="1:34" x14ac:dyDescent="0.2">
      <c r="A51" s="55"/>
      <c r="B51" s="55"/>
      <c r="C51" s="17"/>
      <c r="D51" s="17"/>
      <c r="E51" s="95"/>
      <c r="F51" s="453">
        <f t="shared" si="7"/>
        <v>6</v>
      </c>
      <c r="G51" s="453">
        <f ca="1">VLOOKUP(H51,Equipos!$Q$1:$R$25,2,0)</f>
        <v>14</v>
      </c>
      <c r="H51" s="454">
        <f ca="1">TRUNC(INDEX(WORLDCUP!$X$4:$X$147,MATCH(ADMIN!K51,WORLDCUP!$DT$4:$DT$147,0)))</f>
        <v>46197</v>
      </c>
      <c r="I51" s="54">
        <v>1</v>
      </c>
      <c r="J51" s="101" t="s">
        <v>300</v>
      </c>
      <c r="K51" s="59" t="str">
        <f ca="1">CONCATENATE(WORLDCUP!AA87,"-",WORLDCUP!AF87)</f>
        <v>Colombia-RD Congo</v>
      </c>
      <c r="L51" s="59"/>
      <c r="M51" s="61" t="str">
        <f>IF(OR(WORLDCUP!AC87="",WORLDCUP!AD87=""),"-",N51&amp;"|"&amp;O51&amp;"-"&amp;P51)</f>
        <v>1|1-0</v>
      </c>
      <c r="N51" s="25" t="str">
        <f>IF(OR(WORLDCUP!AC87="",WORLDCUP!AD87=""),"",IF(WORLDCUP!AC87&gt;WORLDCUP!AD87,"1",IF(WORLDCUP!AC87&lt;WORLDCUP!AD87,"2","X")))</f>
        <v>1</v>
      </c>
      <c r="O51" s="25">
        <f>WORLDCUP!AC87</f>
        <v>1</v>
      </c>
      <c r="P51" s="25">
        <f>WORLDCUP!AD87</f>
        <v>0</v>
      </c>
      <c r="Q51" s="25">
        <f t="shared" si="11"/>
        <v>1</v>
      </c>
      <c r="R51" s="55"/>
      <c r="S51" s="80" t="s">
        <v>1953</v>
      </c>
      <c r="T51" s="79">
        <f t="shared" si="8"/>
        <v>2</v>
      </c>
      <c r="U51" s="71"/>
      <c r="V51" s="80" t="s">
        <v>1949</v>
      </c>
      <c r="W51" s="79">
        <f t="shared" si="15"/>
        <v>2</v>
      </c>
      <c r="X51" s="71"/>
      <c r="Y51" s="80" t="s">
        <v>1941</v>
      </c>
      <c r="Z51" s="79">
        <f t="shared" si="16"/>
        <v>3</v>
      </c>
      <c r="AA51" s="71"/>
      <c r="AB51" s="80" t="s">
        <v>1941</v>
      </c>
      <c r="AC51" s="79">
        <f t="shared" si="16"/>
        <v>3</v>
      </c>
      <c r="AD51" s="71"/>
      <c r="AE51" s="80" t="s">
        <v>1949</v>
      </c>
      <c r="AF51" s="79">
        <f t="shared" si="16"/>
        <v>2</v>
      </c>
      <c r="AG51" s="71"/>
      <c r="AH51" s="71"/>
    </row>
    <row r="52" spans="1:34" x14ac:dyDescent="0.2">
      <c r="A52" s="55"/>
      <c r="B52" s="55"/>
      <c r="C52" s="17"/>
      <c r="D52" s="17"/>
      <c r="E52" s="95"/>
      <c r="F52" s="453">
        <f t="shared" si="7"/>
        <v>6</v>
      </c>
      <c r="G52" s="453">
        <f ca="1">VLOOKUP(H52,Equipos!$Q$1:$R$25,2,0)</f>
        <v>13</v>
      </c>
      <c r="H52" s="454">
        <f ca="1">TRUNC(INDEX(WORLDCUP!$X$4:$X$147,MATCH(ADMIN!K52,WORLDCUP!$DT$4:$DT$147,0)))</f>
        <v>46196</v>
      </c>
      <c r="I52" s="54">
        <v>1</v>
      </c>
      <c r="J52" s="102" t="s">
        <v>1197</v>
      </c>
      <c r="K52" s="62" t="str">
        <f ca="1">CONCATENATE(WORLDCUP!AA94,"-",WORLDCUP!AF94)</f>
        <v>Inglaterra-Ghana</v>
      </c>
      <c r="L52" s="59"/>
      <c r="M52" s="61" t="str">
        <f>IF(OR(WORLDCUP!AC94="",WORLDCUP!AD94=""),"-",N52&amp;"|"&amp;O52&amp;"-"&amp;P52)</f>
        <v>X|0-0</v>
      </c>
      <c r="N52" s="25" t="str">
        <f>IF(OR(WORLDCUP!AC94="",WORLDCUP!AD94=""),"",IF(WORLDCUP!AC94&gt;WORLDCUP!AD94,"1",IF(WORLDCUP!AC94&lt;WORLDCUP!AD94,"2","X")))</f>
        <v>X</v>
      </c>
      <c r="O52" s="25">
        <f>WORLDCUP!AC94</f>
        <v>0</v>
      </c>
      <c r="P52" s="25">
        <f>WORLDCUP!AD94</f>
        <v>0</v>
      </c>
      <c r="Q52" s="25">
        <f t="shared" si="11"/>
        <v>0</v>
      </c>
      <c r="R52" s="55"/>
      <c r="S52" s="80" t="s">
        <v>1949</v>
      </c>
      <c r="T52" s="79">
        <f t="shared" si="8"/>
        <v>0</v>
      </c>
      <c r="U52" s="71"/>
      <c r="V52" s="80" t="s">
        <v>1941</v>
      </c>
      <c r="W52" s="79">
        <f t="shared" si="15"/>
        <v>0</v>
      </c>
      <c r="X52" s="71"/>
      <c r="Y52" s="80" t="s">
        <v>1941</v>
      </c>
      <c r="Z52" s="79">
        <f t="shared" si="16"/>
        <v>0</v>
      </c>
      <c r="AA52" s="71"/>
      <c r="AB52" s="80" t="s">
        <v>1947</v>
      </c>
      <c r="AC52" s="79">
        <f t="shared" si="16"/>
        <v>0</v>
      </c>
      <c r="AD52" s="71"/>
      <c r="AE52" s="80" t="s">
        <v>1949</v>
      </c>
      <c r="AF52" s="79">
        <f t="shared" si="16"/>
        <v>0</v>
      </c>
      <c r="AG52" s="71"/>
      <c r="AH52" s="71"/>
    </row>
    <row r="53" spans="1:34" x14ac:dyDescent="0.2">
      <c r="A53" s="55"/>
      <c r="B53" s="55"/>
      <c r="C53" s="17"/>
      <c r="D53" s="209"/>
      <c r="E53" s="95"/>
      <c r="F53" s="453">
        <f t="shared" si="7"/>
        <v>6</v>
      </c>
      <c r="G53" s="453">
        <f ca="1">VLOOKUP(H53,Equipos!$Q$1:$R$25,2,0)</f>
        <v>14</v>
      </c>
      <c r="H53" s="454">
        <f ca="1">TRUNC(INDEX(WORLDCUP!$X$4:$X$147,MATCH(ADMIN!K53,WORLDCUP!$DT$4:$DT$147,0)))</f>
        <v>46197</v>
      </c>
      <c r="I53" s="54">
        <v>1</v>
      </c>
      <c r="J53" s="102" t="s">
        <v>1197</v>
      </c>
      <c r="K53" s="63" t="str">
        <f ca="1">CONCATENATE(WORLDCUP!AA95,"-",WORLDCUP!AF95)</f>
        <v>Panamá-Croacia</v>
      </c>
      <c r="L53" s="64"/>
      <c r="M53" s="65" t="str">
        <f>IF(OR(WORLDCUP!AC95="",WORLDCUP!AD95=""),"-",N53&amp;"|"&amp;O53&amp;"-"&amp;P53)</f>
        <v>2|1-2</v>
      </c>
      <c r="N53" s="25" t="str">
        <f>IF(OR(WORLDCUP!AC95="",WORLDCUP!AD95=""),"",IF(WORLDCUP!AC95&gt;WORLDCUP!AD95,"1",IF(WORLDCUP!AC95&lt;WORLDCUP!AD95,"2","X")))</f>
        <v>2</v>
      </c>
      <c r="O53" s="25">
        <f>WORLDCUP!AC95</f>
        <v>1</v>
      </c>
      <c r="P53" s="25">
        <f>WORLDCUP!AD95</f>
        <v>2</v>
      </c>
      <c r="Q53" s="25">
        <f t="shared" si="11"/>
        <v>1</v>
      </c>
      <c r="R53" s="55"/>
      <c r="S53" s="84" t="s">
        <v>1951</v>
      </c>
      <c r="T53" s="85">
        <f t="shared" si="8"/>
        <v>6</v>
      </c>
      <c r="U53" s="71"/>
      <c r="V53" s="84" t="s">
        <v>1944</v>
      </c>
      <c r="W53" s="85">
        <f t="shared" si="15"/>
        <v>2</v>
      </c>
      <c r="X53" s="71"/>
      <c r="Y53" s="84" t="s">
        <v>1942</v>
      </c>
      <c r="Z53" s="85">
        <f t="shared" si="16"/>
        <v>3</v>
      </c>
      <c r="AA53" s="71"/>
      <c r="AB53" s="84" t="s">
        <v>1946</v>
      </c>
      <c r="AC53" s="85">
        <f t="shared" si="16"/>
        <v>2</v>
      </c>
      <c r="AD53" s="71"/>
      <c r="AE53" s="84" t="s">
        <v>1944</v>
      </c>
      <c r="AF53" s="85">
        <f t="shared" si="16"/>
        <v>2</v>
      </c>
      <c r="AG53" s="71"/>
      <c r="AH53" s="71"/>
    </row>
    <row r="54" spans="1:34" x14ac:dyDescent="0.2">
      <c r="A54" s="55"/>
      <c r="B54" s="55"/>
      <c r="C54" s="17"/>
      <c r="D54" s="209"/>
      <c r="E54" s="95"/>
      <c r="F54" s="453">
        <f t="shared" si="7"/>
        <v>6</v>
      </c>
      <c r="G54" s="453">
        <f ca="1">VLOOKUP(H54,Equipos!$Q$1:$R$25,2,0)</f>
        <v>15</v>
      </c>
      <c r="H54" s="454">
        <f ca="1">TRUNC(INDEX(WORLDCUP!$X$4:$X$147,MATCH(ADMIN!K54,WORLDCUP!$DT$4:$DT$147,0)))</f>
        <v>46198</v>
      </c>
      <c r="I54" s="54">
        <v>1</v>
      </c>
      <c r="J54" s="101" t="s">
        <v>124</v>
      </c>
      <c r="K54" s="59" t="str">
        <f ca="1">CONCATENATE(WORLDCUP!AA8,"-",WORLDCUP!AF8)</f>
        <v>República Checa-México</v>
      </c>
      <c r="L54" s="59"/>
      <c r="M54" s="61" t="str">
        <f>IF(OR(WORLDCUP!AC8="",WORLDCUP!AD8=""),"-",N54&amp;"|"&amp;O54&amp;"-"&amp;P54)</f>
        <v>2|0-3</v>
      </c>
      <c r="N54" s="25" t="str">
        <f>IF(OR(WORLDCUP!AC8="",WORLDCUP!AD8=""),"",IF(WORLDCUP!AC8&gt;WORLDCUP!AD8,"1",IF(WORLDCUP!AC8&lt;WORLDCUP!AD8,"2","X")))</f>
        <v>2</v>
      </c>
      <c r="O54" s="25">
        <f>WORLDCUP!AC8</f>
        <v>0</v>
      </c>
      <c r="P54" s="25">
        <f>WORLDCUP!AD8</f>
        <v>3</v>
      </c>
      <c r="Q54" s="25">
        <f t="shared" si="11"/>
        <v>3</v>
      </c>
      <c r="R54" s="55"/>
      <c r="S54" s="82" t="s">
        <v>1945</v>
      </c>
      <c r="T54" s="83">
        <f t="shared" si="8"/>
        <v>0</v>
      </c>
      <c r="U54" s="71"/>
      <c r="V54" s="82" t="s">
        <v>1942</v>
      </c>
      <c r="W54" s="83">
        <f t="shared" si="15"/>
        <v>2</v>
      </c>
      <c r="X54" s="71"/>
      <c r="Y54" s="82" t="s">
        <v>1950</v>
      </c>
      <c r="Z54" s="83">
        <f t="shared" si="16"/>
        <v>0</v>
      </c>
      <c r="AA54" s="71"/>
      <c r="AB54" s="82" t="s">
        <v>1951</v>
      </c>
      <c r="AC54" s="83">
        <f t="shared" si="16"/>
        <v>2</v>
      </c>
      <c r="AD54" s="71"/>
      <c r="AE54" s="82" t="s">
        <v>1942</v>
      </c>
      <c r="AF54" s="83">
        <f t="shared" si="16"/>
        <v>2</v>
      </c>
      <c r="AG54" s="71"/>
      <c r="AH54" s="71"/>
    </row>
    <row r="55" spans="1:34" x14ac:dyDescent="0.2">
      <c r="A55" s="55"/>
      <c r="B55" s="55"/>
      <c r="C55" s="17"/>
      <c r="D55" s="17"/>
      <c r="E55" s="95"/>
      <c r="F55" s="453">
        <f t="shared" si="7"/>
        <v>6</v>
      </c>
      <c r="G55" s="453">
        <f ca="1">VLOOKUP(H55,Equipos!$Q$1:$R$25,2,0)</f>
        <v>15</v>
      </c>
      <c r="H55" s="454">
        <f ca="1">TRUNC(INDEX(WORLDCUP!$X$4:$X$147,MATCH(ADMIN!K55,WORLDCUP!$DT$4:$DT$147,0)))</f>
        <v>46198</v>
      </c>
      <c r="I55" s="54">
        <v>1</v>
      </c>
      <c r="J55" s="101" t="s">
        <v>124</v>
      </c>
      <c r="K55" s="59" t="str">
        <f ca="1">CONCATENATE(WORLDCUP!AA9,"-",WORLDCUP!AF9)</f>
        <v>Sudáfrica-Corea del Sur</v>
      </c>
      <c r="L55" s="59"/>
      <c r="M55" s="61" t="str">
        <f>IF(OR(WORLDCUP!AC9="",WORLDCUP!AD9=""),"-",N55&amp;"|"&amp;O55&amp;"-"&amp;P55)</f>
        <v>1|1-0</v>
      </c>
      <c r="N55" s="25" t="str">
        <f>IF(OR(WORLDCUP!AC9="",WORLDCUP!AD9=""),"",IF(WORLDCUP!AC9&gt;WORLDCUP!AD9,"1",IF(WORLDCUP!AC9&lt;WORLDCUP!AD9,"2","X")))</f>
        <v>1</v>
      </c>
      <c r="O55" s="25">
        <f>WORLDCUP!AC9</f>
        <v>1</v>
      </c>
      <c r="P55" s="25">
        <f>WORLDCUP!AD9</f>
        <v>0</v>
      </c>
      <c r="Q55" s="25">
        <f t="shared" si="11"/>
        <v>1</v>
      </c>
      <c r="R55" s="55"/>
      <c r="S55" s="80" t="s">
        <v>1941</v>
      </c>
      <c r="T55" s="79">
        <f t="shared" si="8"/>
        <v>3</v>
      </c>
      <c r="U55" s="71"/>
      <c r="V55" s="80" t="s">
        <v>1942</v>
      </c>
      <c r="W55" s="79">
        <f t="shared" si="15"/>
        <v>0</v>
      </c>
      <c r="X55" s="71"/>
      <c r="Y55" s="80" t="s">
        <v>1946</v>
      </c>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t="s">
        <v>1942</v>
      </c>
      <c r="AC55" s="79">
        <f t="shared" si="17"/>
        <v>0</v>
      </c>
      <c r="AD55" s="71"/>
      <c r="AE55" s="80" t="s">
        <v>1951</v>
      </c>
      <c r="AF55" s="79">
        <f t="shared" si="17"/>
        <v>0</v>
      </c>
      <c r="AG55" s="71"/>
      <c r="AH55" s="71"/>
    </row>
    <row r="56" spans="1:34" x14ac:dyDescent="0.2">
      <c r="A56" s="55"/>
      <c r="B56" s="55"/>
      <c r="C56" s="125" t="str">
        <f>"MAX. "&amp;K5</f>
        <v>MAX. FASE DE GRUPOS</v>
      </c>
      <c r="D56" s="128">
        <f>SUM($D$8:$D$10)*SUM($I$6:$I$77)+SUM($D$11:$D$14)*12+$D$15*32</f>
        <v>616</v>
      </c>
      <c r="E56" s="117"/>
      <c r="F56" s="453">
        <f t="shared" si="7"/>
        <v>6</v>
      </c>
      <c r="G56" s="453">
        <f ca="1">VLOOKUP(H56,Equipos!$Q$1:$R$25,2,0)</f>
        <v>14</v>
      </c>
      <c r="H56" s="454">
        <f ca="1">TRUNC(INDEX(WORLDCUP!$X$4:$X$147,MATCH(ADMIN!K56,WORLDCUP!$DT$4:$DT$147,0)))</f>
        <v>46197</v>
      </c>
      <c r="I56" s="54">
        <v>1</v>
      </c>
      <c r="J56" s="102" t="s">
        <v>125</v>
      </c>
      <c r="K56" s="62" t="str">
        <f ca="1">CONCATENATE(WORLDCUP!AA16,"-",WORLDCUP!AF16)</f>
        <v>Suiza-Canadá</v>
      </c>
      <c r="L56" s="59"/>
      <c r="M56" s="61" t="str">
        <f>IF(OR(WORLDCUP!AC16="",WORLDCUP!AD16=""),"-",N56&amp;"|"&amp;O56&amp;"-"&amp;P56)</f>
        <v>1|2-1</v>
      </c>
      <c r="N56" s="25" t="str">
        <f>IF(OR(WORLDCUP!AC16="",WORLDCUP!AD16=""),"",IF(WORLDCUP!AC16&gt;WORLDCUP!AD16,"1",IF(WORLDCUP!AC16&lt;WORLDCUP!AD16,"2","X")))</f>
        <v>1</v>
      </c>
      <c r="O56" s="25">
        <f>WORLDCUP!AC16</f>
        <v>2</v>
      </c>
      <c r="P56" s="25">
        <f>WORLDCUP!AD16</f>
        <v>1</v>
      </c>
      <c r="Q56" s="25">
        <f t="shared" si="11"/>
        <v>1</v>
      </c>
      <c r="R56" s="55"/>
      <c r="S56" s="80" t="s">
        <v>1945</v>
      </c>
      <c r="T56" s="79">
        <f t="shared" si="8"/>
        <v>0</v>
      </c>
      <c r="U56" s="71"/>
      <c r="V56" s="80" t="s">
        <v>1953</v>
      </c>
      <c r="W56" s="79">
        <f t="shared" si="15"/>
        <v>2</v>
      </c>
      <c r="X56" s="71"/>
      <c r="Y56" s="80" t="s">
        <v>1959</v>
      </c>
      <c r="Z56" s="79">
        <f t="shared" si="17"/>
        <v>0</v>
      </c>
      <c r="AA56" s="71"/>
      <c r="AB56" s="80" t="s">
        <v>1941</v>
      </c>
      <c r="AC56" s="79">
        <f t="shared" si="17"/>
        <v>6</v>
      </c>
      <c r="AD56" s="71"/>
      <c r="AE56" s="80" t="s">
        <v>1950</v>
      </c>
      <c r="AF56" s="79">
        <f t="shared" si="17"/>
        <v>3</v>
      </c>
      <c r="AG56" s="71"/>
      <c r="AH56" s="71"/>
    </row>
    <row r="57" spans="1:34" x14ac:dyDescent="0.2">
      <c r="A57" s="55"/>
      <c r="B57" s="55"/>
      <c r="C57" s="126" t="str">
        <f>"MAX. "&amp;UPPER(Idiomas!D260)</f>
        <v>MAX. DIECISEISAVOS DE FINAL</v>
      </c>
      <c r="D57" s="129">
        <f>SUM($D$16:$D$18)*SUM($I$164:$I$179)+$D$19*16</f>
        <v>192</v>
      </c>
      <c r="E57" s="117"/>
      <c r="F57" s="453">
        <f t="shared" si="7"/>
        <v>6</v>
      </c>
      <c r="G57" s="453">
        <f ca="1">VLOOKUP(H57,Equipos!$Q$1:$R$25,2,0)</f>
        <v>14</v>
      </c>
      <c r="H57" s="454">
        <f ca="1">TRUNC(INDEX(WORLDCUP!$X$4:$X$147,MATCH(ADMIN!K57,WORLDCUP!$DT$4:$DT$147,0)))</f>
        <v>46197</v>
      </c>
      <c r="I57" s="54">
        <v>1</v>
      </c>
      <c r="J57" s="102" t="s">
        <v>125</v>
      </c>
      <c r="K57" s="59" t="str">
        <f ca="1">CONCATENATE(WORLDCUP!AA17,"-",WORLDCUP!AF17)</f>
        <v>Bosnia y Herzegovina-Catar</v>
      </c>
      <c r="L57" s="59"/>
      <c r="M57" s="61" t="str">
        <f>IF(OR(WORLDCUP!AC17="",WORLDCUP!AD17=""),"-",N57&amp;"|"&amp;O57&amp;"-"&amp;P57)</f>
        <v>1|3-1</v>
      </c>
      <c r="N57" s="25" t="str">
        <f>IF(OR(WORLDCUP!AC17="",WORLDCUP!AD17=""),"",IF(WORLDCUP!AC17&gt;WORLDCUP!AD17,"1",IF(WORLDCUP!AC17&lt;WORLDCUP!AD17,"2","X")))</f>
        <v>1</v>
      </c>
      <c r="O57" s="25">
        <f>WORLDCUP!AC17</f>
        <v>3</v>
      </c>
      <c r="P57" s="25">
        <f>WORLDCUP!AD17</f>
        <v>1</v>
      </c>
      <c r="Q57" s="25">
        <f t="shared" si="11"/>
        <v>2</v>
      </c>
      <c r="R57" s="55"/>
      <c r="S57" s="80" t="s">
        <v>1943</v>
      </c>
      <c r="T57" s="79">
        <f t="shared" si="8"/>
        <v>0</v>
      </c>
      <c r="U57" s="71"/>
      <c r="V57" s="80" t="s">
        <v>1952</v>
      </c>
      <c r="W57" s="79">
        <f t="shared" si="15"/>
        <v>2</v>
      </c>
      <c r="X57" s="71"/>
      <c r="Y57" s="80" t="s">
        <v>1942</v>
      </c>
      <c r="Z57" s="79">
        <f t="shared" si="17"/>
        <v>0</v>
      </c>
      <c r="AA57" s="71"/>
      <c r="AB57" s="80" t="s">
        <v>1943</v>
      </c>
      <c r="AC57" s="79">
        <f t="shared" si="17"/>
        <v>0</v>
      </c>
      <c r="AD57" s="71"/>
      <c r="AE57" s="80" t="s">
        <v>1949</v>
      </c>
      <c r="AF57" s="79">
        <f t="shared" si="17"/>
        <v>3</v>
      </c>
      <c r="AG57" s="71"/>
      <c r="AH57" s="71"/>
    </row>
    <row r="58" spans="1:34" x14ac:dyDescent="0.2">
      <c r="A58" s="55"/>
      <c r="B58" s="55"/>
      <c r="C58" s="127" t="str">
        <f>"MAX. "&amp;UPPER(Idiomas!D261)</f>
        <v>MAX. OCTAVOS DE FINAL</v>
      </c>
      <c r="D58" s="130">
        <f>SUM($D$20:$D$22)*SUM($I$200:$I$207)+$D$23*8</f>
        <v>136</v>
      </c>
      <c r="E58" s="117"/>
      <c r="F58" s="453">
        <f t="shared" si="7"/>
        <v>6</v>
      </c>
      <c r="G58" s="453">
        <f ca="1">VLOOKUP(H58,Equipos!$Q$1:$R$25,2,0)</f>
        <v>15</v>
      </c>
      <c r="H58" s="454">
        <f ca="1">TRUNC(INDEX(WORLDCUP!$X$4:$X$147,MATCH(ADMIN!K58,WORLDCUP!$DT$4:$DT$147,0)))</f>
        <v>46198</v>
      </c>
      <c r="I58" s="54">
        <v>1</v>
      </c>
      <c r="J58" s="101" t="s">
        <v>126</v>
      </c>
      <c r="K58" s="62" t="str">
        <f ca="1">CONCATENATE(WORLDCUP!AA24,"-",WORLDCUP!AF24)</f>
        <v>Escocia-Brasil</v>
      </c>
      <c r="L58" s="59"/>
      <c r="M58" s="61" t="str">
        <f>IF(OR(WORLDCUP!AC24="",WORLDCUP!AD24=""),"-",N58&amp;"|"&amp;O58&amp;"-"&amp;P58)</f>
        <v>2|0-3</v>
      </c>
      <c r="N58" s="25" t="str">
        <f>IF(OR(WORLDCUP!AC24="",WORLDCUP!AD24=""),"",IF(WORLDCUP!AC24&gt;WORLDCUP!AD24,"1",IF(WORLDCUP!AC24&lt;WORLDCUP!AD24,"2","X")))</f>
        <v>2</v>
      </c>
      <c r="O58" s="25">
        <f>WORLDCUP!AC24</f>
        <v>0</v>
      </c>
      <c r="P58" s="25">
        <f>WORLDCUP!AD24</f>
        <v>3</v>
      </c>
      <c r="Q58" s="25">
        <f t="shared" si="11"/>
        <v>3</v>
      </c>
      <c r="R58" s="55"/>
      <c r="S58" s="80" t="s">
        <v>1955</v>
      </c>
      <c r="T58" s="79">
        <f t="shared" si="8"/>
        <v>2</v>
      </c>
      <c r="U58" s="71"/>
      <c r="V58" s="80" t="s">
        <v>1951</v>
      </c>
      <c r="W58" s="79">
        <f t="shared" si="15"/>
        <v>2</v>
      </c>
      <c r="X58" s="71"/>
      <c r="Y58" s="80" t="s">
        <v>1963</v>
      </c>
      <c r="Z58" s="79">
        <f t="shared" si="17"/>
        <v>2</v>
      </c>
      <c r="AA58" s="71"/>
      <c r="AB58" s="80" t="s">
        <v>1946</v>
      </c>
      <c r="AC58" s="79">
        <f t="shared" si="17"/>
        <v>2</v>
      </c>
      <c r="AD58" s="71"/>
      <c r="AE58" s="80" t="s">
        <v>1946</v>
      </c>
      <c r="AF58" s="79">
        <f t="shared" si="17"/>
        <v>2</v>
      </c>
      <c r="AG58" s="71"/>
      <c r="AH58" s="71"/>
    </row>
    <row r="59" spans="1:34" x14ac:dyDescent="0.2">
      <c r="A59" s="55"/>
      <c r="B59" s="55"/>
      <c r="C59" s="126" t="str">
        <f>"MAX. "&amp;UPPER(Idiomas!D262)</f>
        <v>MAX. CUARTOS DE FINAL</v>
      </c>
      <c r="D59" s="129">
        <f>SUM($D$24:$D$26)*SUM($I$220:$I$223)+$D$27*4</f>
        <v>92</v>
      </c>
      <c r="E59" s="117"/>
      <c r="F59" s="453">
        <f t="shared" si="7"/>
        <v>6</v>
      </c>
      <c r="G59" s="453">
        <f ca="1">VLOOKUP(H59,Equipos!$Q$1:$R$25,2,0)</f>
        <v>15</v>
      </c>
      <c r="H59" s="454">
        <f ca="1">TRUNC(INDEX(WORLDCUP!$X$4:$X$147,MATCH(ADMIN!K59,WORLDCUP!$DT$4:$DT$147,0)))</f>
        <v>46198</v>
      </c>
      <c r="I59" s="54">
        <v>1</v>
      </c>
      <c r="J59" s="101" t="s">
        <v>126</v>
      </c>
      <c r="K59" s="59" t="str">
        <f ca="1">CONCATENATE(WORLDCUP!AA25,"-",WORLDCUP!AF25)</f>
        <v>Marruecos-Haití</v>
      </c>
      <c r="L59" s="59"/>
      <c r="M59" s="61" t="str">
        <f>IF(OR(WORLDCUP!AC25="",WORLDCUP!AD25=""),"-",N59&amp;"|"&amp;O59&amp;"-"&amp;P59)</f>
        <v>1|4-2</v>
      </c>
      <c r="N59" s="25" t="str">
        <f>IF(OR(WORLDCUP!AC25="",WORLDCUP!AD25=""),"",IF(WORLDCUP!AC25&gt;WORLDCUP!AD25,"1",IF(WORLDCUP!AC25&lt;WORLDCUP!AD25,"2","X")))</f>
        <v>1</v>
      </c>
      <c r="O59" s="25">
        <f>WORLDCUP!AC25</f>
        <v>4</v>
      </c>
      <c r="P59" s="25">
        <f>WORLDCUP!AD25</f>
        <v>2</v>
      </c>
      <c r="Q59" s="25">
        <f t="shared" si="11"/>
        <v>2</v>
      </c>
      <c r="R59" s="55"/>
      <c r="S59" s="80" t="s">
        <v>1949</v>
      </c>
      <c r="T59" s="79">
        <f t="shared" si="8"/>
        <v>3</v>
      </c>
      <c r="U59" s="71"/>
      <c r="V59" s="80" t="s">
        <v>1952</v>
      </c>
      <c r="W59" s="79">
        <f t="shared" si="15"/>
        <v>2</v>
      </c>
      <c r="X59" s="71"/>
      <c r="Y59" s="80" t="s">
        <v>1950</v>
      </c>
      <c r="Z59" s="79">
        <f t="shared" si="17"/>
        <v>2</v>
      </c>
      <c r="AA59" s="71"/>
      <c r="AB59" s="80" t="s">
        <v>1949</v>
      </c>
      <c r="AC59" s="79">
        <f t="shared" si="17"/>
        <v>3</v>
      </c>
      <c r="AD59" s="71"/>
      <c r="AE59" s="80" t="s">
        <v>1947</v>
      </c>
      <c r="AF59" s="79">
        <f t="shared" si="17"/>
        <v>2</v>
      </c>
      <c r="AG59" s="71"/>
      <c r="AH59" s="71"/>
    </row>
    <row r="60" spans="1:34" x14ac:dyDescent="0.2">
      <c r="A60" s="55"/>
      <c r="B60" s="55"/>
      <c r="C60" s="127" t="str">
        <f>"MAX. "&amp;UPPER(Idiomas!D263)</f>
        <v>MAX. SEMIFINALES</v>
      </c>
      <c r="D60" s="130">
        <f>SUM($D$28:$D$30)*SUM($I$232:$I$233)+$D$31*2+$D$32*2</f>
        <v>78</v>
      </c>
      <c r="E60" s="117"/>
      <c r="F60" s="453">
        <f t="shared" si="7"/>
        <v>6</v>
      </c>
      <c r="G60" s="453">
        <f ca="1">VLOOKUP(H60,Equipos!$Q$1:$R$25,2,0)</f>
        <v>16</v>
      </c>
      <c r="H60" s="454">
        <f ca="1">TRUNC(INDEX(WORLDCUP!$X$4:$X$147,MATCH(ADMIN!K60,WORLDCUP!$DT$4:$DT$147,0)))</f>
        <v>46199</v>
      </c>
      <c r="I60" s="54">
        <v>1</v>
      </c>
      <c r="J60" s="102" t="s">
        <v>127</v>
      </c>
      <c r="K60" s="62" t="str">
        <f ca="1">CONCATENATE(WORLDCUP!AA32,"-",WORLDCUP!AF32)</f>
        <v>Turquía-Estados Unidos</v>
      </c>
      <c r="L60" s="59"/>
      <c r="M60" s="61" t="str">
        <f>IF(OR(WORLDCUP!AC32="",WORLDCUP!AD32=""),"-",N60&amp;"|"&amp;O60&amp;"-"&amp;P60)</f>
        <v>1|3-2</v>
      </c>
      <c r="N60" s="25" t="str">
        <f>IF(OR(WORLDCUP!AC32="",WORLDCUP!AD32=""),"",IF(WORLDCUP!AC32&gt;WORLDCUP!AD32,"1",IF(WORLDCUP!AC32&lt;WORLDCUP!AD32,"2","X")))</f>
        <v>1</v>
      </c>
      <c r="O60" s="25">
        <f>WORLDCUP!AC32</f>
        <v>3</v>
      </c>
      <c r="P60" s="25">
        <f>WORLDCUP!AD32</f>
        <v>2</v>
      </c>
      <c r="Q60" s="25">
        <f t="shared" si="11"/>
        <v>1</v>
      </c>
      <c r="R60" s="55"/>
      <c r="S60" s="82" t="s">
        <v>1941</v>
      </c>
      <c r="T60" s="83">
        <f t="shared" si="8"/>
        <v>3</v>
      </c>
      <c r="U60" s="71"/>
      <c r="V60" s="82" t="s">
        <v>1953</v>
      </c>
      <c r="W60" s="83">
        <f t="shared" si="15"/>
        <v>2</v>
      </c>
      <c r="X60" s="71"/>
      <c r="Y60" s="82" t="s">
        <v>1943</v>
      </c>
      <c r="Z60" s="83">
        <f t="shared" si="17"/>
        <v>0</v>
      </c>
      <c r="AA60" s="71"/>
      <c r="AB60" s="82" t="s">
        <v>1943</v>
      </c>
      <c r="AC60" s="83">
        <f t="shared" si="17"/>
        <v>0</v>
      </c>
      <c r="AD60" s="71"/>
      <c r="AE60" s="82" t="s">
        <v>1950</v>
      </c>
      <c r="AF60" s="83">
        <f t="shared" si="17"/>
        <v>3</v>
      </c>
      <c r="AG60" s="71"/>
      <c r="AH60" s="71"/>
    </row>
    <row r="61" spans="1:34" x14ac:dyDescent="0.2">
      <c r="A61" s="55"/>
      <c r="B61" s="55"/>
      <c r="C61" s="126" t="str">
        <f>"MAX. "&amp;UPPER(Idiomas!D264)</f>
        <v>MAX. 3-4 &amp; FINAL</v>
      </c>
      <c r="D61" s="129">
        <f>SUM($D$33:$D$35)*$I$244+SUM($D$36:$D$38)*$I$247</f>
        <v>45</v>
      </c>
      <c r="E61" s="117"/>
      <c r="F61" s="453">
        <f t="shared" si="7"/>
        <v>6</v>
      </c>
      <c r="G61" s="453">
        <f ca="1">VLOOKUP(H61,Equipos!$Q$1:$R$25,2,0)</f>
        <v>16</v>
      </c>
      <c r="H61" s="454">
        <f ca="1">TRUNC(INDEX(WORLDCUP!$X$4:$X$147,MATCH(ADMIN!K61,WORLDCUP!$DT$4:$DT$147,0)))</f>
        <v>46199</v>
      </c>
      <c r="I61" s="54">
        <v>1</v>
      </c>
      <c r="J61" s="102" t="s">
        <v>127</v>
      </c>
      <c r="K61" s="59" t="str">
        <f ca="1">CONCATENATE(WORLDCUP!AA33,"-",WORLDCUP!AF33)</f>
        <v>Paraguay-Australia</v>
      </c>
      <c r="L61" s="59"/>
      <c r="M61" s="61" t="str">
        <f>IF(OR(WORLDCUP!AC33="",WORLDCUP!AD33=""),"-",N61&amp;"|"&amp;O61&amp;"-"&amp;P61)</f>
        <v>X|0-0</v>
      </c>
      <c r="N61" s="25" t="str">
        <f>IF(OR(WORLDCUP!AC33="",WORLDCUP!AD33=""),"",IF(WORLDCUP!AC33&gt;WORLDCUP!AD33,"1",IF(WORLDCUP!AC33&lt;WORLDCUP!AD33,"2","X")))</f>
        <v>X</v>
      </c>
      <c r="O61" s="25">
        <f>WORLDCUP!AC33</f>
        <v>0</v>
      </c>
      <c r="P61" s="25">
        <f>WORLDCUP!AD33</f>
        <v>0</v>
      </c>
      <c r="Q61" s="25">
        <f t="shared" si="11"/>
        <v>0</v>
      </c>
      <c r="R61" s="55"/>
      <c r="S61" s="80" t="s">
        <v>1941</v>
      </c>
      <c r="T61" s="79">
        <f t="shared" si="8"/>
        <v>0</v>
      </c>
      <c r="U61" s="71"/>
      <c r="V61" s="80" t="s">
        <v>1949</v>
      </c>
      <c r="W61" s="79">
        <f t="shared" si="15"/>
        <v>0</v>
      </c>
      <c r="X61" s="71"/>
      <c r="Y61" s="80" t="s">
        <v>1959</v>
      </c>
      <c r="Z61" s="79">
        <f t="shared" si="17"/>
        <v>6</v>
      </c>
      <c r="AA61" s="71"/>
      <c r="AB61" s="80" t="s">
        <v>1943</v>
      </c>
      <c r="AC61" s="79">
        <f t="shared" si="17"/>
        <v>3</v>
      </c>
      <c r="AD61" s="71"/>
      <c r="AE61" s="80" t="s">
        <v>1943</v>
      </c>
      <c r="AF61" s="79">
        <f t="shared" si="17"/>
        <v>3</v>
      </c>
      <c r="AG61" s="71"/>
      <c r="AH61" s="71"/>
    </row>
    <row r="62" spans="1:34" x14ac:dyDescent="0.2">
      <c r="A62" s="55"/>
      <c r="B62" s="55"/>
      <c r="C62" s="53" t="str">
        <f>"MAX. "&amp;$K$249</f>
        <v>MAX. CUADRO DE HONOR</v>
      </c>
      <c r="D62" s="132">
        <f>SUM($D$39:$D$47)</f>
        <v>135</v>
      </c>
      <c r="E62" s="117"/>
      <c r="F62" s="453">
        <f t="shared" si="7"/>
        <v>6</v>
      </c>
      <c r="G62" s="453">
        <f ca="1">VLOOKUP(H62,Equipos!$Q$1:$R$25,2,0)</f>
        <v>15</v>
      </c>
      <c r="H62" s="454">
        <f ca="1">TRUNC(INDEX(WORLDCUP!$X$4:$X$147,MATCH(ADMIN!K62,WORLDCUP!$DT$4:$DT$147,0)))</f>
        <v>46198</v>
      </c>
      <c r="I62" s="54">
        <v>1</v>
      </c>
      <c r="J62" s="101" t="s">
        <v>128</v>
      </c>
      <c r="K62" s="62" t="str">
        <f ca="1">CONCATENATE(WORLDCUP!AA40,"-",WORLDCUP!AF40)</f>
        <v>Curazao-Costa de Marfil</v>
      </c>
      <c r="L62" s="59"/>
      <c r="M62" s="61" t="str">
        <f>IF(OR(WORLDCUP!AC40="",WORLDCUP!AD40=""),"-",N62&amp;"|"&amp;O62&amp;"-"&amp;P62)</f>
        <v>2|0-2</v>
      </c>
      <c r="N62" s="25" t="str">
        <f>IF(OR(WORLDCUP!AC40="",WORLDCUP!AD40=""),"",IF(WORLDCUP!AC40&gt;WORLDCUP!AD40,"1",IF(WORLDCUP!AC40&lt;WORLDCUP!AD40,"2","X")))</f>
        <v>2</v>
      </c>
      <c r="O62" s="25">
        <f>WORLDCUP!AC40</f>
        <v>0</v>
      </c>
      <c r="P62" s="25">
        <f>WORLDCUP!AD40</f>
        <v>2</v>
      </c>
      <c r="Q62" s="25">
        <f t="shared" si="11"/>
        <v>2</v>
      </c>
      <c r="R62" s="55"/>
      <c r="S62" s="80" t="s">
        <v>1951</v>
      </c>
      <c r="T62" s="79">
        <f t="shared" si="8"/>
        <v>2</v>
      </c>
      <c r="U62" s="71"/>
      <c r="V62" s="80" t="s">
        <v>1961</v>
      </c>
      <c r="W62" s="79">
        <f t="shared" si="15"/>
        <v>2</v>
      </c>
      <c r="X62" s="71"/>
      <c r="Y62" s="80" t="s">
        <v>1943</v>
      </c>
      <c r="Z62" s="79">
        <f t="shared" si="17"/>
        <v>0</v>
      </c>
      <c r="AA62" s="71"/>
      <c r="AB62" s="80" t="s">
        <v>1946</v>
      </c>
      <c r="AC62" s="79">
        <f t="shared" si="17"/>
        <v>6</v>
      </c>
      <c r="AD62" s="71"/>
      <c r="AE62" s="80" t="s">
        <v>1951</v>
      </c>
      <c r="AF62" s="79">
        <f t="shared" si="17"/>
        <v>2</v>
      </c>
      <c r="AG62" s="71"/>
      <c r="AH62" s="71"/>
    </row>
    <row r="63" spans="1:34" x14ac:dyDescent="0.2">
      <c r="A63" s="55"/>
      <c r="B63" s="55"/>
      <c r="C63" s="55"/>
      <c r="D63" s="55"/>
      <c r="E63" s="117"/>
      <c r="F63" s="453">
        <f t="shared" si="7"/>
        <v>6</v>
      </c>
      <c r="G63" s="453">
        <f ca="1">VLOOKUP(H63,Equipos!$Q$1:$R$25,2,0)</f>
        <v>15</v>
      </c>
      <c r="H63" s="454">
        <f ca="1">TRUNC(INDEX(WORLDCUP!$X$4:$X$147,MATCH(ADMIN!K63,WORLDCUP!$DT$4:$DT$147,0)))</f>
        <v>46198</v>
      </c>
      <c r="I63" s="54">
        <v>1</v>
      </c>
      <c r="J63" s="101" t="s">
        <v>128</v>
      </c>
      <c r="K63" s="59" t="str">
        <f ca="1">CONCATENATE(WORLDCUP!AA41,"-",WORLDCUP!AF41)</f>
        <v>Ecuador-Alemania</v>
      </c>
      <c r="L63" s="59"/>
      <c r="M63" s="61" t="str">
        <f>IF(OR(WORLDCUP!AC41="",WORLDCUP!AD41=""),"-",N63&amp;"|"&amp;O63&amp;"-"&amp;P63)</f>
        <v>1|2-1</v>
      </c>
      <c r="N63" s="25" t="str">
        <f>IF(OR(WORLDCUP!AC41="",WORLDCUP!AD41=""),"",IF(WORLDCUP!AC41&gt;WORLDCUP!AD41,"1",IF(WORLDCUP!AC41&lt;WORLDCUP!AD41,"2","X")))</f>
        <v>1</v>
      </c>
      <c r="O63" s="25">
        <f>WORLDCUP!AC41</f>
        <v>2</v>
      </c>
      <c r="P63" s="25">
        <f>WORLDCUP!AD41</f>
        <v>1</v>
      </c>
      <c r="Q63" s="25">
        <f t="shared" si="11"/>
        <v>1</v>
      </c>
      <c r="R63" s="55"/>
      <c r="S63" s="80" t="s">
        <v>1945</v>
      </c>
      <c r="T63" s="79">
        <f t="shared" si="8"/>
        <v>0</v>
      </c>
      <c r="U63" s="71"/>
      <c r="V63" s="80" t="s">
        <v>1941</v>
      </c>
      <c r="W63" s="79">
        <f t="shared" si="15"/>
        <v>6</v>
      </c>
      <c r="X63" s="71"/>
      <c r="Y63" s="80" t="s">
        <v>1966</v>
      </c>
      <c r="Z63" s="79">
        <f t="shared" si="17"/>
        <v>0</v>
      </c>
      <c r="AA63" s="71"/>
      <c r="AB63" s="80" t="s">
        <v>1951</v>
      </c>
      <c r="AC63" s="79">
        <f t="shared" si="17"/>
        <v>0</v>
      </c>
      <c r="AD63" s="71"/>
      <c r="AE63" s="80" t="s">
        <v>1942</v>
      </c>
      <c r="AF63" s="79">
        <f t="shared" si="17"/>
        <v>0</v>
      </c>
      <c r="AG63" s="71"/>
      <c r="AH63" s="71"/>
    </row>
    <row r="64" spans="1:34" x14ac:dyDescent="0.2">
      <c r="A64" s="55"/>
      <c r="B64" s="55"/>
      <c r="C64" s="125" t="str">
        <f>"MAX. "&amp;K5</f>
        <v>MAX. FASE DE GRUPOS</v>
      </c>
      <c r="D64" s="128">
        <f>D56</f>
        <v>616</v>
      </c>
      <c r="E64" s="117"/>
      <c r="F64" s="453">
        <f t="shared" si="7"/>
        <v>6</v>
      </c>
      <c r="G64" s="453">
        <f ca="1">VLOOKUP(H64,Equipos!$Q$1:$R$25,2,0)</f>
        <v>16</v>
      </c>
      <c r="H64" s="454">
        <f ca="1">TRUNC(INDEX(WORLDCUP!$X$4:$X$147,MATCH(ADMIN!K64,WORLDCUP!$DT$4:$DT$147,0)))</f>
        <v>46199</v>
      </c>
      <c r="I64" s="54">
        <v>1</v>
      </c>
      <c r="J64" s="102" t="s">
        <v>129</v>
      </c>
      <c r="K64" s="62" t="str">
        <f ca="1">CONCATENATE(WORLDCUP!AA48,"-",WORLDCUP!AF48)</f>
        <v>Japón-Suecia</v>
      </c>
      <c r="L64" s="59"/>
      <c r="M64" s="61" t="str">
        <f>IF(OR(WORLDCUP!AC48="",WORLDCUP!AD48=""),"-",N64&amp;"|"&amp;O64&amp;"-"&amp;P64)</f>
        <v>X|1-1</v>
      </c>
      <c r="N64" s="25" t="str">
        <f>IF(OR(WORLDCUP!AC48="",WORLDCUP!AD48=""),"",IF(WORLDCUP!AC48&gt;WORLDCUP!AD48,"1",IF(WORLDCUP!AC48&lt;WORLDCUP!AD48,"2","X")))</f>
        <v>X</v>
      </c>
      <c r="O64" s="25">
        <f>WORLDCUP!AC48</f>
        <v>1</v>
      </c>
      <c r="P64" s="25">
        <f>WORLDCUP!AD48</f>
        <v>1</v>
      </c>
      <c r="Q64" s="25">
        <f t="shared" si="11"/>
        <v>0</v>
      </c>
      <c r="R64" s="55"/>
      <c r="S64" s="80" t="s">
        <v>1943</v>
      </c>
      <c r="T64" s="79">
        <f t="shared" si="8"/>
        <v>6</v>
      </c>
      <c r="U64" s="71"/>
      <c r="V64" s="80" t="s">
        <v>1941</v>
      </c>
      <c r="W64" s="79">
        <f t="shared" si="15"/>
        <v>0</v>
      </c>
      <c r="X64" s="71"/>
      <c r="Y64" s="80" t="s">
        <v>1959</v>
      </c>
      <c r="Z64" s="79">
        <f t="shared" si="17"/>
        <v>3</v>
      </c>
      <c r="AA64" s="71"/>
      <c r="AB64" s="80" t="s">
        <v>1943</v>
      </c>
      <c r="AC64" s="79">
        <f t="shared" si="17"/>
        <v>6</v>
      </c>
      <c r="AD64" s="71"/>
      <c r="AE64" s="80" t="s">
        <v>1943</v>
      </c>
      <c r="AF64" s="79">
        <f t="shared" si="17"/>
        <v>6</v>
      </c>
      <c r="AG64" s="71"/>
      <c r="AH64" s="71"/>
    </row>
    <row r="65" spans="1:34" x14ac:dyDescent="0.2">
      <c r="A65" s="55"/>
      <c r="B65" s="55"/>
      <c r="C65" s="52" t="s">
        <v>1646</v>
      </c>
      <c r="D65" s="131">
        <f>SUM($D$57:$D$62)</f>
        <v>678</v>
      </c>
      <c r="E65" s="117"/>
      <c r="F65" s="453">
        <f t="shared" si="7"/>
        <v>6</v>
      </c>
      <c r="G65" s="453">
        <f ca="1">VLOOKUP(H65,Equipos!$Q$1:$R$25,2,0)</f>
        <v>16</v>
      </c>
      <c r="H65" s="454">
        <f ca="1">TRUNC(INDEX(WORLDCUP!$X$4:$X$147,MATCH(ADMIN!K65,WORLDCUP!$DT$4:$DT$147,0)))</f>
        <v>46199</v>
      </c>
      <c r="I65" s="54">
        <v>1</v>
      </c>
      <c r="J65" s="102" t="s">
        <v>129</v>
      </c>
      <c r="K65" s="62" t="str">
        <f ca="1">CONCATENATE(WORLDCUP!AA49,"-",WORLDCUP!AF49)</f>
        <v>Túnez-Países Bajos</v>
      </c>
      <c r="L65" s="59"/>
      <c r="M65" s="61" t="str">
        <f>IF(OR(WORLDCUP!AC49="",WORLDCUP!AD49=""),"-",N65&amp;"|"&amp;O65&amp;"-"&amp;P65)</f>
        <v>2|1-3</v>
      </c>
      <c r="N65" s="25" t="str">
        <f>IF(OR(WORLDCUP!AC49="",WORLDCUP!AD49=""),"",IF(WORLDCUP!AC49&gt;WORLDCUP!AD49,"1",IF(WORLDCUP!AC49&lt;WORLDCUP!AD49,"2","X")))</f>
        <v>2</v>
      </c>
      <c r="O65" s="25">
        <f>WORLDCUP!AC49</f>
        <v>1</v>
      </c>
      <c r="P65" s="25">
        <f>WORLDCUP!AD49</f>
        <v>3</v>
      </c>
      <c r="Q65" s="25">
        <f t="shared" si="11"/>
        <v>2</v>
      </c>
      <c r="R65" s="55"/>
      <c r="S65" s="80" t="s">
        <v>1955</v>
      </c>
      <c r="T65" s="79">
        <f t="shared" si="8"/>
        <v>6</v>
      </c>
      <c r="U65" s="71"/>
      <c r="V65" s="80" t="s">
        <v>1955</v>
      </c>
      <c r="W65" s="79">
        <f t="shared" si="15"/>
        <v>6</v>
      </c>
      <c r="X65" s="71"/>
      <c r="Y65" s="80" t="s">
        <v>1955</v>
      </c>
      <c r="Z65" s="79">
        <f t="shared" si="17"/>
        <v>6</v>
      </c>
      <c r="AA65" s="71"/>
      <c r="AB65" s="80" t="s">
        <v>1946</v>
      </c>
      <c r="AC65" s="79">
        <f t="shared" si="17"/>
        <v>3</v>
      </c>
      <c r="AD65" s="71"/>
      <c r="AE65" s="80" t="s">
        <v>1946</v>
      </c>
      <c r="AF65" s="79">
        <f t="shared" si="17"/>
        <v>3</v>
      </c>
      <c r="AG65" s="71"/>
      <c r="AH65" s="71"/>
    </row>
    <row r="66" spans="1:34" x14ac:dyDescent="0.2">
      <c r="A66" s="55"/>
      <c r="B66" s="55"/>
      <c r="C66" s="17"/>
      <c r="D66" s="17"/>
      <c r="E66" s="117"/>
      <c r="F66" s="453">
        <f t="shared" si="7"/>
        <v>6</v>
      </c>
      <c r="G66" s="453">
        <f ca="1">VLOOKUP(H66,Equipos!$Q$1:$R$25,2,0)</f>
        <v>17</v>
      </c>
      <c r="H66" s="454">
        <f ca="1">TRUNC(INDEX(WORLDCUP!$X$4:$X$147,MATCH(ADMIN!K66,WORLDCUP!$DT$4:$DT$147,0)))</f>
        <v>46200</v>
      </c>
      <c r="I66" s="54">
        <v>1</v>
      </c>
      <c r="J66" s="101" t="s">
        <v>180</v>
      </c>
      <c r="K66" s="59" t="str">
        <f ca="1">CONCATENATE(WORLDCUP!AA56,"-",WORLDCUP!AF56)</f>
        <v>Egipto-Irán</v>
      </c>
      <c r="L66" s="59"/>
      <c r="M66" s="61" t="str">
        <f>IF(OR(WORLDCUP!AC56="",WORLDCUP!AD56=""),"-",N66&amp;"|"&amp;O66&amp;"-"&amp;P66)</f>
        <v>X|1-1</v>
      </c>
      <c r="N66" s="25" t="str">
        <f>IF(OR(WORLDCUP!AC56="",WORLDCUP!AD56=""),"",IF(WORLDCUP!AC56&gt;WORLDCUP!AD56,"1",IF(WORLDCUP!AC56&lt;WORLDCUP!AD56,"2","X")))</f>
        <v>X</v>
      </c>
      <c r="O66" s="25">
        <f>WORLDCUP!AC56</f>
        <v>1</v>
      </c>
      <c r="P66" s="25">
        <f>WORLDCUP!AD56</f>
        <v>1</v>
      </c>
      <c r="Q66" s="25">
        <f t="shared" si="11"/>
        <v>0</v>
      </c>
      <c r="R66" s="55"/>
      <c r="S66" s="80" t="s">
        <v>1941</v>
      </c>
      <c r="T66" s="79">
        <f t="shared" si="8"/>
        <v>0</v>
      </c>
      <c r="U66" s="71"/>
      <c r="V66" s="80" t="s">
        <v>1941</v>
      </c>
      <c r="W66" s="79">
        <f t="shared" si="15"/>
        <v>0</v>
      </c>
      <c r="X66" s="71"/>
      <c r="Y66" s="80" t="s">
        <v>1950</v>
      </c>
      <c r="Z66" s="79">
        <f t="shared" si="17"/>
        <v>0</v>
      </c>
      <c r="AA66" s="71"/>
      <c r="AB66" s="80" t="s">
        <v>1950</v>
      </c>
      <c r="AC66" s="79">
        <f t="shared" si="17"/>
        <v>0</v>
      </c>
      <c r="AD66" s="71"/>
      <c r="AE66" s="80" t="s">
        <v>1943</v>
      </c>
      <c r="AF66" s="79">
        <f t="shared" si="17"/>
        <v>6</v>
      </c>
      <c r="AG66" s="71"/>
      <c r="AH66" s="71"/>
    </row>
    <row r="67" spans="1:34" x14ac:dyDescent="0.2">
      <c r="A67" s="55"/>
      <c r="B67" s="55"/>
      <c r="C67" s="17"/>
      <c r="D67" s="17"/>
      <c r="E67" s="117"/>
      <c r="F67" s="453">
        <f t="shared" si="7"/>
        <v>6</v>
      </c>
      <c r="G67" s="453">
        <f ca="1">VLOOKUP(H67,Equipos!$Q$1:$R$25,2,0)</f>
        <v>17</v>
      </c>
      <c r="H67" s="454">
        <f ca="1">TRUNC(INDEX(WORLDCUP!$X$4:$X$147,MATCH(ADMIN!K67,WORLDCUP!$DT$4:$DT$147,0)))</f>
        <v>46200</v>
      </c>
      <c r="I67" s="54">
        <v>1</v>
      </c>
      <c r="J67" s="101" t="s">
        <v>180</v>
      </c>
      <c r="K67" s="59" t="str">
        <f ca="1">CONCATENATE(WORLDCUP!AA57,"-",WORLDCUP!AF57)</f>
        <v>Nueva Zelanda-Bélgica</v>
      </c>
      <c r="L67" s="59"/>
      <c r="M67" s="61" t="str">
        <f>IF(OR(WORLDCUP!AC57="",WORLDCUP!AD57=""),"-",N67&amp;"|"&amp;O67&amp;"-"&amp;P67)</f>
        <v>2|1-5</v>
      </c>
      <c r="N67" s="25" t="str">
        <f>IF(OR(WORLDCUP!AC57="",WORLDCUP!AD57=""),"",IF(WORLDCUP!AC57&gt;WORLDCUP!AD57,"1",IF(WORLDCUP!AC57&lt;WORLDCUP!AD57,"2","X")))</f>
        <v>2</v>
      </c>
      <c r="O67" s="25">
        <f>WORLDCUP!AC57</f>
        <v>1</v>
      </c>
      <c r="P67" s="25">
        <f>WORLDCUP!AD57</f>
        <v>5</v>
      </c>
      <c r="Q67" s="25">
        <f t="shared" si="11"/>
        <v>4</v>
      </c>
      <c r="R67" s="55"/>
      <c r="S67" s="80" t="s">
        <v>1951</v>
      </c>
      <c r="T67" s="79">
        <f t="shared" si="8"/>
        <v>2</v>
      </c>
      <c r="U67" s="71"/>
      <c r="V67" s="80" t="s">
        <v>1944</v>
      </c>
      <c r="W67" s="79">
        <f t="shared" si="15"/>
        <v>2</v>
      </c>
      <c r="X67" s="71"/>
      <c r="Y67" s="80" t="s">
        <v>1943</v>
      </c>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t="s">
        <v>1944</v>
      </c>
      <c r="AC67" s="79">
        <f t="shared" si="18"/>
        <v>2</v>
      </c>
      <c r="AD67" s="71"/>
      <c r="AE67" s="80" t="s">
        <v>1944</v>
      </c>
      <c r="AF67" s="79">
        <f t="shared" si="18"/>
        <v>2</v>
      </c>
      <c r="AG67" s="71"/>
      <c r="AH67" s="71"/>
    </row>
    <row r="68" spans="1:34" x14ac:dyDescent="0.2">
      <c r="A68" s="55"/>
      <c r="B68" s="55"/>
      <c r="C68" s="17"/>
      <c r="D68" s="17"/>
      <c r="E68" s="117"/>
      <c r="F68" s="453">
        <f t="shared" si="7"/>
        <v>6</v>
      </c>
      <c r="G68" s="453">
        <f ca="1">VLOOKUP(H68,Equipos!$Q$1:$R$25,2,0)</f>
        <v>17</v>
      </c>
      <c r="H68" s="454">
        <f ca="1">TRUNC(INDEX(WORLDCUP!$X$4:$X$147,MATCH(ADMIN!K68,WORLDCUP!$DT$4:$DT$147,0)))</f>
        <v>46200</v>
      </c>
      <c r="I68" s="54">
        <v>1</v>
      </c>
      <c r="J68" s="102" t="s">
        <v>181</v>
      </c>
      <c r="K68" s="62" t="str">
        <f ca="1">CONCATENATE(WORLDCUP!AA64,"-",WORLDCUP!AF64)</f>
        <v>Cabo Verde-Arabia Saudita</v>
      </c>
      <c r="L68" s="59"/>
      <c r="M68" s="61" t="str">
        <f>IF(OR(WORLDCUP!AC64="",WORLDCUP!AD64=""),"-",N68&amp;"|"&amp;O68&amp;"-"&amp;P68)</f>
        <v>X|0-0</v>
      </c>
      <c r="N68" s="25" t="str">
        <f>IF(OR(WORLDCUP!AC64="",WORLDCUP!AD64=""),"",IF(WORLDCUP!AC64&gt;WORLDCUP!AD64,"1",IF(WORLDCUP!AC64&lt;WORLDCUP!AD64,"2","X")))</f>
        <v>X</v>
      </c>
      <c r="O68" s="25">
        <f>WORLDCUP!AC64</f>
        <v>0</v>
      </c>
      <c r="P68" s="25">
        <f>WORLDCUP!AD64</f>
        <v>0</v>
      </c>
      <c r="Q68" s="25">
        <f t="shared" si="11"/>
        <v>0</v>
      </c>
      <c r="R68" s="55"/>
      <c r="S68" s="80" t="s">
        <v>1951</v>
      </c>
      <c r="T68" s="79">
        <f t="shared" si="8"/>
        <v>0</v>
      </c>
      <c r="U68" s="71"/>
      <c r="V68" s="80" t="s">
        <v>1942</v>
      </c>
      <c r="W68" s="79">
        <f t="shared" si="15"/>
        <v>0</v>
      </c>
      <c r="X68" s="71"/>
      <c r="Y68" s="80" t="s">
        <v>1942</v>
      </c>
      <c r="Z68" s="79">
        <f t="shared" si="18"/>
        <v>0</v>
      </c>
      <c r="AA68" s="71"/>
      <c r="AB68" s="80" t="s">
        <v>1942</v>
      </c>
      <c r="AC68" s="79">
        <f t="shared" si="18"/>
        <v>0</v>
      </c>
      <c r="AD68" s="71"/>
      <c r="AE68" s="80" t="s">
        <v>1943</v>
      </c>
      <c r="AF68" s="79">
        <f t="shared" si="18"/>
        <v>3</v>
      </c>
      <c r="AG68" s="71"/>
      <c r="AH68" s="71"/>
    </row>
    <row r="69" spans="1:34" x14ac:dyDescent="0.2">
      <c r="A69" s="55"/>
      <c r="B69" s="55"/>
      <c r="C69" s="17"/>
      <c r="D69" s="17"/>
      <c r="E69" s="117"/>
      <c r="F69" s="453">
        <f t="shared" si="7"/>
        <v>6</v>
      </c>
      <c r="G69" s="453">
        <f ca="1">VLOOKUP(H69,Equipos!$Q$1:$R$25,2,0)</f>
        <v>17</v>
      </c>
      <c r="H69" s="454">
        <f ca="1">TRUNC(INDEX(WORLDCUP!$X$4:$X$147,MATCH(ADMIN!K69,WORLDCUP!$DT$4:$DT$147,0)))</f>
        <v>46200</v>
      </c>
      <c r="I69" s="54">
        <v>1</v>
      </c>
      <c r="J69" s="102" t="s">
        <v>181</v>
      </c>
      <c r="K69" s="59" t="str">
        <f ca="1">CONCATENATE(WORLDCUP!AA65,"-",WORLDCUP!AF65)</f>
        <v>Uruguay-España</v>
      </c>
      <c r="L69" s="59"/>
      <c r="M69" s="59" t="str">
        <f>IF(OR(WORLDCUP!AC65="",WORLDCUP!AD65=""),"-",N69&amp;"|"&amp;O69&amp;"-"&amp;P69)</f>
        <v>2|0-1</v>
      </c>
      <c r="N69" s="25" t="str">
        <f>IF(OR(WORLDCUP!AC65="",WORLDCUP!AD65=""),"",IF(WORLDCUP!AC65&gt;WORLDCUP!AD65,"1",IF(WORLDCUP!AC65&lt;WORLDCUP!AD65,"2","X")))</f>
        <v>2</v>
      </c>
      <c r="O69" s="25">
        <f>WORLDCUP!AC65</f>
        <v>0</v>
      </c>
      <c r="P69" s="25">
        <f>WORLDCUP!AD65</f>
        <v>1</v>
      </c>
      <c r="Q69" s="25">
        <f t="shared" si="11"/>
        <v>1</v>
      </c>
      <c r="R69" s="55"/>
      <c r="S69" s="80" t="s">
        <v>1956</v>
      </c>
      <c r="T69" s="79">
        <f t="shared" si="8"/>
        <v>3</v>
      </c>
      <c r="U69" s="71"/>
      <c r="V69" s="80" t="s">
        <v>1955</v>
      </c>
      <c r="W69" s="79">
        <f t="shared" si="15"/>
        <v>2</v>
      </c>
      <c r="X69" s="71"/>
      <c r="Y69" s="80" t="s">
        <v>1965</v>
      </c>
      <c r="Z69" s="79">
        <f t="shared" si="18"/>
        <v>0</v>
      </c>
      <c r="AA69" s="71"/>
      <c r="AB69" s="80" t="s">
        <v>1951</v>
      </c>
      <c r="AC69" s="79">
        <f t="shared" si="18"/>
        <v>3</v>
      </c>
      <c r="AD69" s="71"/>
      <c r="AE69" s="80" t="s">
        <v>1951</v>
      </c>
      <c r="AF69" s="79">
        <f t="shared" si="18"/>
        <v>3</v>
      </c>
      <c r="AG69" s="71"/>
      <c r="AH69" s="71"/>
    </row>
    <row r="70" spans="1:34" x14ac:dyDescent="0.2">
      <c r="A70" s="55"/>
      <c r="B70" s="55"/>
      <c r="C70" s="17"/>
      <c r="D70" s="17"/>
      <c r="E70" s="117"/>
      <c r="F70" s="453">
        <f t="shared" si="7"/>
        <v>6</v>
      </c>
      <c r="G70" s="453">
        <f ca="1">VLOOKUP(H70,Equipos!$Q$1:$R$25,2,0)</f>
        <v>16</v>
      </c>
      <c r="H70" s="454">
        <f ca="1">TRUNC(INDEX(WORLDCUP!$X$4:$X$147,MATCH(ADMIN!K70,WORLDCUP!$DT$4:$DT$147,0)))</f>
        <v>46199</v>
      </c>
      <c r="I70" s="54">
        <v>1</v>
      </c>
      <c r="J70" s="101" t="s">
        <v>182</v>
      </c>
      <c r="K70" s="59" t="str">
        <f ca="1">CONCATENATE(WORLDCUP!AA72,"-",WORLDCUP!AF72)</f>
        <v>Noruega-Francia</v>
      </c>
      <c r="L70" s="59"/>
      <c r="M70" s="61" t="str">
        <f>IF(OR(WORLDCUP!AC72="",WORLDCUP!AD72=""),"-",N70&amp;"|"&amp;O70&amp;"-"&amp;P70)</f>
        <v>2|1-4</v>
      </c>
      <c r="N70" s="25" t="str">
        <f>IF(OR(WORLDCUP!AC72="",WORLDCUP!AD72=""),"",IF(WORLDCUP!AC72&gt;WORLDCUP!AD72,"1",IF(WORLDCUP!AC72&lt;WORLDCUP!AD72,"2","X")))</f>
        <v>2</v>
      </c>
      <c r="O70" s="25">
        <f>WORLDCUP!AC72</f>
        <v>1</v>
      </c>
      <c r="P70" s="25">
        <f>WORLDCUP!AD72</f>
        <v>4</v>
      </c>
      <c r="Q70" s="25">
        <f t="shared" si="11"/>
        <v>3</v>
      </c>
      <c r="R70" s="55"/>
      <c r="S70" s="80" t="s">
        <v>1945</v>
      </c>
      <c r="T70" s="79">
        <f t="shared" si="8"/>
        <v>0</v>
      </c>
      <c r="U70" s="71"/>
      <c r="V70" s="80" t="s">
        <v>1951</v>
      </c>
      <c r="W70" s="79">
        <f t="shared" si="15"/>
        <v>2</v>
      </c>
      <c r="X70" s="71"/>
      <c r="Y70" s="80" t="s">
        <v>1956</v>
      </c>
      <c r="Z70" s="79">
        <f t="shared" si="18"/>
        <v>2</v>
      </c>
      <c r="AA70" s="71"/>
      <c r="AB70" s="80" t="s">
        <v>1951</v>
      </c>
      <c r="AC70" s="79">
        <f t="shared" si="18"/>
        <v>2</v>
      </c>
      <c r="AD70" s="71"/>
      <c r="AE70" s="80" t="s">
        <v>1943</v>
      </c>
      <c r="AF70" s="79">
        <f t="shared" si="18"/>
        <v>0</v>
      </c>
      <c r="AG70" s="71"/>
      <c r="AH70" s="71"/>
    </row>
    <row r="71" spans="1:34" x14ac:dyDescent="0.2">
      <c r="A71" s="55"/>
      <c r="B71" s="55"/>
      <c r="C71" s="17"/>
      <c r="D71" s="17"/>
      <c r="E71" s="117"/>
      <c r="F71" s="453">
        <f t="shared" ref="F71:F77" si="19">SUM($D$8:$D$10)*I71</f>
        <v>6</v>
      </c>
      <c r="G71" s="453">
        <f ca="1">VLOOKUP(H71,Equipos!$Q$1:$R$25,2,0)</f>
        <v>16</v>
      </c>
      <c r="H71" s="454">
        <f ca="1">TRUNC(INDEX(WORLDCUP!$X$4:$X$147,MATCH(ADMIN!K71,WORLDCUP!$DT$4:$DT$147,0)))</f>
        <v>46199</v>
      </c>
      <c r="I71" s="54">
        <v>1</v>
      </c>
      <c r="J71" s="101" t="s">
        <v>182</v>
      </c>
      <c r="K71" s="62" t="str">
        <f ca="1">CONCATENATE(WORLDCUP!AA73,"-",WORLDCUP!AF73)</f>
        <v>Senegal-Irak</v>
      </c>
      <c r="L71" s="59"/>
      <c r="M71" s="61" t="str">
        <f>IF(OR(WORLDCUP!AC73="",WORLDCUP!AD73=""),"-",N71&amp;"|"&amp;O71&amp;"-"&amp;P71)</f>
        <v>1|5-0</v>
      </c>
      <c r="N71" s="25" t="str">
        <f>IF(OR(WORLDCUP!AC73="",WORLDCUP!AD73=""),"",IF(WORLDCUP!AC73&gt;WORLDCUP!AD73,"1",IF(WORLDCUP!AC73&lt;WORLDCUP!AD73,"2","X")))</f>
        <v>1</v>
      </c>
      <c r="O71" s="25">
        <f>WORLDCUP!AC73</f>
        <v>5</v>
      </c>
      <c r="P71" s="25">
        <f>WORLDCUP!AD73</f>
        <v>0</v>
      </c>
      <c r="Q71" s="25">
        <f t="shared" ref="Q71:Q77" si="20">ABS(O71-P71)</f>
        <v>5</v>
      </c>
      <c r="R71" s="55"/>
      <c r="S71" s="80" t="s">
        <v>1949</v>
      </c>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2</v>
      </c>
      <c r="U71" s="71"/>
      <c r="V71" s="80" t="s">
        <v>1949</v>
      </c>
      <c r="W71" s="79">
        <f t="shared" si="15"/>
        <v>2</v>
      </c>
      <c r="X71" s="71"/>
      <c r="Y71" s="80" t="s">
        <v>1949</v>
      </c>
      <c r="Z71" s="79">
        <f t="shared" si="18"/>
        <v>2</v>
      </c>
      <c r="AA71" s="71"/>
      <c r="AB71" s="80" t="s">
        <v>1949</v>
      </c>
      <c r="AC71" s="79">
        <f t="shared" si="18"/>
        <v>2</v>
      </c>
      <c r="AD71" s="71"/>
      <c r="AE71" s="80" t="s">
        <v>1941</v>
      </c>
      <c r="AF71" s="79">
        <f t="shared" si="18"/>
        <v>2</v>
      </c>
      <c r="AG71" s="71"/>
      <c r="AH71" s="71"/>
    </row>
    <row r="72" spans="1:34" x14ac:dyDescent="0.2">
      <c r="A72" s="55"/>
      <c r="B72" s="55"/>
      <c r="C72" s="17"/>
      <c r="D72" s="17"/>
      <c r="E72" s="117"/>
      <c r="F72" s="453">
        <f t="shared" si="19"/>
        <v>6</v>
      </c>
      <c r="G72" s="453">
        <f ca="1">VLOOKUP(H72,Equipos!$Q$1:$R$25,2,0)</f>
        <v>18</v>
      </c>
      <c r="H72" s="454">
        <f ca="1">TRUNC(INDEX(WORLDCUP!$X$4:$X$147,MATCH(ADMIN!K72,WORLDCUP!$DT$4:$DT$147,0)))</f>
        <v>46201</v>
      </c>
      <c r="I72" s="54">
        <v>1</v>
      </c>
      <c r="J72" s="102" t="s">
        <v>28</v>
      </c>
      <c r="K72" s="59" t="str">
        <f ca="1">CONCATENATE(WORLDCUP!AA80,"-",WORLDCUP!AF80)</f>
        <v>Argelia-Austria</v>
      </c>
      <c r="L72" s="59"/>
      <c r="M72" s="61" t="str">
        <f>IF(OR(WORLDCUP!AC80="",WORLDCUP!AD80=""),"-",N72&amp;"|"&amp;O72&amp;"-"&amp;P72)</f>
        <v>X|3-3</v>
      </c>
      <c r="N72" s="25" t="str">
        <f>IF(OR(WORLDCUP!AC80="",WORLDCUP!AD80=""),"",IF(WORLDCUP!AC80&gt;WORLDCUP!AD80,"1",IF(WORLDCUP!AC80&lt;WORLDCUP!AD80,"2","X")))</f>
        <v>X</v>
      </c>
      <c r="O72" s="25">
        <f>WORLDCUP!AC80</f>
        <v>3</v>
      </c>
      <c r="P72" s="25">
        <f>WORLDCUP!AD80</f>
        <v>3</v>
      </c>
      <c r="Q72" s="25">
        <f t="shared" si="20"/>
        <v>0</v>
      </c>
      <c r="R72" s="55"/>
      <c r="S72" s="80" t="s">
        <v>1951</v>
      </c>
      <c r="T72" s="79">
        <f t="shared" si="21"/>
        <v>0</v>
      </c>
      <c r="U72" s="71"/>
      <c r="V72" s="80" t="s">
        <v>1942</v>
      </c>
      <c r="W72" s="79">
        <f t="shared" si="15"/>
        <v>0</v>
      </c>
      <c r="X72" s="71"/>
      <c r="Y72" s="80" t="s">
        <v>1943</v>
      </c>
      <c r="Z72" s="79">
        <f t="shared" si="18"/>
        <v>3</v>
      </c>
      <c r="AA72" s="71"/>
      <c r="AB72" s="80" t="s">
        <v>1943</v>
      </c>
      <c r="AC72" s="79">
        <f t="shared" si="18"/>
        <v>3</v>
      </c>
      <c r="AD72" s="71"/>
      <c r="AE72" s="80" t="s">
        <v>1946</v>
      </c>
      <c r="AF72" s="79">
        <f t="shared" si="18"/>
        <v>0</v>
      </c>
      <c r="AG72" s="71"/>
      <c r="AH72" s="71"/>
    </row>
    <row r="73" spans="1:34" x14ac:dyDescent="0.2">
      <c r="A73" s="55"/>
      <c r="B73" s="55"/>
      <c r="C73" s="55"/>
      <c r="D73" s="55"/>
      <c r="E73" s="117"/>
      <c r="F73" s="453">
        <f t="shared" si="19"/>
        <v>6</v>
      </c>
      <c r="G73" s="453">
        <f ca="1">VLOOKUP(H73,Equipos!$Q$1:$R$25,2,0)</f>
        <v>18</v>
      </c>
      <c r="H73" s="454">
        <f ca="1">TRUNC(INDEX(WORLDCUP!$X$4:$X$147,MATCH(ADMIN!K73,WORLDCUP!$DT$4:$DT$147,0)))</f>
        <v>46201</v>
      </c>
      <c r="I73" s="54">
        <v>1</v>
      </c>
      <c r="J73" s="102" t="s">
        <v>28</v>
      </c>
      <c r="K73" s="62" t="str">
        <f ca="1">CONCATENATE(WORLDCUP!AA81,"-",WORLDCUP!AF81)</f>
        <v>Jordania-Argentina</v>
      </c>
      <c r="L73" s="59"/>
      <c r="M73" s="61" t="str">
        <f>IF(OR(WORLDCUP!AC81="",WORLDCUP!AD81=""),"-",N73&amp;"|"&amp;O73&amp;"-"&amp;P73)</f>
        <v>2|1-3</v>
      </c>
      <c r="N73" s="25" t="str">
        <f>IF(OR(WORLDCUP!AC81="",WORLDCUP!AD81=""),"",IF(WORLDCUP!AC81&gt;WORLDCUP!AD81,"1",IF(WORLDCUP!AC81&lt;WORLDCUP!AD81,"2","X")))</f>
        <v>2</v>
      </c>
      <c r="O73" s="25">
        <f>WORLDCUP!AC81</f>
        <v>1</v>
      </c>
      <c r="P73" s="25">
        <f>WORLDCUP!AD81</f>
        <v>3</v>
      </c>
      <c r="Q73" s="25">
        <f t="shared" si="20"/>
        <v>2</v>
      </c>
      <c r="R73" s="55"/>
      <c r="S73" s="80" t="s">
        <v>1957</v>
      </c>
      <c r="T73" s="79">
        <f t="shared" si="21"/>
        <v>2</v>
      </c>
      <c r="U73" s="71"/>
      <c r="V73" s="80" t="s">
        <v>1944</v>
      </c>
      <c r="W73" s="79">
        <f t="shared" si="15"/>
        <v>2</v>
      </c>
      <c r="X73" s="71"/>
      <c r="Y73" s="80" t="s">
        <v>1942</v>
      </c>
      <c r="Z73" s="79">
        <f t="shared" si="18"/>
        <v>2</v>
      </c>
      <c r="AA73" s="71"/>
      <c r="AB73" s="80" t="s">
        <v>1944</v>
      </c>
      <c r="AC73" s="79">
        <f t="shared" si="18"/>
        <v>2</v>
      </c>
      <c r="AD73" s="71"/>
      <c r="AE73" s="80" t="s">
        <v>1944</v>
      </c>
      <c r="AF73" s="79">
        <f t="shared" si="18"/>
        <v>2</v>
      </c>
      <c r="AG73" s="71"/>
      <c r="AH73" s="71"/>
    </row>
    <row r="74" spans="1:34" x14ac:dyDescent="0.2">
      <c r="A74" s="55"/>
      <c r="B74" s="55"/>
      <c r="C74" s="55"/>
      <c r="D74" s="55"/>
      <c r="E74" s="117"/>
      <c r="F74" s="453">
        <f t="shared" si="19"/>
        <v>6</v>
      </c>
      <c r="G74" s="453">
        <f ca="1">VLOOKUP(H74,Equipos!$Q$1:$R$25,2,0)</f>
        <v>18</v>
      </c>
      <c r="H74" s="454">
        <f ca="1">TRUNC(INDEX(WORLDCUP!$X$4:$X$147,MATCH(ADMIN!K74,WORLDCUP!$DT$4:$DT$147,0)))</f>
        <v>46201</v>
      </c>
      <c r="I74" s="54">
        <v>1</v>
      </c>
      <c r="J74" s="101" t="s">
        <v>188</v>
      </c>
      <c r="K74" s="59" t="str">
        <f ca="1">CONCATENATE(WORLDCUP!AA88,"-",WORLDCUP!AF88)</f>
        <v>Colombia-Portugal</v>
      </c>
      <c r="L74" s="59"/>
      <c r="M74" s="61" t="str">
        <f>IF(OR(WORLDCUP!AC88="",WORLDCUP!AD88=""),"-",N74&amp;"|"&amp;O74&amp;"-"&amp;P74)</f>
        <v>X|0-0</v>
      </c>
      <c r="N74" s="25" t="str">
        <f>IF(OR(WORLDCUP!AC88="",WORLDCUP!AD88=""),"",IF(WORLDCUP!AC88&gt;WORLDCUP!AD88,"1",IF(WORLDCUP!AC88&lt;WORLDCUP!AD88,"2","X")))</f>
        <v>X</v>
      </c>
      <c r="O74" s="25">
        <f>WORLDCUP!AC88</f>
        <v>0</v>
      </c>
      <c r="P74" s="25">
        <f>WORLDCUP!AD88</f>
        <v>0</v>
      </c>
      <c r="Q74" s="25">
        <f t="shared" si="20"/>
        <v>0</v>
      </c>
      <c r="R74" s="55"/>
      <c r="S74" s="80" t="s">
        <v>1945</v>
      </c>
      <c r="T74" s="79">
        <f>IFERROR(IF($M74=S74,($D$8+$D$9+$D$10)*$I74,IF($N74=LEFT(S74,1),($D$8+MAX(0,IF($D$50=1,$D$9*(1-(ABS($Q74-ABS(VALUE(MID(S74,FIND("|",S74)+1,FIND("-",S74)-FIND("|",S74)-1))-VALUE(MID(S74,FIND("-",S74)+1,10)))))*$D$50),$D$9*(1-(IF($N74="X",ABS($O74-VALUE(MID(S74,FIND("|",S74)+1,FIND("-",S74)-FIND("|",S74)-1))),ABS($Q74-ABS(VALUE(MID(S74,FIND("|",S74)+1,FIND("-",S74)-FIND("|",S74)-1))-VALUE(MID(S74,FIND("-",S74)+1,10)))))*$D$50)))))*$I74,0)),0)</f>
        <v>3</v>
      </c>
      <c r="U74" s="71"/>
      <c r="V74" s="80" t="s">
        <v>1946</v>
      </c>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t="s">
        <v>1948</v>
      </c>
      <c r="Z74" s="79">
        <f t="shared" si="18"/>
        <v>0</v>
      </c>
      <c r="AA74" s="71"/>
      <c r="AB74" s="80" t="s">
        <v>1951</v>
      </c>
      <c r="AC74" s="79">
        <f t="shared" si="18"/>
        <v>0</v>
      </c>
      <c r="AD74" s="71"/>
      <c r="AE74" s="80" t="s">
        <v>1942</v>
      </c>
      <c r="AF74" s="79">
        <f t="shared" si="18"/>
        <v>0</v>
      </c>
      <c r="AG74" s="71"/>
      <c r="AH74" s="71"/>
    </row>
    <row r="75" spans="1:34" x14ac:dyDescent="0.2">
      <c r="A75" s="55"/>
      <c r="B75" s="55"/>
      <c r="C75" s="55"/>
      <c r="D75" s="55"/>
      <c r="E75" s="117"/>
      <c r="F75" s="453">
        <f t="shared" si="19"/>
        <v>6</v>
      </c>
      <c r="G75" s="453">
        <f ca="1">VLOOKUP(H75,Equipos!$Q$1:$R$25,2,0)</f>
        <v>18</v>
      </c>
      <c r="H75" s="454">
        <f ca="1">TRUNC(INDEX(WORLDCUP!$X$4:$X$147,MATCH(ADMIN!K75,WORLDCUP!$DT$4:$DT$147,0)))</f>
        <v>46201</v>
      </c>
      <c r="I75" s="54">
        <v>1</v>
      </c>
      <c r="J75" s="101" t="s">
        <v>188</v>
      </c>
      <c r="K75" s="62" t="str">
        <f ca="1">CONCATENATE(WORLDCUP!AA89,"-",WORLDCUP!AF89)</f>
        <v>RD Congo-Uzbekistán</v>
      </c>
      <c r="L75" s="59"/>
      <c r="M75" s="61" t="str">
        <f>IF(OR(WORLDCUP!AC89="",WORLDCUP!AD89=""),"-",N75&amp;"|"&amp;O75&amp;"-"&amp;P75)</f>
        <v>1|3-1</v>
      </c>
      <c r="N75" s="25" t="str">
        <f>IF(OR(WORLDCUP!AC89="",WORLDCUP!AD89=""),"",IF(WORLDCUP!AC89&gt;WORLDCUP!AD89,"1",IF(WORLDCUP!AC89&lt;WORLDCUP!AD89,"2","X")))</f>
        <v>1</v>
      </c>
      <c r="O75" s="25">
        <f>WORLDCUP!AC89</f>
        <v>3</v>
      </c>
      <c r="P75" s="25">
        <f>WORLDCUP!AD89</f>
        <v>1</v>
      </c>
      <c r="Q75" s="25">
        <f t="shared" si="20"/>
        <v>2</v>
      </c>
      <c r="R75" s="55"/>
      <c r="S75" s="80" t="s">
        <v>1943</v>
      </c>
      <c r="T75" s="79">
        <f t="shared" si="21"/>
        <v>0</v>
      </c>
      <c r="U75" s="71"/>
      <c r="V75" s="80" t="s">
        <v>1950</v>
      </c>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2</v>
      </c>
      <c r="X75" s="71"/>
      <c r="Y75" s="80" t="s">
        <v>1941</v>
      </c>
      <c r="Z75" s="79">
        <f t="shared" si="18"/>
        <v>2</v>
      </c>
      <c r="AA75" s="71"/>
      <c r="AB75" s="80" t="s">
        <v>1943</v>
      </c>
      <c r="AC75" s="79">
        <f t="shared" si="18"/>
        <v>0</v>
      </c>
      <c r="AD75" s="71"/>
      <c r="AE75" s="80" t="s">
        <v>1951</v>
      </c>
      <c r="AF75" s="79">
        <f t="shared" si="18"/>
        <v>0</v>
      </c>
      <c r="AG75" s="71"/>
      <c r="AH75" s="71"/>
    </row>
    <row r="76" spans="1:34" x14ac:dyDescent="0.2">
      <c r="A76" s="55"/>
      <c r="B76" s="55"/>
      <c r="C76" s="17"/>
      <c r="D76" s="17"/>
      <c r="E76" s="117"/>
      <c r="F76" s="453">
        <f t="shared" si="19"/>
        <v>6</v>
      </c>
      <c r="G76" s="453">
        <f ca="1">VLOOKUP(H76,Equipos!$Q$1:$R$25,2,0)</f>
        <v>17</v>
      </c>
      <c r="H76" s="454">
        <f ca="1">TRUNC(INDEX(WORLDCUP!$X$4:$X$147,MATCH(ADMIN!K76,WORLDCUP!$DT$4:$DT$147,0)))</f>
        <v>46200</v>
      </c>
      <c r="I76" s="54">
        <v>1</v>
      </c>
      <c r="J76" s="102" t="s">
        <v>1198</v>
      </c>
      <c r="K76" s="59" t="str">
        <f ca="1">CONCATENATE(WORLDCUP!AA96,"-",WORLDCUP!AF96)</f>
        <v>Panamá-Inglaterra</v>
      </c>
      <c r="L76" s="59"/>
      <c r="M76" s="61" t="str">
        <f>IF(OR(WORLDCUP!AC96="",WORLDCUP!AD96=""),"-",N76&amp;"|"&amp;O76&amp;"-"&amp;P76)</f>
        <v>2|0-2</v>
      </c>
      <c r="N76" s="25" t="str">
        <f>IF(OR(WORLDCUP!AC96="",WORLDCUP!AD96=""),"",IF(WORLDCUP!AC96&gt;WORLDCUP!AD96,"1",IF(WORLDCUP!AC96&lt;WORLDCUP!AD96,"2","X")))</f>
        <v>2</v>
      </c>
      <c r="O76" s="25">
        <f>WORLDCUP!AC96</f>
        <v>0</v>
      </c>
      <c r="P76" s="25">
        <f>WORLDCUP!AD96</f>
        <v>2</v>
      </c>
      <c r="Q76" s="25">
        <f t="shared" si="20"/>
        <v>2</v>
      </c>
      <c r="R76" s="55"/>
      <c r="S76" s="80" t="s">
        <v>1955</v>
      </c>
      <c r="T76" s="79">
        <f t="shared" si="21"/>
        <v>3</v>
      </c>
      <c r="U76" s="71"/>
      <c r="V76" s="80" t="s">
        <v>1963</v>
      </c>
      <c r="W76" s="79">
        <f t="shared" si="22"/>
        <v>2</v>
      </c>
      <c r="X76" s="71"/>
      <c r="Y76" s="80" t="s">
        <v>1943</v>
      </c>
      <c r="Z76" s="79">
        <f t="shared" si="18"/>
        <v>0</v>
      </c>
      <c r="AA76" s="71"/>
      <c r="AB76" s="80" t="s">
        <v>1944</v>
      </c>
      <c r="AC76" s="79">
        <f t="shared" si="18"/>
        <v>2</v>
      </c>
      <c r="AD76" s="71"/>
      <c r="AE76" s="80" t="s">
        <v>1946</v>
      </c>
      <c r="AF76" s="79">
        <f t="shared" si="18"/>
        <v>6</v>
      </c>
      <c r="AG76" s="71"/>
      <c r="AH76" s="71"/>
    </row>
    <row r="77" spans="1:34" x14ac:dyDescent="0.2">
      <c r="A77" s="55"/>
      <c r="B77" s="55"/>
      <c r="C77" s="17"/>
      <c r="D77" s="17"/>
      <c r="E77" s="117"/>
      <c r="F77" s="453">
        <f t="shared" si="19"/>
        <v>6</v>
      </c>
      <c r="G77" s="453">
        <f ca="1">VLOOKUP(H77,Equipos!$Q$1:$R$25,2,0)</f>
        <v>17</v>
      </c>
      <c r="H77" s="454">
        <f ca="1">TRUNC(INDEX(WORLDCUP!$X$4:$X$147,MATCH(ADMIN!K77,WORLDCUP!$DT$4:$DT$147,0)))</f>
        <v>46200</v>
      </c>
      <c r="I77" s="54">
        <v>1</v>
      </c>
      <c r="J77" s="102" t="s">
        <v>1198</v>
      </c>
      <c r="K77" s="121" t="str">
        <f ca="1">CONCATENATE(WORLDCUP!AA97,"-",WORLDCUP!AF97)</f>
        <v>Croacia-Ghana</v>
      </c>
      <c r="L77" s="121"/>
      <c r="M77" s="122" t="str">
        <f>IF(OR(WORLDCUP!AC97="",WORLDCUP!AD97=""),"-",N77&amp;"|"&amp;O77&amp;"-"&amp;P77)</f>
        <v>1|2-1</v>
      </c>
      <c r="N77" s="25" t="str">
        <f>IF(OR(WORLDCUP!AC97="",WORLDCUP!AD97=""),"",IF(WORLDCUP!AC97&gt;WORLDCUP!AD97,"1",IF(WORLDCUP!AC97&lt;WORLDCUP!AD97,"2","X")))</f>
        <v>1</v>
      </c>
      <c r="O77" s="25">
        <f>WORLDCUP!AC97</f>
        <v>2</v>
      </c>
      <c r="P77" s="25">
        <f>WORLDCUP!AD97</f>
        <v>1</v>
      </c>
      <c r="Q77" s="25">
        <f t="shared" si="20"/>
        <v>1</v>
      </c>
      <c r="R77" s="55"/>
      <c r="S77" s="86" t="s">
        <v>1949</v>
      </c>
      <c r="T77" s="87">
        <f t="shared" si="21"/>
        <v>2</v>
      </c>
      <c r="U77" s="71"/>
      <c r="V77" s="86" t="s">
        <v>1943</v>
      </c>
      <c r="W77" s="87">
        <f t="shared" si="22"/>
        <v>0</v>
      </c>
      <c r="X77" s="71"/>
      <c r="Y77" s="86" t="s">
        <v>1959</v>
      </c>
      <c r="Z77" s="87">
        <f t="shared" si="18"/>
        <v>0</v>
      </c>
      <c r="AA77" s="71"/>
      <c r="AB77" s="86" t="s">
        <v>1943</v>
      </c>
      <c r="AC77" s="87">
        <f t="shared" si="18"/>
        <v>0</v>
      </c>
      <c r="AD77" s="71"/>
      <c r="AE77" s="86" t="s">
        <v>1941</v>
      </c>
      <c r="AF77" s="87">
        <f t="shared" si="18"/>
        <v>6</v>
      </c>
      <c r="AG77" s="71"/>
      <c r="AH77" s="71"/>
    </row>
    <row r="78" spans="1:34" x14ac:dyDescent="0.2">
      <c r="A78" s="55"/>
      <c r="B78" s="55"/>
      <c r="C78" s="55"/>
      <c r="D78" s="55"/>
      <c r="E78" s="117"/>
      <c r="F78" s="133"/>
      <c r="G78" s="453"/>
      <c r="H78" s="71"/>
      <c r="I78" s="66"/>
      <c r="J78" s="103"/>
      <c r="K78" s="440" t="str">
        <f>Idiomas!D455</f>
        <v>F. Grupos</v>
      </c>
      <c r="L78" s="441"/>
      <c r="M78" s="440" t="str">
        <f>"Max: "&amp;SUM($D$8:$D$10)*SUM($I$6:$I$77)</f>
        <v>Max: 432</v>
      </c>
      <c r="N78" s="25"/>
      <c r="O78" s="25"/>
      <c r="P78" s="25"/>
      <c r="Q78" s="25"/>
      <c r="R78" s="116"/>
      <c r="S78" s="88"/>
      <c r="T78" s="89">
        <f>SUM(T6:T77)</f>
        <v>121</v>
      </c>
      <c r="U78" s="70"/>
      <c r="V78" s="88"/>
      <c r="W78" s="89">
        <f>SUM(W6:W77)</f>
        <v>105</v>
      </c>
      <c r="X78" s="70"/>
      <c r="Y78" s="88"/>
      <c r="Z78" s="89">
        <f t="shared" ref="Z78" si="23">SUM(Z6:Z77)</f>
        <v>101</v>
      </c>
      <c r="AA78" s="70"/>
      <c r="AB78" s="88"/>
      <c r="AC78" s="89">
        <f t="shared" ref="AC78" si="24">SUM(AC6:AC77)</f>
        <v>130</v>
      </c>
      <c r="AD78" s="70"/>
      <c r="AE78" s="88"/>
      <c r="AF78" s="89">
        <f t="shared" ref="AF78" si="25">SUM(AF6:AF77)</f>
        <v>134</v>
      </c>
      <c r="AG78" s="70"/>
      <c r="AH78" s="70"/>
    </row>
    <row r="79" spans="1:34" x14ac:dyDescent="0.2">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x14ac:dyDescent="0.2">
      <c r="A80" s="55"/>
      <c r="B80" s="55"/>
      <c r="C80" s="55"/>
      <c r="D80" s="55"/>
      <c r="E80" s="117"/>
      <c r="F80" s="133">
        <f>$D$11</f>
        <v>4</v>
      </c>
      <c r="G80" s="453">
        <f ca="1">VLOOKUP(H80,Equipos!$Q$1:$R$25,2,0)</f>
        <v>15</v>
      </c>
      <c r="H80" s="454">
        <f ca="1">$H$54</f>
        <v>46198</v>
      </c>
      <c r="I80" s="56"/>
      <c r="J80" s="854" t="s">
        <v>0</v>
      </c>
      <c r="K80" s="59" t="str">
        <f>Idiomas!D150</f>
        <v>1º GRUPO A</v>
      </c>
      <c r="L80" s="59"/>
      <c r="M80" s="61" t="str">
        <f ca="1">IF(OR(SUM(WORLDCUP!$AN$6:$AN$9)=12,WORLDCUP!$AJ$99=144),WORLDCUP!AL6,LEFT(K80,1)&amp;RIGHT(K80,1))</f>
        <v>México</v>
      </c>
      <c r="N80" s="25"/>
      <c r="O80" s="25"/>
      <c r="P80" s="25"/>
      <c r="Q80" s="25"/>
      <c r="R80" s="116"/>
      <c r="S80" s="82" t="s">
        <v>1843</v>
      </c>
      <c r="T80" s="83">
        <f ca="1">($M80=S80)*$D$11</f>
        <v>0</v>
      </c>
      <c r="U80" s="70"/>
      <c r="V80" s="82" t="s">
        <v>1265</v>
      </c>
      <c r="W80" s="83">
        <f t="shared" ref="W80" ca="1" si="26">($M80=V80)*$D$11</f>
        <v>4</v>
      </c>
      <c r="X80" s="70"/>
      <c r="Y80" s="82" t="s">
        <v>1260</v>
      </c>
      <c r="Z80" s="83">
        <f t="shared" ref="Z80" ca="1" si="27">($M80=Y80)*$D$11</f>
        <v>0</v>
      </c>
      <c r="AA80" s="70"/>
      <c r="AB80" s="82" t="s">
        <v>1265</v>
      </c>
      <c r="AC80" s="83">
        <f t="shared" ref="AC80" ca="1" si="28">($M80=AB80)*$D$11</f>
        <v>4</v>
      </c>
      <c r="AD80" s="70"/>
      <c r="AE80" s="82" t="s">
        <v>1265</v>
      </c>
      <c r="AF80" s="83">
        <f t="shared" ref="AF80" ca="1" si="29">($M80=AE80)*$D$11</f>
        <v>4</v>
      </c>
      <c r="AG80" s="70"/>
      <c r="AH80" s="70"/>
    </row>
    <row r="81" spans="1:34" x14ac:dyDescent="0.2">
      <c r="A81" s="55"/>
      <c r="B81" s="55"/>
      <c r="C81" s="55"/>
      <c r="D81" s="55"/>
      <c r="E81" s="117"/>
      <c r="F81" s="133">
        <f>$D$12</f>
        <v>3</v>
      </c>
      <c r="G81" s="453">
        <f ca="1">VLOOKUP(H81,Equipos!$Q$1:$R$25,2,0)</f>
        <v>15</v>
      </c>
      <c r="H81" s="454">
        <f ca="1">$H$54</f>
        <v>46198</v>
      </c>
      <c r="I81" s="56"/>
      <c r="J81" s="854"/>
      <c r="K81" s="62" t="str">
        <f>Idiomas!D151</f>
        <v>2º GRUPO A</v>
      </c>
      <c r="L81" s="59"/>
      <c r="M81" s="61" t="str">
        <f ca="1">IF(OR(SUM(WORLDCUP!$AN$6:$AN$9)=12,WORLDCUP!$AJ$99=144),WORLDCUP!AL7,LEFT(K81,1)&amp;RIGHT(K81,1))</f>
        <v>Sudáfrica</v>
      </c>
      <c r="N81" s="25"/>
      <c r="O81" s="25"/>
      <c r="P81" s="25"/>
      <c r="Q81" s="25"/>
      <c r="R81" s="116"/>
      <c r="S81" s="80" t="s">
        <v>1265</v>
      </c>
      <c r="T81" s="79">
        <f ca="1">($M81=S81)*$D$12</f>
        <v>0</v>
      </c>
      <c r="U81" s="70"/>
      <c r="V81" s="80" t="s">
        <v>1843</v>
      </c>
      <c r="W81" s="79">
        <f t="shared" ref="W81" ca="1" si="30">($M81=V81)*$D$12</f>
        <v>0</v>
      </c>
      <c r="X81" s="70"/>
      <c r="Y81" s="80" t="s">
        <v>1843</v>
      </c>
      <c r="Z81" s="79">
        <f t="shared" ref="Z81" ca="1" si="31">($M81=Y81)*$D$12</f>
        <v>0</v>
      </c>
      <c r="AA81" s="70"/>
      <c r="AB81" s="80" t="s">
        <v>1260</v>
      </c>
      <c r="AC81" s="79">
        <f t="shared" ref="AC81" ca="1" si="32">($M81=AB81)*$D$12</f>
        <v>0</v>
      </c>
      <c r="AD81" s="70"/>
      <c r="AE81" s="80" t="s">
        <v>1260</v>
      </c>
      <c r="AF81" s="79">
        <f t="shared" ref="AF81" ca="1" si="33">($M81=AE81)*$D$12</f>
        <v>0</v>
      </c>
      <c r="AG81" s="70"/>
      <c r="AH81" s="70"/>
    </row>
    <row r="82" spans="1:34" x14ac:dyDescent="0.2">
      <c r="A82" s="55"/>
      <c r="B82" s="55"/>
      <c r="C82" s="55"/>
      <c r="D82" s="55"/>
      <c r="E82" s="117"/>
      <c r="F82" s="133">
        <f>$D$13</f>
        <v>2</v>
      </c>
      <c r="G82" s="453">
        <f ca="1">VLOOKUP(H82,Equipos!$Q$1:$R$25,2,0)</f>
        <v>15</v>
      </c>
      <c r="H82" s="454">
        <f ca="1">$H$54</f>
        <v>46198</v>
      </c>
      <c r="I82" s="56"/>
      <c r="J82" s="854"/>
      <c r="K82" s="62" t="str">
        <f>Idiomas!D152</f>
        <v>3º GRUPO A</v>
      </c>
      <c r="L82" s="59"/>
      <c r="M82" s="61" t="str">
        <f ca="1">IF(OR(SUM(WORLDCUP!$AN$6:$AN$9)=12,WORLDCUP!$AJ$99=144),WORLDCUP!AL8,LEFT(K82,1)&amp;RIGHT(K82,1))</f>
        <v>Corea del Sur</v>
      </c>
      <c r="N82" s="25"/>
      <c r="O82" s="25"/>
      <c r="P82" s="25"/>
      <c r="Q82" s="25"/>
      <c r="R82" s="116"/>
      <c r="S82" s="80" t="s">
        <v>1630</v>
      </c>
      <c r="T82" s="79">
        <f ca="1">($M82=S82)*$D$13</f>
        <v>0</v>
      </c>
      <c r="U82" s="70"/>
      <c r="V82" s="80" t="s">
        <v>1260</v>
      </c>
      <c r="W82" s="79">
        <f t="shared" ref="W82" ca="1" si="34">($M82=V82)*$D$13</f>
        <v>2</v>
      </c>
      <c r="X82" s="70"/>
      <c r="Y82" s="80" t="s">
        <v>1265</v>
      </c>
      <c r="Z82" s="79">
        <f t="shared" ref="Z82" ca="1" si="35">($M82=Y82)*$D$13</f>
        <v>0</v>
      </c>
      <c r="AA82" s="70"/>
      <c r="AB82" s="80" t="s">
        <v>1843</v>
      </c>
      <c r="AC82" s="79">
        <f t="shared" ref="AC82" ca="1" si="36">($M82=AB82)*$D$13</f>
        <v>0</v>
      </c>
      <c r="AD82" s="70"/>
      <c r="AE82" s="80" t="s">
        <v>1843</v>
      </c>
      <c r="AF82" s="79">
        <f t="shared" ref="AF82" ca="1" si="37">($M82=AE82)*$D$13</f>
        <v>0</v>
      </c>
      <c r="AG82" s="70"/>
      <c r="AH82" s="70"/>
    </row>
    <row r="83" spans="1:34" x14ac:dyDescent="0.2">
      <c r="A83" s="55"/>
      <c r="B83" s="55"/>
      <c r="C83" s="55"/>
      <c r="D83" s="55"/>
      <c r="E83" s="117"/>
      <c r="F83" s="133">
        <f>$D$14</f>
        <v>1</v>
      </c>
      <c r="G83" s="453">
        <f ca="1">VLOOKUP(H83,Equipos!$Q$1:$R$25,2,0)</f>
        <v>15</v>
      </c>
      <c r="H83" s="454">
        <f ca="1">$H$54</f>
        <v>46198</v>
      </c>
      <c r="I83" s="56"/>
      <c r="J83" s="854"/>
      <c r="K83" s="62" t="str">
        <f>Idiomas!D153</f>
        <v>4º GRUPO A</v>
      </c>
      <c r="L83" s="59"/>
      <c r="M83" s="61" t="str">
        <f ca="1">IF(OR(SUM(WORLDCUP!$AN$6:$AN$9)=12,WORLDCUP!$AJ$99=144),WORLDCUP!AL9,LEFT(K83,1)&amp;RIGHT(K83,1))</f>
        <v>República Checa</v>
      </c>
      <c r="N83" s="25"/>
      <c r="O83" s="25"/>
      <c r="P83" s="25"/>
      <c r="Q83" s="25"/>
      <c r="R83" s="116"/>
      <c r="S83" s="80" t="s">
        <v>1260</v>
      </c>
      <c r="T83" s="79">
        <f ca="1">($M83=S83)*$D$14</f>
        <v>0</v>
      </c>
      <c r="U83" s="70"/>
      <c r="V83" s="80" t="s">
        <v>1630</v>
      </c>
      <c r="W83" s="79">
        <f t="shared" ref="W83" ca="1" si="38">($M83=V83)*$D$14</f>
        <v>0</v>
      </c>
      <c r="X83" s="70"/>
      <c r="Y83" s="80" t="s">
        <v>1630</v>
      </c>
      <c r="Z83" s="79">
        <f t="shared" ref="Z83" ca="1" si="39">($M83=Y83)*$D$14</f>
        <v>0</v>
      </c>
      <c r="AA83" s="70"/>
      <c r="AB83" s="80" t="s">
        <v>1630</v>
      </c>
      <c r="AC83" s="79">
        <f t="shared" ref="AC83" ca="1" si="40">($M83=AB83)*$D$14</f>
        <v>0</v>
      </c>
      <c r="AD83" s="70"/>
      <c r="AE83" s="80" t="s">
        <v>1630</v>
      </c>
      <c r="AF83" s="79">
        <f t="shared" ref="AF83" ca="1" si="41">($M83=AE83)*$D$14</f>
        <v>0</v>
      </c>
      <c r="AG83" s="70"/>
      <c r="AH83" s="70"/>
    </row>
    <row r="84" spans="1:34" x14ac:dyDescent="0.2">
      <c r="A84" s="55"/>
      <c r="B84" s="55"/>
      <c r="C84" s="55"/>
      <c r="D84" s="55"/>
      <c r="E84" s="117"/>
      <c r="F84" s="133">
        <f t="shared" ref="F84" si="42">$D$11</f>
        <v>4</v>
      </c>
      <c r="G84" s="453">
        <f ca="1">VLOOKUP(H84,Equipos!$Q$1:$R$25,2,0)</f>
        <v>14</v>
      </c>
      <c r="H84" s="454">
        <f ca="1">$H$56</f>
        <v>46197</v>
      </c>
      <c r="I84" s="56"/>
      <c r="J84" s="853" t="s">
        <v>1</v>
      </c>
      <c r="K84" s="62" t="str">
        <f>Idiomas!D154</f>
        <v>1º GRUPO B</v>
      </c>
      <c r="L84" s="59"/>
      <c r="M84" s="61" t="str">
        <f ca="1">IF(OR(SUM(WORLDCUP!$AN$14:$AN$17)=12,WORLDCUP!$AJ$99=144),WORLDCUP!AL14,LEFT(K84,1)&amp;RIGHT(K84,1))</f>
        <v>Suiza</v>
      </c>
      <c r="N84" s="25"/>
      <c r="O84" s="25"/>
      <c r="P84" s="25"/>
      <c r="Q84" s="25"/>
      <c r="R84" s="116"/>
      <c r="S84" s="80" t="s">
        <v>75</v>
      </c>
      <c r="T84" s="79">
        <f t="shared" ref="T84" ca="1" si="43">($M84=S84)*$D$11</f>
        <v>4</v>
      </c>
      <c r="U84" s="70"/>
      <c r="V84" s="80" t="s">
        <v>75</v>
      </c>
      <c r="W84" s="79">
        <f t="shared" ref="W84:AF84" ca="1" si="44">($M84=V84)*$D$11</f>
        <v>4</v>
      </c>
      <c r="X84" s="70"/>
      <c r="Y84" s="80" t="s">
        <v>75</v>
      </c>
      <c r="Z84" s="79">
        <f t="shared" ca="1" si="44"/>
        <v>4</v>
      </c>
      <c r="AA84" s="70"/>
      <c r="AB84" s="80" t="s">
        <v>75</v>
      </c>
      <c r="AC84" s="79">
        <f t="shared" ca="1" si="44"/>
        <v>4</v>
      </c>
      <c r="AD84" s="70"/>
      <c r="AE84" s="80" t="s">
        <v>75</v>
      </c>
      <c r="AF84" s="79">
        <f t="shared" ca="1" si="44"/>
        <v>4</v>
      </c>
      <c r="AG84" s="70"/>
      <c r="AH84" s="70"/>
    </row>
    <row r="85" spans="1:34" x14ac:dyDescent="0.2">
      <c r="A85" s="55"/>
      <c r="B85" s="55"/>
      <c r="C85" s="55"/>
      <c r="D85" s="55"/>
      <c r="E85" s="117"/>
      <c r="F85" s="133">
        <f t="shared" ref="F85" si="45">$D$12</f>
        <v>3</v>
      </c>
      <c r="G85" s="453">
        <f ca="1">VLOOKUP(H85,Equipos!$Q$1:$R$25,2,0)</f>
        <v>14</v>
      </c>
      <c r="H85" s="454">
        <f ca="1">$H$56</f>
        <v>46197</v>
      </c>
      <c r="I85" s="56"/>
      <c r="J85" s="853"/>
      <c r="K85" s="62" t="str">
        <f>Idiomas!D155</f>
        <v>2º GRUPO B</v>
      </c>
      <c r="L85" s="59"/>
      <c r="M85" s="61" t="str">
        <f ca="1">IF(OR(SUM(WORLDCUP!$AN$14:$AN$17)=12,WORLDCUP!$AJ$99=144),WORLDCUP!AL15,LEFT(K85,1)&amp;RIGHT(K85,1))</f>
        <v>Canadá</v>
      </c>
      <c r="N85" s="25"/>
      <c r="O85" s="25"/>
      <c r="P85" s="25"/>
      <c r="Q85" s="25"/>
      <c r="R85" s="116"/>
      <c r="S85" s="80" t="s">
        <v>1259</v>
      </c>
      <c r="T85" s="79">
        <f t="shared" ref="T85" ca="1" si="46">($M85=S85)*$D$12</f>
        <v>3</v>
      </c>
      <c r="U85" s="70"/>
      <c r="V85" s="80" t="s">
        <v>1841</v>
      </c>
      <c r="W85" s="79">
        <f t="shared" ref="W85:AF85" ca="1" si="47">($M85=V85)*$D$12</f>
        <v>0</v>
      </c>
      <c r="X85" s="70"/>
      <c r="Y85" s="80" t="s">
        <v>1841</v>
      </c>
      <c r="Z85" s="79">
        <f t="shared" ca="1" si="47"/>
        <v>0</v>
      </c>
      <c r="AA85" s="70"/>
      <c r="AB85" s="80" t="s">
        <v>1259</v>
      </c>
      <c r="AC85" s="79">
        <f t="shared" ca="1" si="47"/>
        <v>3</v>
      </c>
      <c r="AD85" s="70"/>
      <c r="AE85" s="80" t="s">
        <v>1259</v>
      </c>
      <c r="AF85" s="79">
        <f t="shared" ca="1" si="47"/>
        <v>3</v>
      </c>
      <c r="AG85" s="70"/>
      <c r="AH85" s="70"/>
    </row>
    <row r="86" spans="1:34" x14ac:dyDescent="0.2">
      <c r="A86" s="55"/>
      <c r="B86" s="55"/>
      <c r="C86" s="55"/>
      <c r="D86" s="55"/>
      <c r="E86" s="117"/>
      <c r="F86" s="133">
        <f t="shared" ref="F86" si="48">$D$13</f>
        <v>2</v>
      </c>
      <c r="G86" s="453">
        <f ca="1">VLOOKUP(H86,Equipos!$Q$1:$R$25,2,0)</f>
        <v>14</v>
      </c>
      <c r="H86" s="454">
        <f ca="1">$H$56</f>
        <v>46197</v>
      </c>
      <c r="I86" s="56"/>
      <c r="J86" s="853"/>
      <c r="K86" s="62" t="str">
        <f>Idiomas!D156</f>
        <v>3º GRUPO B</v>
      </c>
      <c r="L86" s="59"/>
      <c r="M86" s="61" t="str">
        <f ca="1">IF(OR(SUM(WORLDCUP!$AN$14:$AN$17)=12,WORLDCUP!$AJ$99=144),WORLDCUP!AL16,LEFT(K86,1)&amp;RIGHT(K86,1))</f>
        <v>Bosnia y Herzegovina</v>
      </c>
      <c r="N86" s="25"/>
      <c r="O86" s="25"/>
      <c r="P86" s="25"/>
      <c r="Q86" s="25"/>
      <c r="R86" s="116"/>
      <c r="S86" s="80" t="s">
        <v>1841</v>
      </c>
      <c r="T86" s="79">
        <f t="shared" ref="T86" ca="1" si="49">($M86=S86)*$D$13</f>
        <v>2</v>
      </c>
      <c r="U86" s="70"/>
      <c r="V86" s="80" t="s">
        <v>1259</v>
      </c>
      <c r="W86" s="79">
        <f t="shared" ref="W86:AF86" ca="1" si="50">($M86=V86)*$D$13</f>
        <v>0</v>
      </c>
      <c r="X86" s="70"/>
      <c r="Y86" s="80" t="s">
        <v>1259</v>
      </c>
      <c r="Z86" s="79">
        <f t="shared" ca="1" si="50"/>
        <v>0</v>
      </c>
      <c r="AA86" s="70"/>
      <c r="AB86" s="80" t="s">
        <v>1841</v>
      </c>
      <c r="AC86" s="79">
        <f t="shared" ca="1" si="50"/>
        <v>2</v>
      </c>
      <c r="AD86" s="70"/>
      <c r="AE86" s="80" t="s">
        <v>1841</v>
      </c>
      <c r="AF86" s="79">
        <f t="shared" ca="1" si="50"/>
        <v>2</v>
      </c>
      <c r="AG86" s="70"/>
      <c r="AH86" s="70"/>
    </row>
    <row r="87" spans="1:34" x14ac:dyDescent="0.2">
      <c r="A87" s="55"/>
      <c r="B87" s="55"/>
      <c r="C87" s="55"/>
      <c r="D87" s="55"/>
      <c r="E87" s="117"/>
      <c r="F87" s="133">
        <f t="shared" ref="F87" si="51">$D$14</f>
        <v>1</v>
      </c>
      <c r="G87" s="453">
        <f ca="1">VLOOKUP(H87,Equipos!$Q$1:$R$25,2,0)</f>
        <v>14</v>
      </c>
      <c r="H87" s="454">
        <f ca="1">$H$56</f>
        <v>46197</v>
      </c>
      <c r="I87" s="56"/>
      <c r="J87" s="853"/>
      <c r="K87" s="62" t="str">
        <f>Idiomas!D157</f>
        <v>4º GRUPO B</v>
      </c>
      <c r="L87" s="59"/>
      <c r="M87" s="61" t="str">
        <f ca="1">IF(OR(SUM(WORLDCUP!$AN$14:$AN$17)=12,WORLDCUP!$AJ$99=144),WORLDCUP!AL17,LEFT(K87,1)&amp;RIGHT(K87,1))</f>
        <v>Catar</v>
      </c>
      <c r="N87" s="25"/>
      <c r="O87" s="25"/>
      <c r="P87" s="25"/>
      <c r="Q87" s="25"/>
      <c r="R87" s="116"/>
      <c r="S87" s="80" t="s">
        <v>1631</v>
      </c>
      <c r="T87" s="79">
        <f t="shared" ref="T87" ca="1" si="52">($M87=S87)*$D$14</f>
        <v>1</v>
      </c>
      <c r="U87" s="70"/>
      <c r="V87" s="80" t="s">
        <v>1631</v>
      </c>
      <c r="W87" s="79">
        <f t="shared" ref="W87:AF87" ca="1" si="53">($M87=V87)*$D$14</f>
        <v>1</v>
      </c>
      <c r="X87" s="70"/>
      <c r="Y87" s="80" t="s">
        <v>1631</v>
      </c>
      <c r="Z87" s="79">
        <f t="shared" ca="1" si="53"/>
        <v>1</v>
      </c>
      <c r="AA87" s="70"/>
      <c r="AB87" s="80" t="s">
        <v>1631</v>
      </c>
      <c r="AC87" s="79">
        <f t="shared" ca="1" si="53"/>
        <v>1</v>
      </c>
      <c r="AD87" s="70"/>
      <c r="AE87" s="80" t="s">
        <v>1631</v>
      </c>
      <c r="AF87" s="79">
        <f t="shared" ca="1" si="53"/>
        <v>1</v>
      </c>
      <c r="AG87" s="70"/>
      <c r="AH87" s="70"/>
    </row>
    <row r="88" spans="1:34" x14ac:dyDescent="0.2">
      <c r="A88" s="55"/>
      <c r="B88" s="55"/>
      <c r="C88" s="55"/>
      <c r="D88" s="55"/>
      <c r="E88" s="117"/>
      <c r="F88" s="133">
        <f t="shared" ref="F88" si="54">$D$11</f>
        <v>4</v>
      </c>
      <c r="G88" s="453">
        <f ca="1">VLOOKUP(H88,Equipos!$Q$1:$R$25,2,0)</f>
        <v>15</v>
      </c>
      <c r="H88" s="454">
        <f ca="1">$H$58</f>
        <v>46198</v>
      </c>
      <c r="I88" s="56"/>
      <c r="J88" s="854" t="s">
        <v>2</v>
      </c>
      <c r="K88" s="62" t="str">
        <f>Idiomas!D158</f>
        <v>1º GRUPO C</v>
      </c>
      <c r="L88" s="59"/>
      <c r="M88" s="61" t="str">
        <f ca="1">IF(OR(SUM(WORLDCUP!$AN$22:$AN$25)=12,WORLDCUP!$AJ$99=144),WORLDCUP!AL22,LEFT(K88,1)&amp;RIGHT(K88,1))</f>
        <v>Brasil</v>
      </c>
      <c r="N88" s="25"/>
      <c r="O88" s="25"/>
      <c r="P88" s="25"/>
      <c r="Q88" s="25"/>
      <c r="R88" s="116"/>
      <c r="S88" s="80" t="s">
        <v>1258</v>
      </c>
      <c r="T88" s="79">
        <f t="shared" ref="T88" ca="1" si="55">($M88=S88)*$D$11</f>
        <v>4</v>
      </c>
      <c r="U88" s="70"/>
      <c r="V88" s="80" t="s">
        <v>1258</v>
      </c>
      <c r="W88" s="79">
        <f t="shared" ref="W88:AF88" ca="1" si="56">($M88=V88)*$D$11</f>
        <v>4</v>
      </c>
      <c r="X88" s="70"/>
      <c r="Y88" s="80" t="s">
        <v>1258</v>
      </c>
      <c r="Z88" s="79">
        <f t="shared" ca="1" si="56"/>
        <v>4</v>
      </c>
      <c r="AA88" s="70"/>
      <c r="AB88" s="80" t="s">
        <v>1258</v>
      </c>
      <c r="AC88" s="79">
        <f t="shared" ca="1" si="56"/>
        <v>4</v>
      </c>
      <c r="AD88" s="70"/>
      <c r="AE88" s="80" t="s">
        <v>1258</v>
      </c>
      <c r="AF88" s="79">
        <f t="shared" ca="1" si="56"/>
        <v>4</v>
      </c>
      <c r="AG88" s="70"/>
      <c r="AH88" s="70"/>
    </row>
    <row r="89" spans="1:34" x14ac:dyDescent="0.2">
      <c r="A89" s="55"/>
      <c r="B89" s="55"/>
      <c r="C89" s="55"/>
      <c r="D89" s="55"/>
      <c r="E89" s="117"/>
      <c r="F89" s="133">
        <f t="shared" ref="F89" si="57">$D$12</f>
        <v>3</v>
      </c>
      <c r="G89" s="453">
        <f ca="1">VLOOKUP(H89,Equipos!$Q$1:$R$25,2,0)</f>
        <v>15</v>
      </c>
      <c r="H89" s="454">
        <f ca="1">$H$58</f>
        <v>46198</v>
      </c>
      <c r="I89" s="56"/>
      <c r="J89" s="854"/>
      <c r="K89" s="62" t="str">
        <f>Idiomas!D159</f>
        <v>2º GRUPO C</v>
      </c>
      <c r="L89" s="59"/>
      <c r="M89" s="61" t="str">
        <f ca="1">IF(OR(SUM(WORLDCUP!$AN$22:$AN$25)=12,WORLDCUP!$AJ$99=144),WORLDCUP!AL23,LEFT(K89,1)&amp;RIGHT(K89,1))</f>
        <v>Marruecos</v>
      </c>
      <c r="N89" s="25"/>
      <c r="O89" s="25"/>
      <c r="P89" s="25"/>
      <c r="Q89" s="25"/>
      <c r="R89" s="116"/>
      <c r="S89" s="80" t="s">
        <v>1321</v>
      </c>
      <c r="T89" s="79">
        <f t="shared" ref="T89" ca="1" si="58">($M89=S89)*$D$12</f>
        <v>3</v>
      </c>
      <c r="U89" s="70"/>
      <c r="V89" s="80" t="s">
        <v>1321</v>
      </c>
      <c r="W89" s="79">
        <f t="shared" ref="W89:AF89" ca="1" si="59">($M89=V89)*$D$12</f>
        <v>3</v>
      </c>
      <c r="X89" s="70"/>
      <c r="Y89" s="80" t="s">
        <v>1321</v>
      </c>
      <c r="Z89" s="79">
        <f t="shared" ca="1" si="59"/>
        <v>3</v>
      </c>
      <c r="AA89" s="70"/>
      <c r="AB89" s="80" t="s">
        <v>1321</v>
      </c>
      <c r="AC89" s="79">
        <f t="shared" ca="1" si="59"/>
        <v>3</v>
      </c>
      <c r="AD89" s="70"/>
      <c r="AE89" s="80" t="s">
        <v>1321</v>
      </c>
      <c r="AF89" s="79">
        <f t="shared" ca="1" si="59"/>
        <v>3</v>
      </c>
      <c r="AG89" s="70"/>
      <c r="AH89" s="70"/>
    </row>
    <row r="90" spans="1:34" x14ac:dyDescent="0.2">
      <c r="A90" s="55"/>
      <c r="B90" s="55"/>
      <c r="C90" s="55"/>
      <c r="D90" s="55"/>
      <c r="E90" s="117"/>
      <c r="F90" s="133">
        <f t="shared" ref="F90" si="60">$D$13</f>
        <v>2</v>
      </c>
      <c r="G90" s="453">
        <f ca="1">VLOOKUP(H90,Equipos!$Q$1:$R$25,2,0)</f>
        <v>15</v>
      </c>
      <c r="H90" s="454">
        <f ca="1">$H$58</f>
        <v>46198</v>
      </c>
      <c r="I90" s="56"/>
      <c r="J90" s="854"/>
      <c r="K90" s="62" t="str">
        <f>Idiomas!D160</f>
        <v>3º GRUPO C</v>
      </c>
      <c r="L90" s="59"/>
      <c r="M90" s="61" t="str">
        <f ca="1">IF(OR(SUM(WORLDCUP!$AN$22:$AN$25)=12,WORLDCUP!$AJ$99=144),WORLDCUP!AL24,LEFT(K90,1)&amp;RIGHT(K90,1))</f>
        <v>Escocia</v>
      </c>
      <c r="N90" s="25"/>
      <c r="O90" s="25"/>
      <c r="P90" s="25"/>
      <c r="Q90" s="25"/>
      <c r="R90" s="116"/>
      <c r="S90" s="80" t="s">
        <v>134</v>
      </c>
      <c r="T90" s="79">
        <f t="shared" ref="T90" ca="1" si="61">($M90=S90)*$D$13</f>
        <v>2</v>
      </c>
      <c r="U90" s="70"/>
      <c r="V90" s="80" t="s">
        <v>134</v>
      </c>
      <c r="W90" s="79">
        <f t="shared" ref="W90:AF90" ca="1" si="62">($M90=V90)*$D$13</f>
        <v>2</v>
      </c>
      <c r="X90" s="70"/>
      <c r="Y90" s="80" t="s">
        <v>134</v>
      </c>
      <c r="Z90" s="79">
        <f t="shared" ca="1" si="62"/>
        <v>2</v>
      </c>
      <c r="AA90" s="70"/>
      <c r="AB90" s="80" t="s">
        <v>134</v>
      </c>
      <c r="AC90" s="79">
        <f t="shared" ca="1" si="62"/>
        <v>2</v>
      </c>
      <c r="AD90" s="70"/>
      <c r="AE90" s="80" t="s">
        <v>134</v>
      </c>
      <c r="AF90" s="79">
        <f t="shared" ca="1" si="62"/>
        <v>2</v>
      </c>
      <c r="AG90" s="70"/>
      <c r="AH90" s="70"/>
    </row>
    <row r="91" spans="1:34" x14ac:dyDescent="0.2">
      <c r="A91" s="55"/>
      <c r="B91" s="55"/>
      <c r="C91" s="55"/>
      <c r="D91" s="55"/>
      <c r="E91" s="117"/>
      <c r="F91" s="133">
        <f t="shared" ref="F91" si="63">$D$14</f>
        <v>1</v>
      </c>
      <c r="G91" s="453">
        <f ca="1">VLOOKUP(H91,Equipos!$Q$1:$R$25,2,0)</f>
        <v>15</v>
      </c>
      <c r="H91" s="454">
        <f ca="1">$H$58</f>
        <v>46198</v>
      </c>
      <c r="I91" s="56"/>
      <c r="J91" s="854"/>
      <c r="K91" s="62" t="str">
        <f>Idiomas!D161</f>
        <v>4º GRUPO C</v>
      </c>
      <c r="L91" s="59"/>
      <c r="M91" s="61" t="str">
        <f ca="1">IF(OR(SUM(WORLDCUP!$AN$22:$AN$25)=12,WORLDCUP!$AJ$99=144),WORLDCUP!AL25,LEFT(K91,1)&amp;RIGHT(K91,1))</f>
        <v>Haití</v>
      </c>
      <c r="N91" s="25"/>
      <c r="O91" s="25"/>
      <c r="P91" s="25"/>
      <c r="Q91" s="25"/>
      <c r="R91" s="116"/>
      <c r="S91" s="80" t="s">
        <v>1728</v>
      </c>
      <c r="T91" s="79">
        <f t="shared" ref="T91" ca="1" si="64">($M91=S91)*$D$14</f>
        <v>1</v>
      </c>
      <c r="U91" s="70"/>
      <c r="V91" s="80" t="s">
        <v>1728</v>
      </c>
      <c r="W91" s="79">
        <f t="shared" ref="W91:AF91" ca="1" si="65">($M91=V91)*$D$14</f>
        <v>1</v>
      </c>
      <c r="X91" s="70"/>
      <c r="Y91" s="80" t="s">
        <v>1728</v>
      </c>
      <c r="Z91" s="79">
        <f t="shared" ca="1" si="65"/>
        <v>1</v>
      </c>
      <c r="AA91" s="70"/>
      <c r="AB91" s="80" t="s">
        <v>1728</v>
      </c>
      <c r="AC91" s="79">
        <f t="shared" ca="1" si="65"/>
        <v>1</v>
      </c>
      <c r="AD91" s="70"/>
      <c r="AE91" s="80" t="s">
        <v>1728</v>
      </c>
      <c r="AF91" s="79">
        <f t="shared" ca="1" si="65"/>
        <v>1</v>
      </c>
      <c r="AG91" s="70"/>
      <c r="AH91" s="70"/>
    </row>
    <row r="92" spans="1:34" x14ac:dyDescent="0.2">
      <c r="A92" s="55"/>
      <c r="B92" s="55"/>
      <c r="C92" s="55"/>
      <c r="D92" s="55"/>
      <c r="E92" s="117"/>
      <c r="F92" s="133">
        <f t="shared" ref="F92" si="66">$D$11</f>
        <v>4</v>
      </c>
      <c r="G92" s="453">
        <f ca="1">VLOOKUP(H92,Equipos!$Q$1:$R$25,2,0)</f>
        <v>16</v>
      </c>
      <c r="H92" s="454">
        <f ca="1">$H$60</f>
        <v>46199</v>
      </c>
      <c r="I92" s="56"/>
      <c r="J92" s="853" t="s">
        <v>73</v>
      </c>
      <c r="K92" s="62" t="str">
        <f>Idiomas!D162</f>
        <v>1º GRUPO D</v>
      </c>
      <c r="L92" s="59"/>
      <c r="M92" s="61" t="str">
        <f ca="1">IF(OR(SUM(WORLDCUP!$AN$30:$AN$33)=12,WORLDCUP!$AJ$99=144),WORLDCUP!AL30,LEFT(K92,1)&amp;RIGHT(K92,1))</f>
        <v>Estados Unidos</v>
      </c>
      <c r="N92" s="25"/>
      <c r="O92" s="25"/>
      <c r="P92" s="25"/>
      <c r="Q92" s="25"/>
      <c r="R92" s="116"/>
      <c r="S92" s="80" t="s">
        <v>1835</v>
      </c>
      <c r="T92" s="79">
        <f t="shared" ref="T92" ca="1" si="67">($M92=S92)*$D$11</f>
        <v>0</v>
      </c>
      <c r="U92" s="70"/>
      <c r="V92" s="80" t="s">
        <v>1835</v>
      </c>
      <c r="W92" s="79">
        <f t="shared" ref="W92:AF92" ca="1" si="68">($M92=V92)*$D$11</f>
        <v>0</v>
      </c>
      <c r="X92" s="70"/>
      <c r="Y92" s="80" t="s">
        <v>1835</v>
      </c>
      <c r="Z92" s="79">
        <f t="shared" ca="1" si="68"/>
        <v>0</v>
      </c>
      <c r="AA92" s="70"/>
      <c r="AB92" s="80" t="s">
        <v>497</v>
      </c>
      <c r="AC92" s="79">
        <f t="shared" ca="1" si="68"/>
        <v>4</v>
      </c>
      <c r="AD92" s="70"/>
      <c r="AE92" s="80" t="s">
        <v>1835</v>
      </c>
      <c r="AF92" s="79">
        <f t="shared" ca="1" si="68"/>
        <v>0</v>
      </c>
      <c r="AG92" s="70"/>
      <c r="AH92" s="70"/>
    </row>
    <row r="93" spans="1:34" x14ac:dyDescent="0.2">
      <c r="A93" s="55"/>
      <c r="B93" s="55"/>
      <c r="C93" s="55"/>
      <c r="D93" s="55"/>
      <c r="E93" s="117"/>
      <c r="F93" s="133">
        <f t="shared" ref="F93" si="69">$D$12</f>
        <v>3</v>
      </c>
      <c r="G93" s="453">
        <f ca="1">VLOOKUP(H93,Equipos!$Q$1:$R$25,2,0)</f>
        <v>16</v>
      </c>
      <c r="H93" s="454">
        <f ca="1">$H$60</f>
        <v>46199</v>
      </c>
      <c r="I93" s="56"/>
      <c r="J93" s="853"/>
      <c r="K93" s="62" t="str">
        <f>Idiomas!D163</f>
        <v>2º GRUPO D</v>
      </c>
      <c r="L93" s="59"/>
      <c r="M93" s="61" t="str">
        <f ca="1">IF(OR(SUM(WORLDCUP!$AN$30:$AN$33)=12,WORLDCUP!$AJ$99=144),WORLDCUP!AL31,LEFT(K93,1)&amp;RIGHT(K93,1))</f>
        <v>Australia</v>
      </c>
      <c r="N93" s="25"/>
      <c r="O93" s="25"/>
      <c r="P93" s="25"/>
      <c r="Q93" s="25"/>
      <c r="R93" s="116"/>
      <c r="S93" s="80" t="s">
        <v>497</v>
      </c>
      <c r="T93" s="79">
        <f t="shared" ref="T93" ca="1" si="70">($M93=S93)*$D$12</f>
        <v>0</v>
      </c>
      <c r="U93" s="70"/>
      <c r="V93" s="80" t="s">
        <v>1319</v>
      </c>
      <c r="W93" s="79">
        <f t="shared" ref="W93:AF93" ca="1" si="71">($M93=V93)*$D$12</f>
        <v>0</v>
      </c>
      <c r="X93" s="70"/>
      <c r="Y93" s="80" t="s">
        <v>1319</v>
      </c>
      <c r="Z93" s="79">
        <f t="shared" ca="1" si="71"/>
        <v>0</v>
      </c>
      <c r="AA93" s="70"/>
      <c r="AB93" s="80" t="s">
        <v>1835</v>
      </c>
      <c r="AC93" s="79">
        <f t="shared" ca="1" si="71"/>
        <v>0</v>
      </c>
      <c r="AD93" s="70"/>
      <c r="AE93" s="80" t="s">
        <v>497</v>
      </c>
      <c r="AF93" s="79">
        <f t="shared" ca="1" si="71"/>
        <v>0</v>
      </c>
      <c r="AG93" s="70"/>
      <c r="AH93" s="70"/>
    </row>
    <row r="94" spans="1:34" x14ac:dyDescent="0.2">
      <c r="A94" s="55"/>
      <c r="B94" s="55"/>
      <c r="C94" s="55"/>
      <c r="D94" s="55"/>
      <c r="E94" s="117"/>
      <c r="F94" s="133">
        <f t="shared" ref="F94" si="72">$D$13</f>
        <v>2</v>
      </c>
      <c r="G94" s="453">
        <f ca="1">VLOOKUP(H94,Equipos!$Q$1:$R$25,2,0)</f>
        <v>16</v>
      </c>
      <c r="H94" s="454">
        <f ca="1">$H$60</f>
        <v>46199</v>
      </c>
      <c r="I94" s="56"/>
      <c r="J94" s="853"/>
      <c r="K94" s="62" t="str">
        <f>Idiomas!D164</f>
        <v>3º GRUPO D</v>
      </c>
      <c r="L94" s="59"/>
      <c r="M94" s="61" t="str">
        <f ca="1">IF(OR(SUM(WORLDCUP!$AN$30:$AN$33)=12,WORLDCUP!$AJ$99=144),WORLDCUP!AL32,LEFT(K94,1)&amp;RIGHT(K94,1))</f>
        <v>Paraguay</v>
      </c>
      <c r="N94" s="25"/>
      <c r="O94" s="25"/>
      <c r="P94" s="25"/>
      <c r="Q94" s="25"/>
      <c r="R94" s="116"/>
      <c r="S94" s="80" t="s">
        <v>1319</v>
      </c>
      <c r="T94" s="79">
        <f t="shared" ref="T94" ca="1" si="73">($M94=S94)*$D$13</f>
        <v>2</v>
      </c>
      <c r="U94" s="70"/>
      <c r="V94" s="80" t="s">
        <v>497</v>
      </c>
      <c r="W94" s="79">
        <f t="shared" ref="W94:AF94" ca="1" si="74">($M94=V94)*$D$13</f>
        <v>0</v>
      </c>
      <c r="X94" s="70"/>
      <c r="Y94" s="80" t="s">
        <v>497</v>
      </c>
      <c r="Z94" s="79">
        <f t="shared" ca="1" si="74"/>
        <v>0</v>
      </c>
      <c r="AA94" s="70"/>
      <c r="AB94" s="80" t="s">
        <v>1319</v>
      </c>
      <c r="AC94" s="79">
        <f t="shared" ca="1" si="74"/>
        <v>2</v>
      </c>
      <c r="AD94" s="70"/>
      <c r="AE94" s="80" t="s">
        <v>1319</v>
      </c>
      <c r="AF94" s="79">
        <f t="shared" ca="1" si="74"/>
        <v>2</v>
      </c>
      <c r="AG94" s="70"/>
      <c r="AH94" s="70"/>
    </row>
    <row r="95" spans="1:34" x14ac:dyDescent="0.2">
      <c r="A95" s="55"/>
      <c r="B95" s="55"/>
      <c r="C95" s="55"/>
      <c r="D95" s="55"/>
      <c r="E95" s="117"/>
      <c r="F95" s="133">
        <f t="shared" ref="F95" si="75">$D$14</f>
        <v>1</v>
      </c>
      <c r="G95" s="453">
        <f ca="1">VLOOKUP(H95,Equipos!$Q$1:$R$25,2,0)</f>
        <v>16</v>
      </c>
      <c r="H95" s="454">
        <f ca="1">$H$60</f>
        <v>46199</v>
      </c>
      <c r="I95" s="56"/>
      <c r="J95" s="853"/>
      <c r="K95" s="62" t="str">
        <f>Idiomas!D165</f>
        <v>4º GRUPO D</v>
      </c>
      <c r="L95" s="59"/>
      <c r="M95" s="61" t="str">
        <f ca="1">IF(OR(SUM(WORLDCUP!$AN$30:$AN$33)=12,WORLDCUP!$AJ$99=144),WORLDCUP!AL33,LEFT(K95,1)&amp;RIGHT(K95,1))</f>
        <v>Turquía</v>
      </c>
      <c r="N95" s="25"/>
      <c r="O95" s="25"/>
      <c r="P95" s="25"/>
      <c r="Q95" s="25"/>
      <c r="R95" s="116"/>
      <c r="S95" s="80" t="s">
        <v>1257</v>
      </c>
      <c r="T95" s="79">
        <f t="shared" ref="T95" ca="1" si="76">($M95=S95)*$D$14</f>
        <v>0</v>
      </c>
      <c r="U95" s="70"/>
      <c r="V95" s="80" t="s">
        <v>1257</v>
      </c>
      <c r="W95" s="79">
        <f t="shared" ref="W95:AF95" ca="1" si="77">($M95=V95)*$D$14</f>
        <v>0</v>
      </c>
      <c r="X95" s="70"/>
      <c r="Y95" s="80" t="s">
        <v>1257</v>
      </c>
      <c r="Z95" s="79">
        <f t="shared" ca="1" si="77"/>
        <v>0</v>
      </c>
      <c r="AA95" s="70"/>
      <c r="AB95" s="80" t="s">
        <v>1257</v>
      </c>
      <c r="AC95" s="79">
        <f t="shared" ca="1" si="77"/>
        <v>0</v>
      </c>
      <c r="AD95" s="70"/>
      <c r="AE95" s="80" t="s">
        <v>1257</v>
      </c>
      <c r="AF95" s="79">
        <f t="shared" ca="1" si="77"/>
        <v>0</v>
      </c>
      <c r="AG95" s="70"/>
      <c r="AH95" s="70"/>
    </row>
    <row r="96" spans="1:34" x14ac:dyDescent="0.2">
      <c r="A96" s="55"/>
      <c r="B96" s="55"/>
      <c r="C96" s="55"/>
      <c r="D96" s="55"/>
      <c r="E96" s="117"/>
      <c r="F96" s="133">
        <f t="shared" ref="F96" si="78">$D$11</f>
        <v>4</v>
      </c>
      <c r="G96" s="453">
        <f ca="1">VLOOKUP(H96,Equipos!$Q$1:$R$25,2,0)</f>
        <v>15</v>
      </c>
      <c r="H96" s="454">
        <f ca="1">$H$62</f>
        <v>46198</v>
      </c>
      <c r="I96" s="56"/>
      <c r="J96" s="854" t="s">
        <v>3</v>
      </c>
      <c r="K96" s="62" t="str">
        <f>Idiomas!D166</f>
        <v>1º GRUPO E</v>
      </c>
      <c r="L96" s="59"/>
      <c r="M96" s="61" t="str">
        <f ca="1">IF(OR(SUM(WORLDCUP!$AN$38:$AN$41)=12,WORLDCUP!$AJ$99=144),WORLDCUP!AL38,LEFT(K96,1)&amp;RIGHT(K96,1))</f>
        <v>Alemania</v>
      </c>
      <c r="N96" s="25"/>
      <c r="O96" s="25"/>
      <c r="P96" s="25"/>
      <c r="Q96" s="25"/>
      <c r="R96" s="116"/>
      <c r="S96" s="80" t="s">
        <v>77</v>
      </c>
      <c r="T96" s="79">
        <f t="shared" ref="T96" ca="1" si="79">($M96=S96)*$D$11</f>
        <v>4</v>
      </c>
      <c r="U96" s="70"/>
      <c r="V96" s="80" t="s">
        <v>1261</v>
      </c>
      <c r="W96" s="79">
        <f t="shared" ref="W96:AF96" ca="1" si="80">($M96=V96)*$D$11</f>
        <v>0</v>
      </c>
      <c r="X96" s="70"/>
      <c r="Y96" s="80" t="s">
        <v>77</v>
      </c>
      <c r="Z96" s="79">
        <f t="shared" ca="1" si="80"/>
        <v>4</v>
      </c>
      <c r="AA96" s="70"/>
      <c r="AB96" s="80" t="s">
        <v>77</v>
      </c>
      <c r="AC96" s="79">
        <f t="shared" ca="1" si="80"/>
        <v>4</v>
      </c>
      <c r="AD96" s="70"/>
      <c r="AE96" s="80" t="s">
        <v>77</v>
      </c>
      <c r="AF96" s="79">
        <f t="shared" ca="1" si="80"/>
        <v>4</v>
      </c>
      <c r="AG96" s="70"/>
      <c r="AH96" s="70"/>
    </row>
    <row r="97" spans="1:34" x14ac:dyDescent="0.2">
      <c r="A97" s="55"/>
      <c r="B97" s="55"/>
      <c r="C97" s="55"/>
      <c r="D97" s="55"/>
      <c r="E97" s="117"/>
      <c r="F97" s="133">
        <f t="shared" ref="F97" si="81">$D$12</f>
        <v>3</v>
      </c>
      <c r="G97" s="453">
        <f ca="1">VLOOKUP(H97,Equipos!$Q$1:$R$25,2,0)</f>
        <v>15</v>
      </c>
      <c r="H97" s="454">
        <f ca="1">$H$62</f>
        <v>46198</v>
      </c>
      <c r="I97" s="56"/>
      <c r="J97" s="854"/>
      <c r="K97" s="62" t="str">
        <f>Idiomas!D167</f>
        <v>2º GRUPO E</v>
      </c>
      <c r="L97" s="59"/>
      <c r="M97" s="61" t="str">
        <f ca="1">IF(OR(SUM(WORLDCUP!$AN$38:$AN$41)=12,WORLDCUP!$AJ$99=144),WORLDCUP!AL39,LEFT(K97,1)&amp;RIGHT(K97,1))</f>
        <v>Costa de Marfil</v>
      </c>
      <c r="N97" s="25"/>
      <c r="O97" s="25"/>
      <c r="P97" s="25"/>
      <c r="Q97" s="25"/>
      <c r="R97" s="116"/>
      <c r="S97" s="80" t="s">
        <v>1261</v>
      </c>
      <c r="T97" s="79">
        <f t="shared" ref="T97" ca="1" si="82">($M97=S97)*$D$12</f>
        <v>0</v>
      </c>
      <c r="U97" s="70"/>
      <c r="V97" s="80" t="s">
        <v>77</v>
      </c>
      <c r="W97" s="79">
        <f t="shared" ref="W97:AF97" ca="1" si="83">($M97=V97)*$D$12</f>
        <v>0</v>
      </c>
      <c r="X97" s="70"/>
      <c r="Y97" s="80" t="s">
        <v>1633</v>
      </c>
      <c r="Z97" s="79">
        <f t="shared" ca="1" si="83"/>
        <v>3</v>
      </c>
      <c r="AA97" s="70"/>
      <c r="AB97" s="80" t="s">
        <v>1633</v>
      </c>
      <c r="AC97" s="79">
        <f t="shared" ca="1" si="83"/>
        <v>3</v>
      </c>
      <c r="AD97" s="70"/>
      <c r="AE97" s="80" t="s">
        <v>1261</v>
      </c>
      <c r="AF97" s="79">
        <f t="shared" ca="1" si="83"/>
        <v>0</v>
      </c>
      <c r="AG97" s="70"/>
      <c r="AH97" s="70"/>
    </row>
    <row r="98" spans="1:34" x14ac:dyDescent="0.2">
      <c r="A98" s="55"/>
      <c r="B98" s="55"/>
      <c r="C98" s="55"/>
      <c r="D98" s="55"/>
      <c r="E98" s="117"/>
      <c r="F98" s="133">
        <f t="shared" ref="F98" si="84">$D$13</f>
        <v>2</v>
      </c>
      <c r="G98" s="453">
        <f ca="1">VLOOKUP(H98,Equipos!$Q$1:$R$25,2,0)</f>
        <v>15</v>
      </c>
      <c r="H98" s="454">
        <f ca="1">$H$62</f>
        <v>46198</v>
      </c>
      <c r="I98" s="56"/>
      <c r="J98" s="854"/>
      <c r="K98" s="62" t="str">
        <f>Idiomas!D168</f>
        <v>3º GRUPO E</v>
      </c>
      <c r="L98" s="59"/>
      <c r="M98" s="61" t="str">
        <f ca="1">IF(OR(SUM(WORLDCUP!$AN$38:$AN$41)=12,WORLDCUP!$AJ$99=144),WORLDCUP!AL40,LEFT(K98,1)&amp;RIGHT(K98,1))</f>
        <v>Ecuador</v>
      </c>
      <c r="N98" s="25"/>
      <c r="O98" s="25"/>
      <c r="P98" s="25"/>
      <c r="Q98" s="25"/>
      <c r="R98" s="116"/>
      <c r="S98" s="80" t="s">
        <v>1633</v>
      </c>
      <c r="T98" s="79">
        <f t="shared" ref="T98" ca="1" si="85">($M98=S98)*$D$13</f>
        <v>0</v>
      </c>
      <c r="U98" s="70"/>
      <c r="V98" s="80" t="s">
        <v>1633</v>
      </c>
      <c r="W98" s="79">
        <f t="shared" ref="W98:AF98" ca="1" si="86">($M98=V98)*$D$13</f>
        <v>0</v>
      </c>
      <c r="X98" s="70"/>
      <c r="Y98" s="80" t="s">
        <v>1261</v>
      </c>
      <c r="Z98" s="79">
        <f t="shared" ca="1" si="86"/>
        <v>2</v>
      </c>
      <c r="AA98" s="70"/>
      <c r="AB98" s="80" t="s">
        <v>1261</v>
      </c>
      <c r="AC98" s="79">
        <f t="shared" ca="1" si="86"/>
        <v>2</v>
      </c>
      <c r="AD98" s="70"/>
      <c r="AE98" s="80" t="s">
        <v>1633</v>
      </c>
      <c r="AF98" s="79">
        <f t="shared" ca="1" si="86"/>
        <v>0</v>
      </c>
      <c r="AG98" s="70"/>
      <c r="AH98" s="70"/>
    </row>
    <row r="99" spans="1:34" x14ac:dyDescent="0.2">
      <c r="A99" s="55"/>
      <c r="B99" s="55"/>
      <c r="C99" s="55"/>
      <c r="D99" s="55"/>
      <c r="E99" s="117"/>
      <c r="F99" s="133">
        <f t="shared" ref="F99" si="87">$D$14</f>
        <v>1</v>
      </c>
      <c r="G99" s="453">
        <f ca="1">VLOOKUP(H99,Equipos!$Q$1:$R$25,2,0)</f>
        <v>15</v>
      </c>
      <c r="H99" s="454">
        <f ca="1">$H$62</f>
        <v>46198</v>
      </c>
      <c r="I99" s="56"/>
      <c r="J99" s="854"/>
      <c r="K99" s="62" t="str">
        <f>Idiomas!D169</f>
        <v>4º GRUPO E</v>
      </c>
      <c r="L99" s="59"/>
      <c r="M99" s="61" t="str">
        <f ca="1">IF(OR(SUM(WORLDCUP!$AN$38:$AN$41)=12,WORLDCUP!$AJ$99=144),WORLDCUP!AL41,LEFT(K99,1)&amp;RIGHT(K99,1))</f>
        <v>Curazao</v>
      </c>
      <c r="N99" s="25"/>
      <c r="O99" s="25"/>
      <c r="P99" s="25"/>
      <c r="Q99" s="25"/>
      <c r="R99" s="116"/>
      <c r="S99" s="80" t="s">
        <v>1726</v>
      </c>
      <c r="T99" s="79">
        <f t="shared" ref="T99" ca="1" si="88">($M99=S99)*$D$14</f>
        <v>1</v>
      </c>
      <c r="U99" s="70"/>
      <c r="V99" s="80" t="s">
        <v>1726</v>
      </c>
      <c r="W99" s="79">
        <f t="shared" ref="W99:AF99" ca="1" si="89">($M99=V99)*$D$14</f>
        <v>1</v>
      </c>
      <c r="X99" s="70"/>
      <c r="Y99" s="80" t="s">
        <v>1726</v>
      </c>
      <c r="Z99" s="79">
        <f t="shared" ca="1" si="89"/>
        <v>1</v>
      </c>
      <c r="AA99" s="70"/>
      <c r="AB99" s="80" t="s">
        <v>1726</v>
      </c>
      <c r="AC99" s="79">
        <f t="shared" ca="1" si="89"/>
        <v>1</v>
      </c>
      <c r="AD99" s="70"/>
      <c r="AE99" s="80" t="s">
        <v>1726</v>
      </c>
      <c r="AF99" s="79">
        <f t="shared" ca="1" si="89"/>
        <v>1</v>
      </c>
      <c r="AG99" s="70"/>
      <c r="AH99" s="70"/>
    </row>
    <row r="100" spans="1:34" x14ac:dyDescent="0.2">
      <c r="A100" s="55"/>
      <c r="B100" s="55"/>
      <c r="C100" s="55"/>
      <c r="D100" s="55"/>
      <c r="E100" s="117"/>
      <c r="F100" s="133">
        <f t="shared" ref="F100" si="90">$D$11</f>
        <v>4</v>
      </c>
      <c r="G100" s="453">
        <f ca="1">VLOOKUP(H100,Equipos!$Q$1:$R$25,2,0)</f>
        <v>16</v>
      </c>
      <c r="H100" s="454">
        <f ca="1">$H$64</f>
        <v>46199</v>
      </c>
      <c r="I100" s="56"/>
      <c r="J100" s="853" t="s">
        <v>4</v>
      </c>
      <c r="K100" s="62" t="str">
        <f>Idiomas!D170</f>
        <v>1º GRUPO F</v>
      </c>
      <c r="L100" s="59"/>
      <c r="M100" s="61" t="str">
        <f ca="1">IF(OR(SUM(WORLDCUP!$AN$46:$AN$49)=12,WORLDCUP!$AJ$99=144),WORLDCUP!AL46,LEFT(K100,1)&amp;RIGHT(K100,1))</f>
        <v>Países Bajos</v>
      </c>
      <c r="N100" s="25"/>
      <c r="O100" s="25"/>
      <c r="P100" s="25"/>
      <c r="Q100" s="25"/>
      <c r="R100" s="116"/>
      <c r="S100" s="80" t="s">
        <v>111</v>
      </c>
      <c r="T100" s="79">
        <f t="shared" ref="T100" ca="1" si="91">($M100=S100)*$D$11</f>
        <v>4</v>
      </c>
      <c r="U100" s="70"/>
      <c r="V100" s="80" t="s">
        <v>111</v>
      </c>
      <c r="W100" s="79">
        <f t="shared" ref="W100:AF100" ca="1" si="92">($M100=V100)*$D$11</f>
        <v>4</v>
      </c>
      <c r="X100" s="70"/>
      <c r="Y100" s="80" t="s">
        <v>111</v>
      </c>
      <c r="Z100" s="79">
        <f t="shared" ca="1" si="92"/>
        <v>4</v>
      </c>
      <c r="AA100" s="70"/>
      <c r="AB100" s="80" t="s">
        <v>111</v>
      </c>
      <c r="AC100" s="79">
        <f t="shared" ca="1" si="92"/>
        <v>4</v>
      </c>
      <c r="AD100" s="70"/>
      <c r="AE100" s="80" t="s">
        <v>111</v>
      </c>
      <c r="AF100" s="79">
        <f t="shared" ca="1" si="92"/>
        <v>4</v>
      </c>
      <c r="AG100" s="70"/>
      <c r="AH100" s="70"/>
    </row>
    <row r="101" spans="1:34" x14ac:dyDescent="0.2">
      <c r="A101" s="55"/>
      <c r="B101" s="55"/>
      <c r="C101" s="55"/>
      <c r="D101" s="55"/>
      <c r="E101" s="117"/>
      <c r="F101" s="133">
        <f t="shared" ref="F101" si="93">$D$12</f>
        <v>3</v>
      </c>
      <c r="G101" s="453">
        <f ca="1">VLOOKUP(H101,Equipos!$Q$1:$R$25,2,0)</f>
        <v>16</v>
      </c>
      <c r="H101" s="454">
        <f ca="1">$H$64</f>
        <v>46199</v>
      </c>
      <c r="I101" s="56"/>
      <c r="J101" s="853"/>
      <c r="K101" s="62" t="str">
        <f>Idiomas!D171</f>
        <v>2º GRUPO F</v>
      </c>
      <c r="L101" s="59"/>
      <c r="M101" s="61" t="str">
        <f ca="1">IF(OR(SUM(WORLDCUP!$AN$46:$AN$49)=12,WORLDCUP!$AJ$99=144),WORLDCUP!AL47,LEFT(K101,1)&amp;RIGHT(K101,1))</f>
        <v>Japón</v>
      </c>
      <c r="N101" s="25"/>
      <c r="O101" s="25"/>
      <c r="P101" s="25"/>
      <c r="Q101" s="25"/>
      <c r="R101" s="116"/>
      <c r="S101" s="80" t="s">
        <v>1263</v>
      </c>
      <c r="T101" s="79">
        <f t="shared" ref="T101" ca="1" si="94">($M101=S101)*$D$12</f>
        <v>3</v>
      </c>
      <c r="U101" s="70"/>
      <c r="V101" s="80" t="s">
        <v>1263</v>
      </c>
      <c r="W101" s="79">
        <f t="shared" ref="W101:AF101" ca="1" si="95">($M101=V101)*$D$12</f>
        <v>3</v>
      </c>
      <c r="X101" s="70"/>
      <c r="Y101" s="80" t="s">
        <v>1263</v>
      </c>
      <c r="Z101" s="79">
        <f t="shared" ca="1" si="95"/>
        <v>3</v>
      </c>
      <c r="AA101" s="70"/>
      <c r="AB101" s="80" t="s">
        <v>1263</v>
      </c>
      <c r="AC101" s="79">
        <f t="shared" ca="1" si="95"/>
        <v>3</v>
      </c>
      <c r="AD101" s="70"/>
      <c r="AE101" s="80" t="s">
        <v>1833</v>
      </c>
      <c r="AF101" s="79">
        <f t="shared" ca="1" si="95"/>
        <v>0</v>
      </c>
      <c r="AG101" s="70"/>
      <c r="AH101" s="70"/>
    </row>
    <row r="102" spans="1:34" x14ac:dyDescent="0.2">
      <c r="A102" s="55"/>
      <c r="B102" s="55"/>
      <c r="C102" s="55"/>
      <c r="D102" s="55"/>
      <c r="E102" s="117"/>
      <c r="F102" s="133">
        <f t="shared" ref="F102" si="96">$D$13</f>
        <v>2</v>
      </c>
      <c r="G102" s="453">
        <f ca="1">VLOOKUP(H102,Equipos!$Q$1:$R$25,2,0)</f>
        <v>16</v>
      </c>
      <c r="H102" s="454">
        <f ca="1">$H$64</f>
        <v>46199</v>
      </c>
      <c r="I102" s="56"/>
      <c r="J102" s="853"/>
      <c r="K102" s="62" t="str">
        <f>Idiomas!D172</f>
        <v>3º GRUPO F</v>
      </c>
      <c r="L102" s="59"/>
      <c r="M102" s="61" t="str">
        <f ca="1">IF(OR(SUM(WORLDCUP!$AN$46:$AN$49)=12,WORLDCUP!$AJ$99=144),WORLDCUP!AL48,LEFT(K102,1)&amp;RIGHT(K102,1))</f>
        <v>Suecia</v>
      </c>
      <c r="N102" s="25"/>
      <c r="O102" s="25"/>
      <c r="P102" s="25"/>
      <c r="Q102" s="25"/>
      <c r="R102" s="116"/>
      <c r="S102" s="80" t="s">
        <v>1322</v>
      </c>
      <c r="T102" s="79">
        <f t="shared" ref="T102" ca="1" si="97">($M102=S102)*$D$13</f>
        <v>0</v>
      </c>
      <c r="U102" s="70"/>
      <c r="V102" s="80" t="s">
        <v>1833</v>
      </c>
      <c r="W102" s="79">
        <f t="shared" ref="W102:AF102" ca="1" si="98">($M102=V102)*$D$13</f>
        <v>2</v>
      </c>
      <c r="X102" s="70"/>
      <c r="Y102" s="80" t="s">
        <v>1322</v>
      </c>
      <c r="Z102" s="79">
        <f t="shared" ca="1" si="98"/>
        <v>0</v>
      </c>
      <c r="AA102" s="70"/>
      <c r="AB102" s="80" t="s">
        <v>1833</v>
      </c>
      <c r="AC102" s="79">
        <f t="shared" ca="1" si="98"/>
        <v>2</v>
      </c>
      <c r="AD102" s="70"/>
      <c r="AE102" s="80" t="s">
        <v>1263</v>
      </c>
      <c r="AF102" s="79">
        <f t="shared" ca="1" si="98"/>
        <v>0</v>
      </c>
      <c r="AG102" s="70"/>
      <c r="AH102" s="70"/>
    </row>
    <row r="103" spans="1:34" x14ac:dyDescent="0.2">
      <c r="A103" s="55"/>
      <c r="B103" s="55"/>
      <c r="C103" s="55"/>
      <c r="D103" s="55"/>
      <c r="E103" s="117"/>
      <c r="F103" s="133">
        <f t="shared" ref="F103" si="99">$D$14</f>
        <v>1</v>
      </c>
      <c r="G103" s="453">
        <f ca="1">VLOOKUP(H103,Equipos!$Q$1:$R$25,2,0)</f>
        <v>16</v>
      </c>
      <c r="H103" s="454">
        <f ca="1">$H$64</f>
        <v>46199</v>
      </c>
      <c r="I103" s="56"/>
      <c r="J103" s="853"/>
      <c r="K103" s="62" t="str">
        <f>Idiomas!D173</f>
        <v>4º GRUPO F</v>
      </c>
      <c r="L103" s="59"/>
      <c r="M103" s="61" t="str">
        <f ca="1">IF(OR(SUM(WORLDCUP!$AN$46:$AN$49)=12,WORLDCUP!$AJ$99=144),WORLDCUP!AL49,LEFT(K103,1)&amp;RIGHT(K103,1))</f>
        <v>Túnez</v>
      </c>
      <c r="N103" s="25"/>
      <c r="O103" s="25"/>
      <c r="P103" s="25"/>
      <c r="Q103" s="25"/>
      <c r="R103" s="116"/>
      <c r="S103" s="80" t="s">
        <v>1833</v>
      </c>
      <c r="T103" s="79">
        <f t="shared" ref="T103" ca="1" si="100">($M103=S103)*$D$14</f>
        <v>0</v>
      </c>
      <c r="U103" s="70"/>
      <c r="V103" s="80" t="s">
        <v>1322</v>
      </c>
      <c r="W103" s="79">
        <f t="shared" ref="W103:AF103" ca="1" si="101">($M103=V103)*$D$14</f>
        <v>1</v>
      </c>
      <c r="X103" s="70"/>
      <c r="Y103" s="80" t="s">
        <v>1833</v>
      </c>
      <c r="Z103" s="79">
        <f t="shared" ca="1" si="101"/>
        <v>0</v>
      </c>
      <c r="AA103" s="70"/>
      <c r="AB103" s="80" t="s">
        <v>1322</v>
      </c>
      <c r="AC103" s="79">
        <f t="shared" ca="1" si="101"/>
        <v>1</v>
      </c>
      <c r="AD103" s="70"/>
      <c r="AE103" s="80" t="s">
        <v>1322</v>
      </c>
      <c r="AF103" s="79">
        <f t="shared" ca="1" si="101"/>
        <v>1</v>
      </c>
      <c r="AG103" s="70"/>
      <c r="AH103" s="70"/>
    </row>
    <row r="104" spans="1:34" x14ac:dyDescent="0.2">
      <c r="A104" s="55"/>
      <c r="B104" s="55"/>
      <c r="C104" s="55"/>
      <c r="D104" s="55"/>
      <c r="E104" s="117"/>
      <c r="F104" s="133">
        <f t="shared" ref="F104" si="102">$D$11</f>
        <v>4</v>
      </c>
      <c r="G104" s="453">
        <f ca="1">VLOOKUP(H104,Equipos!$Q$1:$R$25,2,0)</f>
        <v>17</v>
      </c>
      <c r="H104" s="454">
        <f ca="1">$H$66</f>
        <v>46200</v>
      </c>
      <c r="I104" s="56"/>
      <c r="J104" s="854" t="s">
        <v>6</v>
      </c>
      <c r="K104" s="62" t="str">
        <f>Idiomas!D174</f>
        <v>1º GRUPO G</v>
      </c>
      <c r="L104" s="59"/>
      <c r="M104" s="61" t="str">
        <f ca="1">IF(OR(SUM(WORLDCUP!$AN$54:$AN$57)=12,WORLDCUP!$AJ$99=144),WORLDCUP!AL54,LEFT(K104,1)&amp;RIGHT(K104,1))</f>
        <v>Bélgica</v>
      </c>
      <c r="N104" s="25"/>
      <c r="O104" s="25"/>
      <c r="P104" s="25"/>
      <c r="Q104" s="25"/>
      <c r="R104" s="116"/>
      <c r="S104" s="80" t="s">
        <v>110</v>
      </c>
      <c r="T104" s="79">
        <f t="shared" ref="T104" ca="1" si="103">($M104=S104)*$D$11</f>
        <v>4</v>
      </c>
      <c r="U104" s="70"/>
      <c r="V104" s="80" t="s">
        <v>110</v>
      </c>
      <c r="W104" s="79">
        <f t="shared" ref="W104:AF104" ca="1" si="104">($M104=V104)*$D$11</f>
        <v>4</v>
      </c>
      <c r="X104" s="70"/>
      <c r="Y104" s="80" t="s">
        <v>110</v>
      </c>
      <c r="Z104" s="79">
        <f t="shared" ca="1" si="104"/>
        <v>4</v>
      </c>
      <c r="AA104" s="70"/>
      <c r="AB104" s="80" t="s">
        <v>110</v>
      </c>
      <c r="AC104" s="79">
        <f t="shared" ca="1" si="104"/>
        <v>4</v>
      </c>
      <c r="AD104" s="70"/>
      <c r="AE104" s="80" t="s">
        <v>110</v>
      </c>
      <c r="AF104" s="79">
        <f t="shared" ca="1" si="104"/>
        <v>4</v>
      </c>
      <c r="AG104" s="70"/>
      <c r="AH104" s="70"/>
    </row>
    <row r="105" spans="1:34" x14ac:dyDescent="0.2">
      <c r="A105" s="55"/>
      <c r="B105" s="55"/>
      <c r="C105" s="55"/>
      <c r="D105" s="55"/>
      <c r="E105" s="117"/>
      <c r="F105" s="133">
        <f t="shared" ref="F105" si="105">$D$12</f>
        <v>3</v>
      </c>
      <c r="G105" s="453">
        <f ca="1">VLOOKUP(H105,Equipos!$Q$1:$R$25,2,0)</f>
        <v>17</v>
      </c>
      <c r="H105" s="454">
        <f ca="1">$H$66</f>
        <v>46200</v>
      </c>
      <c r="I105" s="56"/>
      <c r="J105" s="854"/>
      <c r="K105" s="62" t="str">
        <f>Idiomas!D175</f>
        <v>2º GRUPO G</v>
      </c>
      <c r="L105" s="59"/>
      <c r="M105" s="61" t="str">
        <f ca="1">IF(OR(SUM(WORLDCUP!$AN$54:$AN$57)=12,WORLDCUP!$AJ$99=144),WORLDCUP!AL55,LEFT(K105,1)&amp;RIGHT(K105,1))</f>
        <v>Egipto</v>
      </c>
      <c r="N105" s="25"/>
      <c r="O105" s="25"/>
      <c r="P105" s="25"/>
      <c r="Q105" s="25"/>
      <c r="R105" s="116"/>
      <c r="S105" s="80" t="s">
        <v>1550</v>
      </c>
      <c r="T105" s="79">
        <f t="shared" ref="T105" ca="1" si="106">($M105=S105)*$D$12</f>
        <v>3</v>
      </c>
      <c r="U105" s="70"/>
      <c r="V105" s="80" t="s">
        <v>1550</v>
      </c>
      <c r="W105" s="79">
        <f t="shared" ref="W105:AF105" ca="1" si="107">($M105=V105)*$D$12</f>
        <v>3</v>
      </c>
      <c r="X105" s="70"/>
      <c r="Y105" s="80" t="s">
        <v>1550</v>
      </c>
      <c r="Z105" s="79">
        <f t="shared" ca="1" si="107"/>
        <v>3</v>
      </c>
      <c r="AA105" s="70"/>
      <c r="AB105" s="80" t="s">
        <v>1550</v>
      </c>
      <c r="AC105" s="79">
        <f t="shared" ca="1" si="107"/>
        <v>3</v>
      </c>
      <c r="AD105" s="70"/>
      <c r="AE105" s="80" t="s">
        <v>1262</v>
      </c>
      <c r="AF105" s="79">
        <f t="shared" ca="1" si="107"/>
        <v>0</v>
      </c>
      <c r="AG105" s="70"/>
      <c r="AH105" s="70"/>
    </row>
    <row r="106" spans="1:34" x14ac:dyDescent="0.2">
      <c r="A106" s="55"/>
      <c r="B106" s="55"/>
      <c r="C106" s="55"/>
      <c r="D106" s="55"/>
      <c r="E106" s="117"/>
      <c r="F106" s="133">
        <f t="shared" ref="F106" si="108">$D$13</f>
        <v>2</v>
      </c>
      <c r="G106" s="453">
        <f ca="1">VLOOKUP(H106,Equipos!$Q$1:$R$25,2,0)</f>
        <v>17</v>
      </c>
      <c r="H106" s="454">
        <f ca="1">$H$66</f>
        <v>46200</v>
      </c>
      <c r="I106" s="56"/>
      <c r="J106" s="854"/>
      <c r="K106" s="62" t="str">
        <f>Idiomas!D176</f>
        <v>3º GRUPO G</v>
      </c>
      <c r="L106" s="59"/>
      <c r="M106" s="61" t="str">
        <f ca="1">IF(OR(SUM(WORLDCUP!$AN$54:$AN$57)=12,WORLDCUP!$AJ$99=144),WORLDCUP!AL56,LEFT(K106,1)&amp;RIGHT(K106,1))</f>
        <v>Irán</v>
      </c>
      <c r="N106" s="25"/>
      <c r="O106" s="25"/>
      <c r="P106" s="25"/>
      <c r="Q106" s="25"/>
      <c r="R106" s="116"/>
      <c r="S106" s="80" t="s">
        <v>1262</v>
      </c>
      <c r="T106" s="79">
        <f t="shared" ref="T106" ca="1" si="109">($M106=S106)*$D$13</f>
        <v>2</v>
      </c>
      <c r="U106" s="70"/>
      <c r="V106" s="80" t="s">
        <v>1262</v>
      </c>
      <c r="W106" s="79">
        <f t="shared" ref="W106:AF106" ca="1" si="110">($M106=V106)*$D$13</f>
        <v>2</v>
      </c>
      <c r="X106" s="70"/>
      <c r="Y106" s="80" t="s">
        <v>1262</v>
      </c>
      <c r="Z106" s="79">
        <f t="shared" ca="1" si="110"/>
        <v>2</v>
      </c>
      <c r="AA106" s="70"/>
      <c r="AB106" s="80" t="s">
        <v>1262</v>
      </c>
      <c r="AC106" s="79">
        <f t="shared" ca="1" si="110"/>
        <v>2</v>
      </c>
      <c r="AD106" s="70"/>
      <c r="AE106" s="80" t="s">
        <v>1550</v>
      </c>
      <c r="AF106" s="79">
        <f t="shared" ca="1" si="110"/>
        <v>0</v>
      </c>
      <c r="AG106" s="70"/>
      <c r="AH106" s="70"/>
    </row>
    <row r="107" spans="1:34" x14ac:dyDescent="0.2">
      <c r="A107" s="55"/>
      <c r="B107" s="55"/>
      <c r="C107" s="55"/>
      <c r="D107" s="55"/>
      <c r="E107" s="117"/>
      <c r="F107" s="133">
        <f t="shared" ref="F107" si="111">$D$14</f>
        <v>1</v>
      </c>
      <c r="G107" s="453">
        <f ca="1">VLOOKUP(H107,Equipos!$Q$1:$R$25,2,0)</f>
        <v>17</v>
      </c>
      <c r="H107" s="454">
        <f ca="1">$H$66</f>
        <v>46200</v>
      </c>
      <c r="I107" s="56"/>
      <c r="J107" s="854"/>
      <c r="K107" s="62" t="str">
        <f>Idiomas!D177</f>
        <v>4º GRUPO G</v>
      </c>
      <c r="L107" s="59"/>
      <c r="M107" s="61" t="str">
        <f ca="1">IF(OR(SUM(WORLDCUP!$AN$54:$AN$57)=12,WORLDCUP!$AJ$99=144),WORLDCUP!AL57,LEFT(K107,1)&amp;RIGHT(K107,1))</f>
        <v>Nueva Zelanda</v>
      </c>
      <c r="N107" s="25"/>
      <c r="O107" s="25"/>
      <c r="P107" s="25"/>
      <c r="Q107" s="25"/>
      <c r="R107" s="116"/>
      <c r="S107" s="80" t="s">
        <v>1266</v>
      </c>
      <c r="T107" s="79">
        <f t="shared" ref="T107" ca="1" si="112">($M107=S107)*$D$14</f>
        <v>1</v>
      </c>
      <c r="U107" s="70"/>
      <c r="V107" s="80" t="s">
        <v>1266</v>
      </c>
      <c r="W107" s="79">
        <f t="shared" ref="W107:AF107" ca="1" si="113">($M107=V107)*$D$14</f>
        <v>1</v>
      </c>
      <c r="X107" s="70"/>
      <c r="Y107" s="80" t="s">
        <v>1266</v>
      </c>
      <c r="Z107" s="79">
        <f t="shared" ca="1" si="113"/>
        <v>1</v>
      </c>
      <c r="AA107" s="70"/>
      <c r="AB107" s="80" t="s">
        <v>1266</v>
      </c>
      <c r="AC107" s="79">
        <f t="shared" ca="1" si="113"/>
        <v>1</v>
      </c>
      <c r="AD107" s="70"/>
      <c r="AE107" s="80" t="s">
        <v>1266</v>
      </c>
      <c r="AF107" s="79">
        <f t="shared" ca="1" si="113"/>
        <v>1</v>
      </c>
      <c r="AG107" s="70"/>
      <c r="AH107" s="70"/>
    </row>
    <row r="108" spans="1:34" x14ac:dyDescent="0.2">
      <c r="A108" s="55"/>
      <c r="B108" s="55"/>
      <c r="C108" s="55"/>
      <c r="D108" s="55"/>
      <c r="E108" s="117"/>
      <c r="F108" s="133">
        <f t="shared" ref="F108" si="114">$D$11</f>
        <v>4</v>
      </c>
      <c r="G108" s="453">
        <f ca="1">VLOOKUP(H108,Equipos!$Q$1:$R$25,2,0)</f>
        <v>17</v>
      </c>
      <c r="H108" s="454">
        <f ca="1">$H$68</f>
        <v>46200</v>
      </c>
      <c r="I108" s="56"/>
      <c r="J108" s="853" t="s">
        <v>437</v>
      </c>
      <c r="K108" s="62" t="str">
        <f>Idiomas!D178</f>
        <v>1º GRUPO H</v>
      </c>
      <c r="L108" s="59"/>
      <c r="M108" s="61" t="str">
        <f ca="1">IF(OR(SUM(WORLDCUP!$AN$62:$AN$65)=12,WORLDCUP!$AJ$99=144),WORLDCUP!AL62,LEFT(K108,1)&amp;RIGHT(K108,1))</f>
        <v>España</v>
      </c>
      <c r="N108" s="25"/>
      <c r="O108" s="25"/>
      <c r="P108" s="25"/>
      <c r="Q108" s="25"/>
      <c r="R108" s="116"/>
      <c r="S108" s="80" t="s">
        <v>38</v>
      </c>
      <c r="T108" s="79">
        <f t="shared" ref="T108" ca="1" si="115">($M108=S108)*$D$11</f>
        <v>4</v>
      </c>
      <c r="U108" s="70"/>
      <c r="V108" s="80" t="s">
        <v>38</v>
      </c>
      <c r="W108" s="79">
        <f t="shared" ref="W108:AF108" ca="1" si="116">($M108=V108)*$D$11</f>
        <v>4</v>
      </c>
      <c r="X108" s="70"/>
      <c r="Y108" s="80" t="s">
        <v>1318</v>
      </c>
      <c r="Z108" s="79">
        <f t="shared" ca="1" si="116"/>
        <v>0</v>
      </c>
      <c r="AA108" s="70"/>
      <c r="AB108" s="80" t="s">
        <v>38</v>
      </c>
      <c r="AC108" s="79">
        <f t="shared" ca="1" si="116"/>
        <v>4</v>
      </c>
      <c r="AD108" s="70"/>
      <c r="AE108" s="80" t="s">
        <v>38</v>
      </c>
      <c r="AF108" s="79">
        <f t="shared" ca="1" si="116"/>
        <v>4</v>
      </c>
      <c r="AG108" s="70"/>
      <c r="AH108" s="70"/>
    </row>
    <row r="109" spans="1:34" x14ac:dyDescent="0.2">
      <c r="A109" s="55"/>
      <c r="B109" s="55"/>
      <c r="C109" s="55"/>
      <c r="D109" s="55"/>
      <c r="E109" s="117"/>
      <c r="F109" s="133">
        <f t="shared" ref="F109" si="117">$D$12</f>
        <v>3</v>
      </c>
      <c r="G109" s="453">
        <f ca="1">VLOOKUP(H109,Equipos!$Q$1:$R$25,2,0)</f>
        <v>17</v>
      </c>
      <c r="H109" s="454">
        <f ca="1">$H$68</f>
        <v>46200</v>
      </c>
      <c r="I109" s="56"/>
      <c r="J109" s="853"/>
      <c r="K109" s="62" t="str">
        <f>Idiomas!D179</f>
        <v>2º GRUPO H</v>
      </c>
      <c r="L109" s="59"/>
      <c r="M109" s="61" t="str">
        <f ca="1">IF(OR(SUM(WORLDCUP!$AN$62:$AN$65)=12,WORLDCUP!$AJ$99=144),WORLDCUP!AL63,LEFT(K109,1)&amp;RIGHT(K109,1))</f>
        <v>Cabo Verde</v>
      </c>
      <c r="N109" s="25"/>
      <c r="O109" s="25"/>
      <c r="P109" s="25"/>
      <c r="Q109" s="25"/>
      <c r="R109" s="116"/>
      <c r="S109" s="80" t="s">
        <v>1318</v>
      </c>
      <c r="T109" s="79">
        <f t="shared" ref="T109" ca="1" si="118">($M109=S109)*$D$12</f>
        <v>0</v>
      </c>
      <c r="U109" s="70"/>
      <c r="V109" s="80" t="s">
        <v>1318</v>
      </c>
      <c r="W109" s="79">
        <f t="shared" ref="W109:AF109" ca="1" si="119">($M109=V109)*$D$12</f>
        <v>0</v>
      </c>
      <c r="X109" s="70"/>
      <c r="Y109" s="80" t="s">
        <v>38</v>
      </c>
      <c r="Z109" s="79">
        <f t="shared" ca="1" si="119"/>
        <v>0</v>
      </c>
      <c r="AA109" s="70"/>
      <c r="AB109" s="80" t="s">
        <v>1318</v>
      </c>
      <c r="AC109" s="79">
        <f t="shared" ca="1" si="119"/>
        <v>0</v>
      </c>
      <c r="AD109" s="70"/>
      <c r="AE109" s="80" t="s">
        <v>1318</v>
      </c>
      <c r="AF109" s="79">
        <f t="shared" ca="1" si="119"/>
        <v>0</v>
      </c>
      <c r="AG109" s="70"/>
      <c r="AH109" s="70"/>
    </row>
    <row r="110" spans="1:34" x14ac:dyDescent="0.2">
      <c r="A110" s="55"/>
      <c r="B110" s="55"/>
      <c r="C110" s="55"/>
      <c r="D110" s="55"/>
      <c r="E110" s="117"/>
      <c r="F110" s="133">
        <f t="shared" ref="F110" si="120">$D$13</f>
        <v>2</v>
      </c>
      <c r="G110" s="453">
        <f ca="1">VLOOKUP(H110,Equipos!$Q$1:$R$25,2,0)</f>
        <v>17</v>
      </c>
      <c r="H110" s="454">
        <f ca="1">$H$68</f>
        <v>46200</v>
      </c>
      <c r="I110" s="56"/>
      <c r="J110" s="853"/>
      <c r="K110" s="62" t="str">
        <f>Idiomas!D180</f>
        <v>3º GRUPO H</v>
      </c>
      <c r="L110" s="59"/>
      <c r="M110" s="61" t="str">
        <f ca="1">IF(OR(SUM(WORLDCUP!$AN$62:$AN$65)=12,WORLDCUP!$AJ$99=144),WORLDCUP!AL64,LEFT(K110,1)&amp;RIGHT(K110,1))</f>
        <v>Uruguay</v>
      </c>
      <c r="N110" s="25"/>
      <c r="O110" s="25"/>
      <c r="P110" s="25"/>
      <c r="Q110" s="25"/>
      <c r="R110" s="116"/>
      <c r="S110" s="80" t="s">
        <v>1632</v>
      </c>
      <c r="T110" s="79">
        <f t="shared" ref="T110" ca="1" si="121">($M110=S110)*$D$13</f>
        <v>0</v>
      </c>
      <c r="U110" s="70"/>
      <c r="V110" s="80" t="s">
        <v>1632</v>
      </c>
      <c r="W110" s="79">
        <f t="shared" ref="W110:AF110" ca="1" si="122">($M110=V110)*$D$13</f>
        <v>0</v>
      </c>
      <c r="X110" s="70"/>
      <c r="Y110" s="80" t="s">
        <v>1632</v>
      </c>
      <c r="Z110" s="79">
        <f t="shared" ca="1" si="122"/>
        <v>0</v>
      </c>
      <c r="AA110" s="70"/>
      <c r="AB110" s="80" t="s">
        <v>1632</v>
      </c>
      <c r="AC110" s="79">
        <f t="shared" ca="1" si="122"/>
        <v>0</v>
      </c>
      <c r="AD110" s="70"/>
      <c r="AE110" s="80" t="s">
        <v>1632</v>
      </c>
      <c r="AF110" s="79">
        <f t="shared" ca="1" si="122"/>
        <v>0</v>
      </c>
      <c r="AG110" s="70"/>
      <c r="AH110" s="70"/>
    </row>
    <row r="111" spans="1:34" x14ac:dyDescent="0.2">
      <c r="A111" s="55"/>
      <c r="B111" s="55"/>
      <c r="C111" s="55"/>
      <c r="D111" s="55"/>
      <c r="E111" s="71"/>
      <c r="F111" s="133">
        <f t="shared" ref="F111" si="123">$D$14</f>
        <v>1</v>
      </c>
      <c r="G111" s="453">
        <f ca="1">VLOOKUP(H111,Equipos!$Q$1:$R$25,2,0)</f>
        <v>17</v>
      </c>
      <c r="H111" s="454">
        <f ca="1">$H$68</f>
        <v>46200</v>
      </c>
      <c r="I111" s="56"/>
      <c r="J111" s="853"/>
      <c r="K111" s="62" t="str">
        <f>Idiomas!D181</f>
        <v>4º GRUPO H</v>
      </c>
      <c r="L111" s="59"/>
      <c r="M111" s="61" t="str">
        <f ca="1">IF(OR(SUM(WORLDCUP!$AN$62:$AN$65)=12,WORLDCUP!$AJ$99=144),WORLDCUP!AL65,LEFT(K111,1)&amp;RIGHT(K111,1))</f>
        <v>Arabia Saudita</v>
      </c>
      <c r="N111" s="25"/>
      <c r="O111" s="25"/>
      <c r="P111" s="25"/>
      <c r="Q111" s="25"/>
      <c r="R111" s="116"/>
      <c r="S111" s="80" t="s">
        <v>1552</v>
      </c>
      <c r="T111" s="79">
        <f t="shared" ref="T111" ca="1" si="124">($M111=S111)*$D$14</f>
        <v>0</v>
      </c>
      <c r="U111" s="70"/>
      <c r="V111" s="80" t="s">
        <v>1552</v>
      </c>
      <c r="W111" s="79">
        <f t="shared" ref="W111:AF111" ca="1" si="125">($M111=V111)*$D$14</f>
        <v>0</v>
      </c>
      <c r="X111" s="70"/>
      <c r="Y111" s="80" t="s">
        <v>1552</v>
      </c>
      <c r="Z111" s="79">
        <f t="shared" ca="1" si="125"/>
        <v>0</v>
      </c>
      <c r="AA111" s="70"/>
      <c r="AB111" s="80" t="s">
        <v>1552</v>
      </c>
      <c r="AC111" s="79">
        <f t="shared" ca="1" si="125"/>
        <v>0</v>
      </c>
      <c r="AD111" s="70"/>
      <c r="AE111" s="80" t="s">
        <v>1552</v>
      </c>
      <c r="AF111" s="79">
        <f t="shared" ca="1" si="125"/>
        <v>0</v>
      </c>
      <c r="AG111" s="70"/>
      <c r="AH111" s="70"/>
    </row>
    <row r="112" spans="1:34" x14ac:dyDescent="0.2">
      <c r="A112" s="55"/>
      <c r="B112" s="55"/>
      <c r="C112" s="55"/>
      <c r="D112" s="55"/>
      <c r="E112" s="71"/>
      <c r="F112" s="133">
        <f t="shared" ref="F112" si="126">$D$11</f>
        <v>4</v>
      </c>
      <c r="G112" s="453">
        <f ca="1">VLOOKUP(H112,Equipos!$Q$1:$R$25,2,0)</f>
        <v>16</v>
      </c>
      <c r="H112" s="454">
        <f ca="1">$H$70</f>
        <v>46199</v>
      </c>
      <c r="I112" s="56"/>
      <c r="J112" s="854" t="s">
        <v>438</v>
      </c>
      <c r="K112" s="62" t="str">
        <f>Idiomas!D182</f>
        <v>1º GRUPO I</v>
      </c>
      <c r="L112" s="59"/>
      <c r="M112" s="61" t="str">
        <f ca="1">IF(OR(SUM(WORLDCUP!$AN$70:$AN$73)=12,WORLDCUP!$AJ$99=144),WORLDCUP!AL70,LEFT(K112,1)&amp;RIGHT(K112,1))</f>
        <v>Francia</v>
      </c>
      <c r="N112" s="25"/>
      <c r="O112" s="25"/>
      <c r="P112" s="25"/>
      <c r="Q112" s="25"/>
      <c r="R112" s="116"/>
      <c r="S112" s="80" t="s">
        <v>74</v>
      </c>
      <c r="T112" s="79">
        <f t="shared" ref="T112" ca="1" si="127">($M112=S112)*$D$11</f>
        <v>4</v>
      </c>
      <c r="U112" s="70"/>
      <c r="V112" s="80" t="s">
        <v>74</v>
      </c>
      <c r="W112" s="79">
        <f t="shared" ref="W112:AF112" ca="1" si="128">($M112=V112)*$D$11</f>
        <v>4</v>
      </c>
      <c r="X112" s="70"/>
      <c r="Y112" s="80" t="s">
        <v>74</v>
      </c>
      <c r="Z112" s="79">
        <f t="shared" ca="1" si="128"/>
        <v>4</v>
      </c>
      <c r="AA112" s="70"/>
      <c r="AB112" s="80" t="s">
        <v>74</v>
      </c>
      <c r="AC112" s="79">
        <f t="shared" ca="1" si="128"/>
        <v>4</v>
      </c>
      <c r="AD112" s="70"/>
      <c r="AE112" s="80" t="s">
        <v>74</v>
      </c>
      <c r="AF112" s="79">
        <f t="shared" ca="1" si="128"/>
        <v>4</v>
      </c>
      <c r="AG112" s="70"/>
      <c r="AH112" s="70"/>
    </row>
    <row r="113" spans="1:34" x14ac:dyDescent="0.2">
      <c r="A113" s="55"/>
      <c r="B113" s="55"/>
      <c r="C113" s="55"/>
      <c r="D113" s="55"/>
      <c r="E113" s="71"/>
      <c r="F113" s="133">
        <f t="shared" ref="F113" si="129">$D$12</f>
        <v>3</v>
      </c>
      <c r="G113" s="453">
        <f ca="1">VLOOKUP(H113,Equipos!$Q$1:$R$25,2,0)</f>
        <v>16</v>
      </c>
      <c r="H113" s="454">
        <f ca="1">$H$70</f>
        <v>46199</v>
      </c>
      <c r="I113" s="56"/>
      <c r="J113" s="854"/>
      <c r="K113" s="62" t="str">
        <f>Idiomas!D183</f>
        <v>2º GRUPO I</v>
      </c>
      <c r="L113" s="59"/>
      <c r="M113" s="61" t="str">
        <f ca="1">IF(OR(SUM(WORLDCUP!$AN$70:$AN$73)=12,WORLDCUP!$AJ$99=144),WORLDCUP!AL71,LEFT(K113,1)&amp;RIGHT(K113,1))</f>
        <v>Noruega</v>
      </c>
      <c r="N113" s="25"/>
      <c r="O113" s="25"/>
      <c r="P113" s="25"/>
      <c r="Q113" s="25"/>
      <c r="R113" s="116"/>
      <c r="S113" s="80" t="s">
        <v>135</v>
      </c>
      <c r="T113" s="79">
        <f t="shared" ref="T113" ca="1" si="130">($M113=S113)*$D$12</f>
        <v>3</v>
      </c>
      <c r="U113" s="70"/>
      <c r="V113" s="80" t="s">
        <v>135</v>
      </c>
      <c r="W113" s="79">
        <f t="shared" ref="W113:AF113" ca="1" si="131">($M113=V113)*$D$12</f>
        <v>3</v>
      </c>
      <c r="X113" s="70"/>
      <c r="Y113" s="80" t="s">
        <v>135</v>
      </c>
      <c r="Z113" s="79">
        <f t="shared" ca="1" si="131"/>
        <v>3</v>
      </c>
      <c r="AA113" s="70"/>
      <c r="AB113" s="80" t="s">
        <v>1634</v>
      </c>
      <c r="AC113" s="79">
        <f t="shared" ca="1" si="131"/>
        <v>0</v>
      </c>
      <c r="AD113" s="70"/>
      <c r="AE113" s="80" t="s">
        <v>135</v>
      </c>
      <c r="AF113" s="79">
        <f t="shared" ca="1" si="131"/>
        <v>3</v>
      </c>
      <c r="AG113" s="70"/>
      <c r="AH113" s="70"/>
    </row>
    <row r="114" spans="1:34" x14ac:dyDescent="0.2">
      <c r="A114" s="55"/>
      <c r="B114" s="55"/>
      <c r="C114" s="55"/>
      <c r="D114" s="55"/>
      <c r="E114" s="71"/>
      <c r="F114" s="133">
        <f t="shared" ref="F114" si="132">$D$13</f>
        <v>2</v>
      </c>
      <c r="G114" s="453">
        <f ca="1">VLOOKUP(H114,Equipos!$Q$1:$R$25,2,0)</f>
        <v>16</v>
      </c>
      <c r="H114" s="454">
        <f ca="1">$H$70</f>
        <v>46199</v>
      </c>
      <c r="I114" s="56"/>
      <c r="J114" s="854"/>
      <c r="K114" s="62" t="str">
        <f>Idiomas!D184</f>
        <v>3º GRUPO I</v>
      </c>
      <c r="L114" s="59"/>
      <c r="M114" s="61" t="str">
        <f ca="1">IF(OR(SUM(WORLDCUP!$AN$70:$AN$73)=12,WORLDCUP!$AJ$99=144),WORLDCUP!AL72,LEFT(K114,1)&amp;RIGHT(K114,1))</f>
        <v>Senegal</v>
      </c>
      <c r="N114" s="25"/>
      <c r="O114" s="25"/>
      <c r="P114" s="25"/>
      <c r="Q114" s="25"/>
      <c r="R114" s="116"/>
      <c r="S114" s="80" t="s">
        <v>1634</v>
      </c>
      <c r="T114" s="79">
        <f t="shared" ref="T114" ca="1" si="133">($M114=S114)*$D$13</f>
        <v>2</v>
      </c>
      <c r="U114" s="70"/>
      <c r="V114" s="80" t="s">
        <v>1634</v>
      </c>
      <c r="W114" s="79">
        <f t="shared" ref="W114:AF114" ca="1" si="134">($M114=V114)*$D$13</f>
        <v>2</v>
      </c>
      <c r="X114" s="70"/>
      <c r="Y114" s="80" t="s">
        <v>1634</v>
      </c>
      <c r="Z114" s="79">
        <f t="shared" ca="1" si="134"/>
        <v>2</v>
      </c>
      <c r="AA114" s="70"/>
      <c r="AB114" s="80" t="s">
        <v>135</v>
      </c>
      <c r="AC114" s="79">
        <f t="shared" ca="1" si="134"/>
        <v>0</v>
      </c>
      <c r="AD114" s="70"/>
      <c r="AE114" s="80" t="s">
        <v>1634</v>
      </c>
      <c r="AF114" s="79">
        <f t="shared" ca="1" si="134"/>
        <v>2</v>
      </c>
      <c r="AG114" s="70"/>
      <c r="AH114" s="70"/>
    </row>
    <row r="115" spans="1:34" x14ac:dyDescent="0.2">
      <c r="A115" s="55"/>
      <c r="B115" s="55"/>
      <c r="C115" s="55"/>
      <c r="D115" s="55"/>
      <c r="E115" s="71"/>
      <c r="F115" s="133">
        <f t="shared" ref="F115" si="135">$D$14</f>
        <v>1</v>
      </c>
      <c r="G115" s="453">
        <f ca="1">VLOOKUP(H115,Equipos!$Q$1:$R$25,2,0)</f>
        <v>16</v>
      </c>
      <c r="H115" s="454">
        <f ca="1">$H$70</f>
        <v>46199</v>
      </c>
      <c r="I115" s="56"/>
      <c r="J115" s="854"/>
      <c r="K115" s="62" t="str">
        <f>Idiomas!D185</f>
        <v>4º GRUPO I</v>
      </c>
      <c r="L115" s="59"/>
      <c r="M115" s="61" t="str">
        <f ca="1">IF(OR(SUM(WORLDCUP!$AN$70:$AN$73)=12,WORLDCUP!$AJ$99=144),WORLDCUP!AL73,LEFT(K115,1)&amp;RIGHT(K115,1))</f>
        <v>Irak</v>
      </c>
      <c r="N115" s="25"/>
      <c r="O115" s="25"/>
      <c r="P115" s="25"/>
      <c r="Q115" s="25"/>
      <c r="R115" s="116"/>
      <c r="S115" s="80" t="s">
        <v>1757</v>
      </c>
      <c r="T115" s="79">
        <f t="shared" ref="T115" ca="1" si="136">($M115=S115)*$D$14</f>
        <v>1</v>
      </c>
      <c r="U115" s="70"/>
      <c r="V115" s="80" t="s">
        <v>1757</v>
      </c>
      <c r="W115" s="79">
        <f t="shared" ref="W115:AF115" ca="1" si="137">($M115=V115)*$D$14</f>
        <v>1</v>
      </c>
      <c r="X115" s="70"/>
      <c r="Y115" s="80" t="s">
        <v>1757</v>
      </c>
      <c r="Z115" s="79">
        <f t="shared" ca="1" si="137"/>
        <v>1</v>
      </c>
      <c r="AA115" s="70"/>
      <c r="AB115" s="80" t="s">
        <v>1757</v>
      </c>
      <c r="AC115" s="79">
        <f t="shared" ca="1" si="137"/>
        <v>1</v>
      </c>
      <c r="AD115" s="70"/>
      <c r="AE115" s="80" t="s">
        <v>1757</v>
      </c>
      <c r="AF115" s="79">
        <f t="shared" ca="1" si="137"/>
        <v>1</v>
      </c>
      <c r="AG115" s="70"/>
      <c r="AH115" s="70"/>
    </row>
    <row r="116" spans="1:34" x14ac:dyDescent="0.2">
      <c r="A116" s="55"/>
      <c r="B116" s="55"/>
      <c r="C116" s="55"/>
      <c r="D116" s="55"/>
      <c r="E116" s="71"/>
      <c r="F116" s="133">
        <f t="shared" ref="F116" si="138">$D$11</f>
        <v>4</v>
      </c>
      <c r="G116" s="453">
        <f ca="1">VLOOKUP(H116,Equipos!$Q$1:$R$25,2,0)</f>
        <v>18</v>
      </c>
      <c r="H116" s="454">
        <f ca="1">$H$72</f>
        <v>46201</v>
      </c>
      <c r="I116" s="56"/>
      <c r="J116" s="853" t="s">
        <v>5</v>
      </c>
      <c r="K116" s="62" t="str">
        <f>Idiomas!D186</f>
        <v>1º GRUPO J</v>
      </c>
      <c r="L116" s="59"/>
      <c r="M116" s="61" t="str">
        <f ca="1">IF(OR(SUM(WORLDCUP!$AN$78:$AN$81)=12,WORLDCUP!$AJ$99=144),WORLDCUP!AL78,LEFT(K116,1)&amp;RIGHT(K116,1))</f>
        <v>Argentina</v>
      </c>
      <c r="N116" s="25"/>
      <c r="O116" s="25"/>
      <c r="P116" s="25"/>
      <c r="Q116" s="25"/>
      <c r="R116" s="116"/>
      <c r="S116" s="80" t="s">
        <v>1256</v>
      </c>
      <c r="T116" s="79">
        <f t="shared" ref="T116" ca="1" si="139">($M116=S116)*$D$11</f>
        <v>4</v>
      </c>
      <c r="U116" s="70"/>
      <c r="V116" s="80" t="s">
        <v>80</v>
      </c>
      <c r="W116" s="79">
        <f t="shared" ref="W116:AF116" ca="1" si="140">($M116=V116)*$D$11</f>
        <v>0</v>
      </c>
      <c r="X116" s="70"/>
      <c r="Y116" s="80" t="s">
        <v>1256</v>
      </c>
      <c r="Z116" s="79">
        <f t="shared" ca="1" si="140"/>
        <v>4</v>
      </c>
      <c r="AA116" s="70"/>
      <c r="AB116" s="80" t="s">
        <v>1256</v>
      </c>
      <c r="AC116" s="79">
        <f t="shared" ca="1" si="140"/>
        <v>4</v>
      </c>
      <c r="AD116" s="70"/>
      <c r="AE116" s="80" t="s">
        <v>1256</v>
      </c>
      <c r="AF116" s="79">
        <f t="shared" ca="1" si="140"/>
        <v>4</v>
      </c>
      <c r="AG116" s="70"/>
      <c r="AH116" s="70"/>
    </row>
    <row r="117" spans="1:34" x14ac:dyDescent="0.2">
      <c r="A117" s="55"/>
      <c r="B117" s="55"/>
      <c r="C117" s="55"/>
      <c r="D117" s="55"/>
      <c r="E117" s="71"/>
      <c r="F117" s="133">
        <f t="shared" ref="F117" si="141">$D$12</f>
        <v>3</v>
      </c>
      <c r="G117" s="453">
        <f ca="1">VLOOKUP(H117,Equipos!$Q$1:$R$25,2,0)</f>
        <v>18</v>
      </c>
      <c r="H117" s="454">
        <f ca="1">$H$72</f>
        <v>46201</v>
      </c>
      <c r="I117" s="56"/>
      <c r="J117" s="853"/>
      <c r="K117" s="62" t="str">
        <f>Idiomas!D187</f>
        <v>2º GRUPO J</v>
      </c>
      <c r="L117" s="59"/>
      <c r="M117" s="61" t="str">
        <f ca="1">IF(OR(SUM(WORLDCUP!$AN$78:$AN$81)=12,WORLDCUP!$AJ$99=144),WORLDCUP!AL79,LEFT(K117,1)&amp;RIGHT(K117,1))</f>
        <v>Austria</v>
      </c>
      <c r="N117" s="25"/>
      <c r="O117" s="25"/>
      <c r="P117" s="25"/>
      <c r="Q117" s="25"/>
      <c r="R117" s="116"/>
      <c r="S117" s="80" t="s">
        <v>80</v>
      </c>
      <c r="T117" s="79">
        <f t="shared" ref="T117" ca="1" si="142">($M117=S117)*$D$12</f>
        <v>3</v>
      </c>
      <c r="U117" s="70"/>
      <c r="V117" s="80" t="s">
        <v>1256</v>
      </c>
      <c r="W117" s="79">
        <f t="shared" ref="W117:AF117" ca="1" si="143">($M117=V117)*$D$12</f>
        <v>0</v>
      </c>
      <c r="X117" s="70"/>
      <c r="Y117" s="80" t="s">
        <v>1558</v>
      </c>
      <c r="Z117" s="79">
        <f t="shared" ca="1" si="143"/>
        <v>0</v>
      </c>
      <c r="AA117" s="70"/>
      <c r="AB117" s="80" t="s">
        <v>80</v>
      </c>
      <c r="AC117" s="79">
        <f t="shared" ca="1" si="143"/>
        <v>3</v>
      </c>
      <c r="AD117" s="70"/>
      <c r="AE117" s="80" t="s">
        <v>80</v>
      </c>
      <c r="AF117" s="79">
        <f t="shared" ca="1" si="143"/>
        <v>3</v>
      </c>
      <c r="AG117" s="70"/>
      <c r="AH117" s="70"/>
    </row>
    <row r="118" spans="1:34" x14ac:dyDescent="0.2">
      <c r="A118" s="55"/>
      <c r="B118" s="55"/>
      <c r="C118" s="55"/>
      <c r="D118" s="55"/>
      <c r="E118" s="71"/>
      <c r="F118" s="133">
        <f t="shared" ref="F118" si="144">$D$13</f>
        <v>2</v>
      </c>
      <c r="G118" s="453">
        <f ca="1">VLOOKUP(H118,Equipos!$Q$1:$R$25,2,0)</f>
        <v>18</v>
      </c>
      <c r="H118" s="454">
        <f ca="1">$H$72</f>
        <v>46201</v>
      </c>
      <c r="I118" s="56"/>
      <c r="J118" s="853"/>
      <c r="K118" s="62" t="str">
        <f>Idiomas!D188</f>
        <v>3º GRUPO J</v>
      </c>
      <c r="L118" s="59"/>
      <c r="M118" s="61" t="str">
        <f ca="1">IF(OR(SUM(WORLDCUP!$AN$78:$AN$81)=12,WORLDCUP!$AJ$99=144),WORLDCUP!AL80,LEFT(K118,1)&amp;RIGHT(K118,1))</f>
        <v>Argelia</v>
      </c>
      <c r="N118" s="25"/>
      <c r="O118" s="25"/>
      <c r="P118" s="25"/>
      <c r="Q118" s="25"/>
      <c r="R118" s="116"/>
      <c r="S118" s="80" t="s">
        <v>1558</v>
      </c>
      <c r="T118" s="79">
        <f t="shared" ref="T118" ca="1" si="145">($M118=S118)*$D$13</f>
        <v>2</v>
      </c>
      <c r="U118" s="70"/>
      <c r="V118" s="80" t="s">
        <v>1558</v>
      </c>
      <c r="W118" s="79">
        <f t="shared" ref="W118:AF118" ca="1" si="146">($M118=V118)*$D$13</f>
        <v>2</v>
      </c>
      <c r="X118" s="70"/>
      <c r="Y118" s="80" t="s">
        <v>80</v>
      </c>
      <c r="Z118" s="79">
        <f t="shared" ca="1" si="146"/>
        <v>0</v>
      </c>
      <c r="AA118" s="70"/>
      <c r="AB118" s="80" t="s">
        <v>1558</v>
      </c>
      <c r="AC118" s="79">
        <f t="shared" ca="1" si="146"/>
        <v>2</v>
      </c>
      <c r="AD118" s="70"/>
      <c r="AE118" s="80" t="s">
        <v>1558</v>
      </c>
      <c r="AF118" s="79">
        <f t="shared" ca="1" si="146"/>
        <v>2</v>
      </c>
      <c r="AG118" s="70"/>
      <c r="AH118" s="70"/>
    </row>
    <row r="119" spans="1:34" x14ac:dyDescent="0.2">
      <c r="A119" s="55"/>
      <c r="B119" s="55"/>
      <c r="C119" s="55"/>
      <c r="D119" s="55"/>
      <c r="E119" s="71"/>
      <c r="F119" s="133">
        <f t="shared" ref="F119" si="147">$D$14</f>
        <v>1</v>
      </c>
      <c r="G119" s="453">
        <f ca="1">VLOOKUP(H119,Equipos!$Q$1:$R$25,2,0)</f>
        <v>18</v>
      </c>
      <c r="H119" s="454">
        <f ca="1">$H$72</f>
        <v>46201</v>
      </c>
      <c r="I119" s="56"/>
      <c r="J119" s="853"/>
      <c r="K119" s="62" t="str">
        <f>Idiomas!D189</f>
        <v>4º GRUPO J</v>
      </c>
      <c r="L119" s="59"/>
      <c r="M119" s="61" t="str">
        <f ca="1">IF(OR(SUM(WORLDCUP!$AN$78:$AN$81)=12,WORLDCUP!$AJ$99=144),WORLDCUP!AL81,LEFT(K119,1)&amp;RIGHT(K119,1))</f>
        <v>Jordania</v>
      </c>
      <c r="N119" s="25"/>
      <c r="O119" s="25"/>
      <c r="P119" s="25"/>
      <c r="Q119" s="25"/>
      <c r="R119" s="116"/>
      <c r="S119" s="80" t="s">
        <v>1264</v>
      </c>
      <c r="T119" s="79">
        <f t="shared" ref="T119" ca="1" si="148">($M119=S119)*$D$14</f>
        <v>1</v>
      </c>
      <c r="U119" s="70"/>
      <c r="V119" s="80" t="s">
        <v>1264</v>
      </c>
      <c r="W119" s="79">
        <f t="shared" ref="W119:AF119" ca="1" si="149">($M119=V119)*$D$14</f>
        <v>1</v>
      </c>
      <c r="X119" s="70"/>
      <c r="Y119" s="80" t="s">
        <v>1264</v>
      </c>
      <c r="Z119" s="79">
        <f t="shared" ca="1" si="149"/>
        <v>1</v>
      </c>
      <c r="AA119" s="70"/>
      <c r="AB119" s="80" t="s">
        <v>1264</v>
      </c>
      <c r="AC119" s="79">
        <f t="shared" ca="1" si="149"/>
        <v>1</v>
      </c>
      <c r="AD119" s="70"/>
      <c r="AE119" s="80" t="s">
        <v>1264</v>
      </c>
      <c r="AF119" s="79">
        <f t="shared" ca="1" si="149"/>
        <v>1</v>
      </c>
      <c r="AG119" s="70"/>
      <c r="AH119" s="70"/>
    </row>
    <row r="120" spans="1:34" x14ac:dyDescent="0.2">
      <c r="A120" s="55"/>
      <c r="B120" s="55"/>
      <c r="C120" s="55"/>
      <c r="D120" s="55"/>
      <c r="E120" s="71"/>
      <c r="F120" s="133">
        <f t="shared" ref="F120" si="150">$D$11</f>
        <v>4</v>
      </c>
      <c r="G120" s="453">
        <f ca="1">VLOOKUP(H120,Equipos!$Q$1:$R$25,2,0)</f>
        <v>18</v>
      </c>
      <c r="H120" s="454">
        <f ca="1">$H$74</f>
        <v>46201</v>
      </c>
      <c r="I120" s="56"/>
      <c r="J120" s="854" t="s">
        <v>439</v>
      </c>
      <c r="K120" s="62" t="str">
        <f>Idiomas!D190</f>
        <v>1º GRUPO K</v>
      </c>
      <c r="L120" s="59"/>
      <c r="M120" s="61" t="str">
        <f ca="1">IF(OR(SUM(WORLDCUP!$AN$86:$AN$89)=12,WORLDCUP!$AJ$99=144),WORLDCUP!AL86,LEFT(K120,1)&amp;RIGHT(K120,1))</f>
        <v>Colombia</v>
      </c>
      <c r="N120" s="25"/>
      <c r="O120" s="25"/>
      <c r="P120" s="25"/>
      <c r="Q120" s="25"/>
      <c r="R120" s="116"/>
      <c r="S120" s="80" t="s">
        <v>1320</v>
      </c>
      <c r="T120" s="79">
        <f t="shared" ref="T120" ca="1" si="151">($M120=S120)*$D$11</f>
        <v>4</v>
      </c>
      <c r="U120" s="70"/>
      <c r="V120" s="80" t="s">
        <v>79</v>
      </c>
      <c r="W120" s="79">
        <f t="shared" ref="W120:AF120" ca="1" si="152">($M120=V120)*$D$11</f>
        <v>0</v>
      </c>
      <c r="X120" s="70"/>
      <c r="Y120" s="80" t="s">
        <v>1320</v>
      </c>
      <c r="Z120" s="79">
        <f t="shared" ca="1" si="152"/>
        <v>4</v>
      </c>
      <c r="AA120" s="70"/>
      <c r="AB120" s="80" t="s">
        <v>79</v>
      </c>
      <c r="AC120" s="79">
        <f t="shared" ca="1" si="152"/>
        <v>0</v>
      </c>
      <c r="AD120" s="70"/>
      <c r="AE120" s="80" t="s">
        <v>79</v>
      </c>
      <c r="AF120" s="79">
        <f t="shared" ca="1" si="152"/>
        <v>0</v>
      </c>
      <c r="AG120" s="70"/>
      <c r="AH120" s="70"/>
    </row>
    <row r="121" spans="1:34" x14ac:dyDescent="0.2">
      <c r="A121" s="55"/>
      <c r="B121" s="55"/>
      <c r="C121" s="55"/>
      <c r="D121" s="55"/>
      <c r="E121" s="71"/>
      <c r="F121" s="133">
        <f t="shared" ref="F121" si="153">$D$12</f>
        <v>3</v>
      </c>
      <c r="G121" s="453">
        <f ca="1">VLOOKUP(H121,Equipos!$Q$1:$R$25,2,0)</f>
        <v>18</v>
      </c>
      <c r="H121" s="454">
        <f ca="1">$H$74</f>
        <v>46201</v>
      </c>
      <c r="I121" s="56"/>
      <c r="J121" s="854"/>
      <c r="K121" s="62" t="str">
        <f>Idiomas!D191</f>
        <v>2º GRUPO K</v>
      </c>
      <c r="L121" s="59"/>
      <c r="M121" s="61" t="str">
        <f ca="1">IF(OR(SUM(WORLDCUP!$AN$86:$AN$89)=12,WORLDCUP!$AJ$99=144),WORLDCUP!AL87,LEFT(K121,1)&amp;RIGHT(K121,1))</f>
        <v>Portugal</v>
      </c>
      <c r="N121" s="25"/>
      <c r="O121" s="25"/>
      <c r="P121" s="25"/>
      <c r="Q121" s="25"/>
      <c r="R121" s="116"/>
      <c r="S121" s="80" t="s">
        <v>79</v>
      </c>
      <c r="T121" s="79">
        <f t="shared" ref="T121" ca="1" si="154">($M121=S121)*$D$12</f>
        <v>3</v>
      </c>
      <c r="U121" s="70"/>
      <c r="V121" s="80" t="s">
        <v>1320</v>
      </c>
      <c r="W121" s="79">
        <f t="shared" ref="W121:AF121" ca="1" si="155">($M121=V121)*$D$12</f>
        <v>0</v>
      </c>
      <c r="X121" s="70"/>
      <c r="Y121" s="80" t="s">
        <v>79</v>
      </c>
      <c r="Z121" s="79">
        <f t="shared" ca="1" si="155"/>
        <v>3</v>
      </c>
      <c r="AA121" s="70"/>
      <c r="AB121" s="80" t="s">
        <v>1320</v>
      </c>
      <c r="AC121" s="79">
        <f t="shared" ca="1" si="155"/>
        <v>0</v>
      </c>
      <c r="AD121" s="70"/>
      <c r="AE121" s="80" t="s">
        <v>1320</v>
      </c>
      <c r="AF121" s="79">
        <f t="shared" ca="1" si="155"/>
        <v>0</v>
      </c>
      <c r="AG121" s="70"/>
      <c r="AH121" s="70"/>
    </row>
    <row r="122" spans="1:34" x14ac:dyDescent="0.2">
      <c r="A122" s="55"/>
      <c r="B122" s="55"/>
      <c r="C122" s="55"/>
      <c r="D122" s="55"/>
      <c r="E122" s="71"/>
      <c r="F122" s="133">
        <f t="shared" ref="F122" si="156">$D$13</f>
        <v>2</v>
      </c>
      <c r="G122" s="453">
        <f ca="1">VLOOKUP(H122,Equipos!$Q$1:$R$25,2,0)</f>
        <v>18</v>
      </c>
      <c r="H122" s="454">
        <f ca="1">$H$74</f>
        <v>46201</v>
      </c>
      <c r="I122" s="56"/>
      <c r="J122" s="854"/>
      <c r="K122" s="62" t="str">
        <f>Idiomas!D192</f>
        <v>3º GRUPO K</v>
      </c>
      <c r="L122" s="59"/>
      <c r="M122" s="61" t="str">
        <f ca="1">IF(OR(SUM(WORLDCUP!$AN$86:$AN$89)=12,WORLDCUP!$AJ$99=144),WORLDCUP!AL88,LEFT(K122,1)&amp;RIGHT(K122,1))</f>
        <v>RD Congo</v>
      </c>
      <c r="N122" s="25"/>
      <c r="O122" s="25"/>
      <c r="P122" s="25"/>
      <c r="Q122" s="25"/>
      <c r="R122" s="116"/>
      <c r="S122" s="80" t="s">
        <v>1839</v>
      </c>
      <c r="T122" s="79">
        <f t="shared" ref="T122" ca="1" si="157">($M122=S122)*$D$13</f>
        <v>2</v>
      </c>
      <c r="U122" s="70"/>
      <c r="V122" s="80" t="s">
        <v>1839</v>
      </c>
      <c r="W122" s="79">
        <f t="shared" ref="W122:AF122" ca="1" si="158">($M122=V122)*$D$13</f>
        <v>2</v>
      </c>
      <c r="X122" s="70"/>
      <c r="Y122" s="80" t="s">
        <v>1839</v>
      </c>
      <c r="Z122" s="79">
        <f t="shared" ca="1" si="158"/>
        <v>2</v>
      </c>
      <c r="AA122" s="70"/>
      <c r="AB122" s="80" t="s">
        <v>1267</v>
      </c>
      <c r="AC122" s="79">
        <f t="shared" ca="1" si="158"/>
        <v>0</v>
      </c>
      <c r="AD122" s="70"/>
      <c r="AE122" s="80" t="s">
        <v>1267</v>
      </c>
      <c r="AF122" s="79">
        <f t="shared" ca="1" si="158"/>
        <v>0</v>
      </c>
      <c r="AG122" s="70"/>
      <c r="AH122" s="70"/>
    </row>
    <row r="123" spans="1:34" x14ac:dyDescent="0.2">
      <c r="A123" s="55"/>
      <c r="B123" s="55"/>
      <c r="C123" s="55"/>
      <c r="D123" s="55"/>
      <c r="E123" s="71"/>
      <c r="F123" s="133">
        <f t="shared" ref="F123" si="159">$D$14</f>
        <v>1</v>
      </c>
      <c r="G123" s="453">
        <f ca="1">VLOOKUP(H123,Equipos!$Q$1:$R$25,2,0)</f>
        <v>18</v>
      </c>
      <c r="H123" s="454">
        <f ca="1">$H$74</f>
        <v>46201</v>
      </c>
      <c r="I123" s="56"/>
      <c r="J123" s="854"/>
      <c r="K123" s="62" t="str">
        <f>Idiomas!D193</f>
        <v>4º GRUPO K</v>
      </c>
      <c r="L123" s="59"/>
      <c r="M123" s="61" t="str">
        <f ca="1">IF(OR(SUM(WORLDCUP!$AN$86:$AN$89)=12,WORLDCUP!$AJ$99=144),WORLDCUP!AL89,LEFT(K123,1)&amp;RIGHT(K123,1))</f>
        <v>Uzbekistán</v>
      </c>
      <c r="N123" s="25"/>
      <c r="O123" s="25"/>
      <c r="P123" s="25"/>
      <c r="Q123" s="25"/>
      <c r="R123" s="116"/>
      <c r="S123" s="80" t="s">
        <v>1267</v>
      </c>
      <c r="T123" s="79">
        <f t="shared" ref="T123" ca="1" si="160">($M123=S123)*$D$14</f>
        <v>1</v>
      </c>
      <c r="U123" s="70"/>
      <c r="V123" s="80" t="s">
        <v>1267</v>
      </c>
      <c r="W123" s="79">
        <f t="shared" ref="W123:AF123" ca="1" si="161">($M123=V123)*$D$14</f>
        <v>1</v>
      </c>
      <c r="X123" s="70"/>
      <c r="Y123" s="80" t="s">
        <v>1267</v>
      </c>
      <c r="Z123" s="79">
        <f t="shared" ca="1" si="161"/>
        <v>1</v>
      </c>
      <c r="AA123" s="70"/>
      <c r="AB123" s="80" t="s">
        <v>1839</v>
      </c>
      <c r="AC123" s="79">
        <f t="shared" ca="1" si="161"/>
        <v>0</v>
      </c>
      <c r="AD123" s="70"/>
      <c r="AE123" s="80" t="s">
        <v>1839</v>
      </c>
      <c r="AF123" s="79">
        <f t="shared" ca="1" si="161"/>
        <v>0</v>
      </c>
      <c r="AG123" s="70"/>
      <c r="AH123" s="70"/>
    </row>
    <row r="124" spans="1:34" x14ac:dyDescent="0.2">
      <c r="A124" s="55"/>
      <c r="B124" s="55"/>
      <c r="C124" s="55"/>
      <c r="D124" s="55"/>
      <c r="E124" s="71"/>
      <c r="F124" s="133">
        <f t="shared" ref="F124" si="162">$D$11</f>
        <v>4</v>
      </c>
      <c r="G124" s="453">
        <f ca="1">VLOOKUP(H124,Equipos!$Q$1:$R$25,2,0)</f>
        <v>17</v>
      </c>
      <c r="H124" s="454">
        <f ca="1">$H$76</f>
        <v>46200</v>
      </c>
      <c r="I124" s="56"/>
      <c r="J124" s="853" t="s">
        <v>238</v>
      </c>
      <c r="K124" s="62" t="str">
        <f>Idiomas!D194</f>
        <v>1º GRUPO L</v>
      </c>
      <c r="L124" s="59"/>
      <c r="M124" s="61" t="str">
        <f ca="1">IF(OR(SUM(WORLDCUP!$AN$94:$AN$97)=12,WORLDCUP!$AJ$99=144),WORLDCUP!AL94,LEFT(K124,1)&amp;RIGHT(K124,1))</f>
        <v>Inglaterra</v>
      </c>
      <c r="N124" s="25"/>
      <c r="O124" s="25"/>
      <c r="P124" s="25"/>
      <c r="Q124" s="25"/>
      <c r="R124" s="116"/>
      <c r="S124" s="80" t="s">
        <v>76</v>
      </c>
      <c r="T124" s="79">
        <f t="shared" ref="T124" ca="1" si="163">($M124=S124)*$D$11</f>
        <v>4</v>
      </c>
      <c r="U124" s="70"/>
      <c r="V124" s="80" t="s">
        <v>76</v>
      </c>
      <c r="W124" s="79">
        <f t="shared" ref="W124:AF124" ca="1" si="164">($M124=V124)*$D$11</f>
        <v>4</v>
      </c>
      <c r="X124" s="70"/>
      <c r="Y124" s="80" t="s">
        <v>76</v>
      </c>
      <c r="Z124" s="79">
        <f t="shared" ca="1" si="164"/>
        <v>4</v>
      </c>
      <c r="AA124" s="70"/>
      <c r="AB124" s="80" t="s">
        <v>76</v>
      </c>
      <c r="AC124" s="79">
        <f t="shared" ca="1" si="164"/>
        <v>4</v>
      </c>
      <c r="AD124" s="70"/>
      <c r="AE124" s="80" t="s">
        <v>76</v>
      </c>
      <c r="AF124" s="79">
        <f t="shared" ca="1" si="164"/>
        <v>4</v>
      </c>
      <c r="AG124" s="70"/>
      <c r="AH124" s="70"/>
    </row>
    <row r="125" spans="1:34" x14ac:dyDescent="0.2">
      <c r="A125" s="55"/>
      <c r="B125" s="55"/>
      <c r="C125" s="55"/>
      <c r="D125" s="55"/>
      <c r="E125" s="71"/>
      <c r="F125" s="133">
        <f t="shared" ref="F125" si="165">$D$12</f>
        <v>3</v>
      </c>
      <c r="G125" s="453">
        <f ca="1">VLOOKUP(H125,Equipos!$Q$1:$R$25,2,0)</f>
        <v>17</v>
      </c>
      <c r="H125" s="454">
        <f ca="1">$H$76</f>
        <v>46200</v>
      </c>
      <c r="I125" s="56"/>
      <c r="J125" s="853"/>
      <c r="K125" s="62" t="str">
        <f>Idiomas!D195</f>
        <v>2º GRUPO L</v>
      </c>
      <c r="L125" s="59"/>
      <c r="M125" s="61" t="str">
        <f ca="1">IF(OR(SUM(WORLDCUP!$AN$94:$AN$97)=12,WORLDCUP!$AJ$99=144),WORLDCUP!AL95,LEFT(K125,1)&amp;RIGHT(K125,1))</f>
        <v>Croacia</v>
      </c>
      <c r="N125" s="25"/>
      <c r="O125" s="25"/>
      <c r="P125" s="25"/>
      <c r="Q125" s="25"/>
      <c r="R125" s="116"/>
      <c r="S125" s="80" t="s">
        <v>78</v>
      </c>
      <c r="T125" s="79">
        <f t="shared" ref="T125" ca="1" si="166">($M125=S125)*$D$12</f>
        <v>3</v>
      </c>
      <c r="U125" s="70"/>
      <c r="V125" s="80" t="s">
        <v>1551</v>
      </c>
      <c r="W125" s="79">
        <f t="shared" ref="W125:AF125" ca="1" si="167">($M125=V125)*$D$12</f>
        <v>0</v>
      </c>
      <c r="X125" s="70"/>
      <c r="Y125" s="80" t="s">
        <v>78</v>
      </c>
      <c r="Z125" s="79">
        <f t="shared" ca="1" si="167"/>
        <v>3</v>
      </c>
      <c r="AA125" s="70"/>
      <c r="AB125" s="80" t="s">
        <v>78</v>
      </c>
      <c r="AC125" s="79">
        <f t="shared" ca="1" si="167"/>
        <v>3</v>
      </c>
      <c r="AD125" s="70"/>
      <c r="AE125" s="80" t="s">
        <v>78</v>
      </c>
      <c r="AF125" s="79">
        <f t="shared" ca="1" si="167"/>
        <v>3</v>
      </c>
      <c r="AG125" s="70"/>
      <c r="AH125" s="70"/>
    </row>
    <row r="126" spans="1:34" x14ac:dyDescent="0.2">
      <c r="A126" s="55"/>
      <c r="B126" s="55"/>
      <c r="C126" s="55"/>
      <c r="D126" s="55"/>
      <c r="E126" s="71"/>
      <c r="F126" s="133">
        <f t="shared" ref="F126" si="168">$D$13</f>
        <v>2</v>
      </c>
      <c r="G126" s="453">
        <f ca="1">VLOOKUP(H126,Equipos!$Q$1:$R$25,2,0)</f>
        <v>17</v>
      </c>
      <c r="H126" s="454">
        <f ca="1">$H$76</f>
        <v>46200</v>
      </c>
      <c r="I126" s="56"/>
      <c r="J126" s="853"/>
      <c r="K126" s="62" t="str">
        <f>Idiomas!D196</f>
        <v>3º GRUPO L</v>
      </c>
      <c r="L126" s="59"/>
      <c r="M126" s="61" t="str">
        <f ca="1">IF(OR(SUM(WORLDCUP!$AN$94:$AN$97)=12,WORLDCUP!$AJ$99=144),WORLDCUP!AL96,LEFT(K126,1)&amp;RIGHT(K126,1))</f>
        <v>Ghana</v>
      </c>
      <c r="N126" s="25"/>
      <c r="O126" s="25"/>
      <c r="P126" s="25"/>
      <c r="Q126" s="25"/>
      <c r="R126" s="116"/>
      <c r="S126" s="80" t="s">
        <v>1730</v>
      </c>
      <c r="T126" s="79">
        <f t="shared" ref="T126" ca="1" si="169">($M126=S126)*$D$13</f>
        <v>0</v>
      </c>
      <c r="U126" s="70"/>
      <c r="V126" s="80" t="s">
        <v>78</v>
      </c>
      <c r="W126" s="79">
        <f t="shared" ref="W126:AF126" ca="1" si="170">($M126=V126)*$D$13</f>
        <v>0</v>
      </c>
      <c r="X126" s="70"/>
      <c r="Y126" s="80" t="s">
        <v>1551</v>
      </c>
      <c r="Z126" s="79">
        <f t="shared" ca="1" si="170"/>
        <v>2</v>
      </c>
      <c r="AA126" s="70"/>
      <c r="AB126" s="80" t="s">
        <v>1551</v>
      </c>
      <c r="AC126" s="79">
        <f t="shared" ca="1" si="170"/>
        <v>2</v>
      </c>
      <c r="AD126" s="70"/>
      <c r="AE126" s="80" t="s">
        <v>1551</v>
      </c>
      <c r="AF126" s="79">
        <f t="shared" ca="1" si="170"/>
        <v>2</v>
      </c>
      <c r="AG126" s="70"/>
      <c r="AH126" s="70"/>
    </row>
    <row r="127" spans="1:34" x14ac:dyDescent="0.2">
      <c r="A127" s="55"/>
      <c r="B127" s="55"/>
      <c r="C127" s="55"/>
      <c r="D127" s="55"/>
      <c r="E127" s="71"/>
      <c r="F127" s="133">
        <f t="shared" ref="F127" si="171">$D$14</f>
        <v>1</v>
      </c>
      <c r="G127" s="453">
        <f ca="1">VLOOKUP(H127,Equipos!$Q$1:$R$25,2,0)</f>
        <v>17</v>
      </c>
      <c r="H127" s="454">
        <f ca="1">$H$76</f>
        <v>46200</v>
      </c>
      <c r="I127" s="56"/>
      <c r="J127" s="853"/>
      <c r="K127" s="121" t="str">
        <f>Idiomas!D197</f>
        <v>4º GRUPO L</v>
      </c>
      <c r="L127" s="121"/>
      <c r="M127" s="122" t="str">
        <f ca="1">IF(OR(SUM(WORLDCUP!$AN$94:$AN$97)=12,WORLDCUP!$AJ$99=144),WORLDCUP!AL97,LEFT(K127,1)&amp;RIGHT(K127,1))</f>
        <v>Panamá</v>
      </c>
      <c r="N127" s="25"/>
      <c r="O127" s="25"/>
      <c r="P127" s="25"/>
      <c r="Q127" s="25"/>
      <c r="R127" s="116"/>
      <c r="S127" s="86" t="s">
        <v>1551</v>
      </c>
      <c r="T127" s="87">
        <f t="shared" ref="T127" ca="1" si="172">($M127=S127)*$D$14</f>
        <v>0</v>
      </c>
      <c r="U127" s="70"/>
      <c r="V127" s="86" t="s">
        <v>1730</v>
      </c>
      <c r="W127" s="87">
        <f t="shared" ref="W127:AF127" ca="1" si="173">($M127=V127)*$D$14</f>
        <v>1</v>
      </c>
      <c r="X127" s="70"/>
      <c r="Y127" s="86" t="s">
        <v>1730</v>
      </c>
      <c r="Z127" s="87">
        <f t="shared" ca="1" si="173"/>
        <v>1</v>
      </c>
      <c r="AA127" s="70"/>
      <c r="AB127" s="86" t="s">
        <v>1730</v>
      </c>
      <c r="AC127" s="87">
        <f t="shared" ca="1" si="173"/>
        <v>1</v>
      </c>
      <c r="AD127" s="70"/>
      <c r="AE127" s="86" t="s">
        <v>1730</v>
      </c>
      <c r="AF127" s="87">
        <f t="shared" ca="1" si="173"/>
        <v>1</v>
      </c>
      <c r="AG127" s="70"/>
      <c r="AH127" s="70"/>
    </row>
    <row r="128" spans="1:34" x14ac:dyDescent="0.2">
      <c r="A128" s="55"/>
      <c r="B128" s="55"/>
      <c r="C128" s="55"/>
      <c r="D128" s="55"/>
      <c r="E128" s="71"/>
      <c r="F128" s="133"/>
      <c r="G128" s="453"/>
      <c r="H128" s="71"/>
      <c r="I128" s="56"/>
      <c r="J128" s="100"/>
      <c r="K128" s="442" t="str">
        <f>Idiomas!D456</f>
        <v>Pos. Grupos</v>
      </c>
      <c r="L128" s="443"/>
      <c r="M128" s="442" t="str">
        <f>"Max: "&amp;SUM($D$11:$D$14)*12</f>
        <v>Max: 120</v>
      </c>
      <c r="N128" s="25"/>
      <c r="O128" s="25"/>
      <c r="P128" s="25"/>
      <c r="Q128" s="25"/>
      <c r="R128" s="55"/>
      <c r="S128" s="90"/>
      <c r="T128" s="77">
        <f ca="1">SUM(T80:T127)</f>
        <v>85</v>
      </c>
      <c r="U128" s="71"/>
      <c r="V128" s="90"/>
      <c r="W128" s="77">
        <f t="shared" ref="W128" ca="1" si="174">SUM(W80:W127)</f>
        <v>67</v>
      </c>
      <c r="X128" s="71"/>
      <c r="Y128" s="90"/>
      <c r="Z128" s="77">
        <f t="shared" ref="Z128" ca="1" si="175">SUM(Z80:Z127)</f>
        <v>77</v>
      </c>
      <c r="AA128" s="71"/>
      <c r="AB128" s="90"/>
      <c r="AC128" s="77">
        <f t="shared" ref="AC128" ca="1" si="176">SUM(AC80:AC127)</f>
        <v>89</v>
      </c>
      <c r="AD128" s="71"/>
      <c r="AE128" s="90"/>
      <c r="AF128" s="77">
        <f t="shared" ref="AF128" ca="1" si="177">SUM(AF80:AF127)</f>
        <v>75</v>
      </c>
      <c r="AG128" s="71"/>
      <c r="AH128" s="71"/>
    </row>
    <row r="129" spans="1:34" x14ac:dyDescent="0.2">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x14ac:dyDescent="0.2">
      <c r="A130" s="55"/>
      <c r="B130" s="55"/>
      <c r="C130" s="55"/>
      <c r="D130" s="55"/>
      <c r="E130" s="71"/>
      <c r="F130" s="133">
        <f>$D$15</f>
        <v>2</v>
      </c>
      <c r="G130" s="453">
        <f ca="1">VLOOKUP(H130,Equipos!$Q$1:$R$25,2,0)</f>
        <v>19</v>
      </c>
      <c r="H130" s="455" t="str">
        <f>Idiomas!$D$137</f>
        <v>CLASIFICADOS PARA DIECISEISAVOS</v>
      </c>
      <c r="I130" s="56"/>
      <c r="J130" s="851" t="s">
        <v>483</v>
      </c>
      <c r="K130" s="59" t="str">
        <f>Idiomas!$D$198&amp;"-"&amp;ROWS($L$130:L130)</f>
        <v>Dieciseisavofinalista-1</v>
      </c>
      <c r="L130" s="59"/>
      <c r="M130" s="61" t="str">
        <f ca="1">WORLDCUP!AA101</f>
        <v>Sudáfrica</v>
      </c>
      <c r="N130" s="25"/>
      <c r="O130" s="25"/>
      <c r="P130" s="25"/>
      <c r="Q130" s="25"/>
      <c r="R130" s="116"/>
      <c r="S130" s="82" t="s">
        <v>1630</v>
      </c>
      <c r="T130" s="83">
        <f t="shared" ref="T130:T161" ca="1" si="178">COUNTIF($M$130:$M$161,S130)*$D$15</f>
        <v>2</v>
      </c>
      <c r="U130" s="70"/>
      <c r="V130" s="82" t="s">
        <v>1630</v>
      </c>
      <c r="W130" s="83">
        <f t="shared" ref="W130:W161" ca="1" si="179">COUNTIF($M$130:$M$161,V130)*$D$15</f>
        <v>2</v>
      </c>
      <c r="X130" s="70"/>
      <c r="Y130" s="82" t="s">
        <v>1630</v>
      </c>
      <c r="Z130" s="83">
        <f t="shared" ref="Z130:Z161" ca="1" si="180">COUNTIF($M$130:$M$161,Y130)*$D$15</f>
        <v>2</v>
      </c>
      <c r="AA130" s="70"/>
      <c r="AB130" s="82" t="s">
        <v>1630</v>
      </c>
      <c r="AC130" s="83">
        <f t="shared" ref="AC130:AC161" ca="1" si="181">COUNTIF($M$130:$M$161,AB130)*$D$15</f>
        <v>2</v>
      </c>
      <c r="AD130" s="70"/>
      <c r="AE130" s="82" t="s">
        <v>1630</v>
      </c>
      <c r="AF130" s="83">
        <f t="shared" ref="AF130:AF161" ca="1" si="182">COUNTIF($M$130:$M$161,AE130)*$D$15</f>
        <v>2</v>
      </c>
      <c r="AG130" s="70"/>
      <c r="AH130" s="70"/>
    </row>
    <row r="131" spans="1:34" x14ac:dyDescent="0.2">
      <c r="A131" s="55"/>
      <c r="B131" s="55"/>
      <c r="C131" s="55"/>
      <c r="D131" s="55"/>
      <c r="E131" s="71"/>
      <c r="F131" s="133">
        <f t="shared" ref="F131:F161" si="183">$D$15</f>
        <v>2</v>
      </c>
      <c r="G131" s="453">
        <f ca="1">VLOOKUP(H131,Equipos!$Q$1:$R$25,2,0)</f>
        <v>19</v>
      </c>
      <c r="H131" s="455" t="str">
        <f>Idiomas!$D$137</f>
        <v>CLASIFICADOS PARA DIECISEISAVOS</v>
      </c>
      <c r="I131" s="56"/>
      <c r="J131" s="851"/>
      <c r="K131" s="62" t="str">
        <f>Idiomas!$D$198&amp;"-"&amp;ROWS($L$130:L131)</f>
        <v>Dieciseisavofinalista-2</v>
      </c>
      <c r="L131" s="59"/>
      <c r="M131" s="61" t="str">
        <f ca="1">WORLDCUP!AA102</f>
        <v>Brasil</v>
      </c>
      <c r="N131" s="25"/>
      <c r="O131" s="25"/>
      <c r="P131" s="25"/>
      <c r="Q131" s="25"/>
      <c r="R131" s="116"/>
      <c r="S131" s="80" t="s">
        <v>1258</v>
      </c>
      <c r="T131" s="79">
        <f t="shared" ca="1" si="178"/>
        <v>2</v>
      </c>
      <c r="U131" s="70"/>
      <c r="V131" s="80" t="s">
        <v>1258</v>
      </c>
      <c r="W131" s="79">
        <f t="shared" ca="1" si="179"/>
        <v>2</v>
      </c>
      <c r="X131" s="70"/>
      <c r="Y131" s="80" t="s">
        <v>1258</v>
      </c>
      <c r="Z131" s="79">
        <f t="shared" ca="1" si="180"/>
        <v>2</v>
      </c>
      <c r="AA131" s="70"/>
      <c r="AB131" s="80" t="s">
        <v>1258</v>
      </c>
      <c r="AC131" s="79">
        <f t="shared" ca="1" si="181"/>
        <v>2</v>
      </c>
      <c r="AD131" s="70"/>
      <c r="AE131" s="80" t="s">
        <v>1258</v>
      </c>
      <c r="AF131" s="79">
        <f t="shared" ca="1" si="182"/>
        <v>2</v>
      </c>
      <c r="AG131" s="70"/>
      <c r="AH131" s="70"/>
    </row>
    <row r="132" spans="1:34" x14ac:dyDescent="0.2">
      <c r="A132" s="55"/>
      <c r="B132" s="55"/>
      <c r="C132" s="55"/>
      <c r="D132" s="55"/>
      <c r="E132" s="71"/>
      <c r="F132" s="133">
        <f t="shared" si="183"/>
        <v>2</v>
      </c>
      <c r="G132" s="453">
        <f ca="1">VLOOKUP(H132,Equipos!$Q$1:$R$25,2,0)</f>
        <v>19</v>
      </c>
      <c r="H132" s="455" t="str">
        <f>Idiomas!$D$137</f>
        <v>CLASIFICADOS PARA DIECISEISAVOS</v>
      </c>
      <c r="I132" s="56"/>
      <c r="J132" s="851"/>
      <c r="K132" s="62" t="str">
        <f>Idiomas!$D$198&amp;"-"&amp;ROWS($L$130:L132)</f>
        <v>Dieciseisavofinalista-3</v>
      </c>
      <c r="L132" s="59"/>
      <c r="M132" s="61" t="str">
        <f ca="1">WORLDCUP!AA103</f>
        <v>Alemania</v>
      </c>
      <c r="N132" s="25"/>
      <c r="O132" s="25"/>
      <c r="P132" s="25"/>
      <c r="Q132" s="25"/>
      <c r="R132" s="116"/>
      <c r="S132" s="80" t="s">
        <v>77</v>
      </c>
      <c r="T132" s="79">
        <f t="shared" ca="1" si="178"/>
        <v>2</v>
      </c>
      <c r="U132" s="70"/>
      <c r="V132" s="80" t="s">
        <v>77</v>
      </c>
      <c r="W132" s="79">
        <f t="shared" ca="1" si="179"/>
        <v>2</v>
      </c>
      <c r="X132" s="70"/>
      <c r="Y132" s="80" t="s">
        <v>77</v>
      </c>
      <c r="Z132" s="79">
        <f t="shared" ca="1" si="180"/>
        <v>2</v>
      </c>
      <c r="AA132" s="70"/>
      <c r="AB132" s="80" t="s">
        <v>77</v>
      </c>
      <c r="AC132" s="79">
        <f t="shared" ca="1" si="181"/>
        <v>2</v>
      </c>
      <c r="AD132" s="70"/>
      <c r="AE132" s="80" t="s">
        <v>77</v>
      </c>
      <c r="AF132" s="79">
        <f t="shared" ca="1" si="182"/>
        <v>2</v>
      </c>
      <c r="AG132" s="70"/>
      <c r="AH132" s="70"/>
    </row>
    <row r="133" spans="1:34" x14ac:dyDescent="0.2">
      <c r="A133" s="55"/>
      <c r="B133" s="55"/>
      <c r="C133" s="55"/>
      <c r="D133" s="55"/>
      <c r="E133" s="71"/>
      <c r="F133" s="133">
        <f t="shared" si="183"/>
        <v>2</v>
      </c>
      <c r="G133" s="453">
        <f ca="1">VLOOKUP(H133,Equipos!$Q$1:$R$25,2,0)</f>
        <v>19</v>
      </c>
      <c r="H133" s="455" t="str">
        <f>Idiomas!$D$137</f>
        <v>CLASIFICADOS PARA DIECISEISAVOS</v>
      </c>
      <c r="I133" s="56"/>
      <c r="J133" s="851"/>
      <c r="K133" s="62" t="str">
        <f>Idiomas!$D$198&amp;"-"&amp;ROWS($L$130:L133)</f>
        <v>Dieciseisavofinalista-4</v>
      </c>
      <c r="L133" s="59"/>
      <c r="M133" s="61" t="str">
        <f ca="1">WORLDCUP!AA104</f>
        <v>Países Bajos</v>
      </c>
      <c r="N133" s="25"/>
      <c r="O133" s="25"/>
      <c r="P133" s="25"/>
      <c r="Q133" s="25"/>
      <c r="R133" s="116"/>
      <c r="S133" s="80" t="s">
        <v>111</v>
      </c>
      <c r="T133" s="79">
        <f t="shared" ca="1" si="178"/>
        <v>2</v>
      </c>
      <c r="U133" s="70"/>
      <c r="V133" s="80" t="s">
        <v>111</v>
      </c>
      <c r="W133" s="79">
        <f t="shared" ca="1" si="179"/>
        <v>2</v>
      </c>
      <c r="X133" s="70"/>
      <c r="Y133" s="80" t="s">
        <v>111</v>
      </c>
      <c r="Z133" s="79">
        <f t="shared" ca="1" si="180"/>
        <v>2</v>
      </c>
      <c r="AA133" s="70"/>
      <c r="AB133" s="80" t="s">
        <v>111</v>
      </c>
      <c r="AC133" s="79">
        <f t="shared" ca="1" si="181"/>
        <v>2</v>
      </c>
      <c r="AD133" s="70"/>
      <c r="AE133" s="80" t="s">
        <v>111</v>
      </c>
      <c r="AF133" s="79">
        <f t="shared" ca="1" si="182"/>
        <v>2</v>
      </c>
      <c r="AG133" s="70"/>
      <c r="AH133" s="70"/>
    </row>
    <row r="134" spans="1:34" x14ac:dyDescent="0.2">
      <c r="A134" s="55"/>
      <c r="B134" s="55"/>
      <c r="C134" s="55"/>
      <c r="D134" s="55"/>
      <c r="E134" s="71"/>
      <c r="F134" s="133">
        <f t="shared" si="183"/>
        <v>2</v>
      </c>
      <c r="G134" s="453">
        <f ca="1">VLOOKUP(H134,Equipos!$Q$1:$R$25,2,0)</f>
        <v>19</v>
      </c>
      <c r="H134" s="455" t="str">
        <f>Idiomas!$D$137</f>
        <v>CLASIFICADOS PARA DIECISEISAVOS</v>
      </c>
      <c r="I134" s="56"/>
      <c r="J134" s="851"/>
      <c r="K134" s="62" t="str">
        <f>Idiomas!$D$198&amp;"-"&amp;ROWS($L$130:L134)</f>
        <v>Dieciseisavofinalista-5</v>
      </c>
      <c r="L134" s="59"/>
      <c r="M134" s="61" t="str">
        <f ca="1">WORLDCUP!AA105</f>
        <v>Costa de Marfil</v>
      </c>
      <c r="N134" s="25"/>
      <c r="O134" s="25"/>
      <c r="P134" s="25"/>
      <c r="Q134" s="25"/>
      <c r="R134" s="116"/>
      <c r="S134" s="80" t="s">
        <v>1633</v>
      </c>
      <c r="T134" s="79">
        <f t="shared" ca="1" si="178"/>
        <v>2</v>
      </c>
      <c r="U134" s="70"/>
      <c r="V134" s="80" t="s">
        <v>1633</v>
      </c>
      <c r="W134" s="79">
        <f t="shared" ca="1" si="179"/>
        <v>2</v>
      </c>
      <c r="X134" s="70"/>
      <c r="Y134" s="80" t="s">
        <v>1633</v>
      </c>
      <c r="Z134" s="79">
        <f t="shared" ca="1" si="180"/>
        <v>2</v>
      </c>
      <c r="AA134" s="70"/>
      <c r="AB134" s="80" t="s">
        <v>1633</v>
      </c>
      <c r="AC134" s="79">
        <f t="shared" ca="1" si="181"/>
        <v>2</v>
      </c>
      <c r="AD134" s="70"/>
      <c r="AE134" s="80" t="s">
        <v>1633</v>
      </c>
      <c r="AF134" s="79">
        <f t="shared" ca="1" si="182"/>
        <v>2</v>
      </c>
      <c r="AG134" s="70"/>
      <c r="AH134" s="70"/>
    </row>
    <row r="135" spans="1:34" x14ac:dyDescent="0.2">
      <c r="A135" s="55"/>
      <c r="B135" s="55"/>
      <c r="C135" s="55"/>
      <c r="D135" s="55"/>
      <c r="E135" s="71"/>
      <c r="F135" s="133">
        <f t="shared" si="183"/>
        <v>2</v>
      </c>
      <c r="G135" s="453">
        <f ca="1">VLOOKUP(H135,Equipos!$Q$1:$R$25,2,0)</f>
        <v>19</v>
      </c>
      <c r="H135" s="455" t="str">
        <f>Idiomas!$D$137</f>
        <v>CLASIFICADOS PARA DIECISEISAVOS</v>
      </c>
      <c r="I135" s="56"/>
      <c r="J135" s="851"/>
      <c r="K135" s="62" t="str">
        <f>Idiomas!$D$198&amp;"-"&amp;ROWS($L$130:L135)</f>
        <v>Dieciseisavofinalista-6</v>
      </c>
      <c r="L135" s="59"/>
      <c r="M135" s="61" t="str">
        <f ca="1">WORLDCUP!AA106</f>
        <v>Francia</v>
      </c>
      <c r="N135" s="25"/>
      <c r="O135" s="25"/>
      <c r="P135" s="25"/>
      <c r="Q135" s="25"/>
      <c r="R135" s="116"/>
      <c r="S135" s="80" t="s">
        <v>74</v>
      </c>
      <c r="T135" s="79">
        <f t="shared" ca="1" si="178"/>
        <v>2</v>
      </c>
      <c r="U135" s="70"/>
      <c r="V135" s="80" t="s">
        <v>74</v>
      </c>
      <c r="W135" s="79">
        <f t="shared" ca="1" si="179"/>
        <v>2</v>
      </c>
      <c r="X135" s="70"/>
      <c r="Y135" s="80" t="s">
        <v>74</v>
      </c>
      <c r="Z135" s="79">
        <f t="shared" ca="1" si="180"/>
        <v>2</v>
      </c>
      <c r="AA135" s="70"/>
      <c r="AB135" s="80" t="s">
        <v>74</v>
      </c>
      <c r="AC135" s="79">
        <f t="shared" ca="1" si="181"/>
        <v>2</v>
      </c>
      <c r="AD135" s="70"/>
      <c r="AE135" s="80" t="s">
        <v>74</v>
      </c>
      <c r="AF135" s="79">
        <f t="shared" ca="1" si="182"/>
        <v>2</v>
      </c>
      <c r="AG135" s="70"/>
      <c r="AH135" s="70"/>
    </row>
    <row r="136" spans="1:34" x14ac:dyDescent="0.2">
      <c r="A136" s="55"/>
      <c r="B136" s="55"/>
      <c r="C136" s="55"/>
      <c r="D136" s="55"/>
      <c r="E136" s="71"/>
      <c r="F136" s="133">
        <f t="shared" si="183"/>
        <v>2</v>
      </c>
      <c r="G136" s="453">
        <f ca="1">VLOOKUP(H136,Equipos!$Q$1:$R$25,2,0)</f>
        <v>19</v>
      </c>
      <c r="H136" s="455" t="str">
        <f>Idiomas!$D$137</f>
        <v>CLASIFICADOS PARA DIECISEISAVOS</v>
      </c>
      <c r="I136" s="56"/>
      <c r="J136" s="851"/>
      <c r="K136" s="62" t="str">
        <f>Idiomas!$D$198&amp;"-"&amp;ROWS($L$130:L136)</f>
        <v>Dieciseisavofinalista-7</v>
      </c>
      <c r="L136" s="59"/>
      <c r="M136" s="61" t="str">
        <f ca="1">WORLDCUP!AA107</f>
        <v>México</v>
      </c>
      <c r="N136" s="25"/>
      <c r="O136" s="25"/>
      <c r="P136" s="25"/>
      <c r="Q136" s="25"/>
      <c r="R136" s="116"/>
      <c r="S136" s="80" t="s">
        <v>1265</v>
      </c>
      <c r="T136" s="79">
        <f t="shared" ca="1" si="178"/>
        <v>2</v>
      </c>
      <c r="U136" s="70"/>
      <c r="V136" s="80" t="s">
        <v>1265</v>
      </c>
      <c r="W136" s="79">
        <f t="shared" ca="1" si="179"/>
        <v>2</v>
      </c>
      <c r="X136" s="70"/>
      <c r="Y136" s="80" t="s">
        <v>1265</v>
      </c>
      <c r="Z136" s="79">
        <f t="shared" ca="1" si="180"/>
        <v>2</v>
      </c>
      <c r="AA136" s="70"/>
      <c r="AB136" s="80" t="s">
        <v>1265</v>
      </c>
      <c r="AC136" s="79">
        <f t="shared" ca="1" si="181"/>
        <v>2</v>
      </c>
      <c r="AD136" s="70"/>
      <c r="AE136" s="80" t="s">
        <v>1265</v>
      </c>
      <c r="AF136" s="79">
        <f t="shared" ca="1" si="182"/>
        <v>2</v>
      </c>
      <c r="AG136" s="70"/>
      <c r="AH136" s="70"/>
    </row>
    <row r="137" spans="1:34" x14ac:dyDescent="0.2">
      <c r="A137" s="55"/>
      <c r="B137" s="55"/>
      <c r="C137" s="55"/>
      <c r="D137" s="55"/>
      <c r="E137" s="71"/>
      <c r="F137" s="133">
        <f t="shared" si="183"/>
        <v>2</v>
      </c>
      <c r="G137" s="453">
        <f ca="1">VLOOKUP(H137,Equipos!$Q$1:$R$25,2,0)</f>
        <v>19</v>
      </c>
      <c r="H137" s="455" t="str">
        <f>Idiomas!$D$137</f>
        <v>CLASIFICADOS PARA DIECISEISAVOS</v>
      </c>
      <c r="I137" s="56"/>
      <c r="J137" s="851"/>
      <c r="K137" s="62" t="str">
        <f>Idiomas!$D$198&amp;"-"&amp;ROWS($L$130:L137)</f>
        <v>Dieciseisavofinalista-8</v>
      </c>
      <c r="L137" s="59"/>
      <c r="M137" s="61" t="str">
        <f ca="1">WORLDCUP!AA108</f>
        <v>Inglaterra</v>
      </c>
      <c r="N137" s="25"/>
      <c r="O137" s="25"/>
      <c r="P137" s="25"/>
      <c r="Q137" s="25"/>
      <c r="R137" s="116"/>
      <c r="S137" s="80" t="s">
        <v>76</v>
      </c>
      <c r="T137" s="79">
        <f t="shared" ca="1" si="178"/>
        <v>2</v>
      </c>
      <c r="U137" s="70"/>
      <c r="V137" s="80" t="s">
        <v>76</v>
      </c>
      <c r="W137" s="79">
        <f t="shared" ca="1" si="179"/>
        <v>2</v>
      </c>
      <c r="X137" s="70"/>
      <c r="Y137" s="80" t="s">
        <v>76</v>
      </c>
      <c r="Z137" s="79">
        <f t="shared" ca="1" si="180"/>
        <v>2</v>
      </c>
      <c r="AA137" s="70"/>
      <c r="AB137" s="80" t="s">
        <v>76</v>
      </c>
      <c r="AC137" s="79">
        <f t="shared" ca="1" si="181"/>
        <v>2</v>
      </c>
      <c r="AD137" s="70"/>
      <c r="AE137" s="80" t="s">
        <v>76</v>
      </c>
      <c r="AF137" s="79">
        <f t="shared" ca="1" si="182"/>
        <v>2</v>
      </c>
      <c r="AG137" s="70"/>
      <c r="AH137" s="70"/>
    </row>
    <row r="138" spans="1:34" x14ac:dyDescent="0.2">
      <c r="A138" s="55"/>
      <c r="B138" s="55"/>
      <c r="C138" s="55"/>
      <c r="D138" s="55"/>
      <c r="E138" s="71"/>
      <c r="F138" s="133">
        <f t="shared" si="183"/>
        <v>2</v>
      </c>
      <c r="G138" s="453">
        <f ca="1">VLOOKUP(H138,Equipos!$Q$1:$R$25,2,0)</f>
        <v>19</v>
      </c>
      <c r="H138" s="455" t="str">
        <f>Idiomas!$D$137</f>
        <v>CLASIFICADOS PARA DIECISEISAVOS</v>
      </c>
      <c r="I138" s="56"/>
      <c r="J138" s="851"/>
      <c r="K138" s="62" t="str">
        <f>Idiomas!$D$198&amp;"-"&amp;ROWS($L$130:L138)</f>
        <v>Dieciseisavofinalista-9</v>
      </c>
      <c r="L138" s="59"/>
      <c r="M138" s="61" t="str">
        <f ca="1">WORLDCUP!AA109</f>
        <v>Bélgica</v>
      </c>
      <c r="N138" s="25"/>
      <c r="O138" s="25"/>
      <c r="P138" s="25"/>
      <c r="Q138" s="25"/>
      <c r="R138" s="116"/>
      <c r="S138" s="80" t="s">
        <v>110</v>
      </c>
      <c r="T138" s="79">
        <f t="shared" ca="1" si="178"/>
        <v>2</v>
      </c>
      <c r="U138" s="70"/>
      <c r="V138" s="80" t="s">
        <v>110</v>
      </c>
      <c r="W138" s="79">
        <f t="shared" ca="1" si="179"/>
        <v>2</v>
      </c>
      <c r="X138" s="70"/>
      <c r="Y138" s="80" t="s">
        <v>110</v>
      </c>
      <c r="Z138" s="79">
        <f t="shared" ca="1" si="180"/>
        <v>2</v>
      </c>
      <c r="AA138" s="70"/>
      <c r="AB138" s="80" t="s">
        <v>110</v>
      </c>
      <c r="AC138" s="79">
        <f t="shared" ca="1" si="181"/>
        <v>2</v>
      </c>
      <c r="AD138" s="70"/>
      <c r="AE138" s="80" t="s">
        <v>110</v>
      </c>
      <c r="AF138" s="79">
        <f t="shared" ca="1" si="182"/>
        <v>2</v>
      </c>
      <c r="AG138" s="70"/>
      <c r="AH138" s="70"/>
    </row>
    <row r="139" spans="1:34" x14ac:dyDescent="0.2">
      <c r="A139" s="55"/>
      <c r="B139" s="55"/>
      <c r="C139" s="55"/>
      <c r="D139" s="55"/>
      <c r="E139" s="71"/>
      <c r="F139" s="133">
        <f t="shared" si="183"/>
        <v>2</v>
      </c>
      <c r="G139" s="453">
        <f ca="1">VLOOKUP(H139,Equipos!$Q$1:$R$25,2,0)</f>
        <v>19</v>
      </c>
      <c r="H139" s="455" t="str">
        <f>Idiomas!$D$137</f>
        <v>CLASIFICADOS PARA DIECISEISAVOS</v>
      </c>
      <c r="I139" s="56"/>
      <c r="J139" s="851"/>
      <c r="K139" s="62" t="str">
        <f>Idiomas!$D$198&amp;"-"&amp;ROWS($L$130:L139)</f>
        <v>Dieciseisavofinalista-10</v>
      </c>
      <c r="L139" s="59"/>
      <c r="M139" s="61" t="str">
        <f ca="1">WORLDCUP!AA110</f>
        <v>Estados Unidos</v>
      </c>
      <c r="N139" s="25"/>
      <c r="O139" s="25"/>
      <c r="P139" s="25"/>
      <c r="Q139" s="25"/>
      <c r="R139" s="116"/>
      <c r="S139" s="80" t="s">
        <v>497</v>
      </c>
      <c r="T139" s="79">
        <f t="shared" ca="1" si="178"/>
        <v>2</v>
      </c>
      <c r="U139" s="70"/>
      <c r="V139" s="80" t="s">
        <v>497</v>
      </c>
      <c r="W139" s="79">
        <f t="shared" ca="1" si="179"/>
        <v>2</v>
      </c>
      <c r="X139" s="70"/>
      <c r="Y139" s="80" t="s">
        <v>497</v>
      </c>
      <c r="Z139" s="79">
        <f t="shared" ca="1" si="180"/>
        <v>2</v>
      </c>
      <c r="AA139" s="70"/>
      <c r="AB139" s="80" t="s">
        <v>497</v>
      </c>
      <c r="AC139" s="79">
        <f t="shared" ca="1" si="181"/>
        <v>2</v>
      </c>
      <c r="AD139" s="70"/>
      <c r="AE139" s="80" t="s">
        <v>497</v>
      </c>
      <c r="AF139" s="79">
        <f t="shared" ca="1" si="182"/>
        <v>2</v>
      </c>
      <c r="AG139" s="70"/>
      <c r="AH139" s="70"/>
    </row>
    <row r="140" spans="1:34" x14ac:dyDescent="0.2">
      <c r="A140" s="55"/>
      <c r="B140" s="55"/>
      <c r="C140" s="55"/>
      <c r="D140" s="55"/>
      <c r="E140" s="71"/>
      <c r="F140" s="133">
        <f t="shared" si="183"/>
        <v>2</v>
      </c>
      <c r="G140" s="453">
        <f ca="1">VLOOKUP(H140,Equipos!$Q$1:$R$25,2,0)</f>
        <v>19</v>
      </c>
      <c r="H140" s="455" t="str">
        <f>Idiomas!$D$137</f>
        <v>CLASIFICADOS PARA DIECISEISAVOS</v>
      </c>
      <c r="I140" s="56"/>
      <c r="J140" s="851"/>
      <c r="K140" s="62" t="str">
        <f>Idiomas!$D$198&amp;"-"&amp;ROWS($L$130:L140)</f>
        <v>Dieciseisavofinalista-11</v>
      </c>
      <c r="L140" s="59"/>
      <c r="M140" s="61" t="str">
        <f ca="1">WORLDCUP!AA111</f>
        <v>España</v>
      </c>
      <c r="N140" s="25"/>
      <c r="O140" s="25"/>
      <c r="P140" s="25"/>
      <c r="Q140" s="25"/>
      <c r="R140" s="116"/>
      <c r="S140" s="80" t="s">
        <v>38</v>
      </c>
      <c r="T140" s="79">
        <f t="shared" ca="1" si="178"/>
        <v>2</v>
      </c>
      <c r="U140" s="70"/>
      <c r="V140" s="80" t="s">
        <v>38</v>
      </c>
      <c r="W140" s="79">
        <f t="shared" ca="1" si="179"/>
        <v>2</v>
      </c>
      <c r="X140" s="70"/>
      <c r="Y140" s="80" t="s">
        <v>38</v>
      </c>
      <c r="Z140" s="79">
        <f t="shared" ca="1" si="180"/>
        <v>2</v>
      </c>
      <c r="AA140" s="70"/>
      <c r="AB140" s="80" t="s">
        <v>38</v>
      </c>
      <c r="AC140" s="79">
        <f t="shared" ca="1" si="181"/>
        <v>2</v>
      </c>
      <c r="AD140" s="70"/>
      <c r="AE140" s="80" t="s">
        <v>38</v>
      </c>
      <c r="AF140" s="79">
        <f t="shared" ca="1" si="182"/>
        <v>2</v>
      </c>
      <c r="AG140" s="70"/>
      <c r="AH140" s="70"/>
    </row>
    <row r="141" spans="1:34" x14ac:dyDescent="0.2">
      <c r="A141" s="55"/>
      <c r="B141" s="55"/>
      <c r="C141" s="55"/>
      <c r="D141" s="55"/>
      <c r="E141" s="71"/>
      <c r="F141" s="133">
        <f t="shared" si="183"/>
        <v>2</v>
      </c>
      <c r="G141" s="453">
        <f ca="1">VLOOKUP(H141,Equipos!$Q$1:$R$25,2,0)</f>
        <v>19</v>
      </c>
      <c r="H141" s="455" t="str">
        <f>Idiomas!$D$137</f>
        <v>CLASIFICADOS PARA DIECISEISAVOS</v>
      </c>
      <c r="I141" s="56"/>
      <c r="J141" s="851"/>
      <c r="K141" s="62" t="str">
        <f>Idiomas!$D$198&amp;"-"&amp;ROWS($L$130:L141)</f>
        <v>Dieciseisavofinalista-12</v>
      </c>
      <c r="L141" s="59"/>
      <c r="M141" s="61" t="str">
        <f ca="1">WORLDCUP!AA112</f>
        <v>Portugal</v>
      </c>
      <c r="N141" s="25"/>
      <c r="O141" s="25"/>
      <c r="P141" s="25"/>
      <c r="Q141" s="25"/>
      <c r="R141" s="116"/>
      <c r="S141" s="80" t="s">
        <v>79</v>
      </c>
      <c r="T141" s="79">
        <f t="shared" ca="1" si="178"/>
        <v>2</v>
      </c>
      <c r="U141" s="70"/>
      <c r="V141" s="80" t="s">
        <v>79</v>
      </c>
      <c r="W141" s="79">
        <f t="shared" ca="1" si="179"/>
        <v>2</v>
      </c>
      <c r="X141" s="70"/>
      <c r="Y141" s="80" t="s">
        <v>79</v>
      </c>
      <c r="Z141" s="79">
        <f t="shared" ca="1" si="180"/>
        <v>2</v>
      </c>
      <c r="AA141" s="70"/>
      <c r="AB141" s="80" t="s">
        <v>79</v>
      </c>
      <c r="AC141" s="79">
        <f t="shared" ca="1" si="181"/>
        <v>2</v>
      </c>
      <c r="AD141" s="70"/>
      <c r="AE141" s="80" t="s">
        <v>79</v>
      </c>
      <c r="AF141" s="79">
        <f t="shared" ca="1" si="182"/>
        <v>2</v>
      </c>
      <c r="AG141" s="70"/>
      <c r="AH141" s="70"/>
    </row>
    <row r="142" spans="1:34" x14ac:dyDescent="0.2">
      <c r="A142" s="55"/>
      <c r="B142" s="55"/>
      <c r="C142" s="55"/>
      <c r="D142" s="55"/>
      <c r="E142" s="71"/>
      <c r="F142" s="133">
        <f t="shared" si="183"/>
        <v>2</v>
      </c>
      <c r="G142" s="453">
        <f ca="1">VLOOKUP(H142,Equipos!$Q$1:$R$25,2,0)</f>
        <v>19</v>
      </c>
      <c r="H142" s="455" t="str">
        <f>Idiomas!$D$137</f>
        <v>CLASIFICADOS PARA DIECISEISAVOS</v>
      </c>
      <c r="I142" s="56"/>
      <c r="J142" s="851"/>
      <c r="K142" s="62" t="str">
        <f>Idiomas!$D$198&amp;"-"&amp;ROWS($L$130:L142)</f>
        <v>Dieciseisavofinalista-13</v>
      </c>
      <c r="L142" s="59"/>
      <c r="M142" s="61" t="str">
        <f ca="1">WORLDCUP!AA113</f>
        <v>Suiza</v>
      </c>
      <c r="N142" s="25"/>
      <c r="O142" s="25"/>
      <c r="P142" s="25"/>
      <c r="Q142" s="25"/>
      <c r="R142" s="116"/>
      <c r="S142" s="80" t="s">
        <v>75</v>
      </c>
      <c r="T142" s="79">
        <f t="shared" ca="1" si="178"/>
        <v>2</v>
      </c>
      <c r="U142" s="70"/>
      <c r="V142" s="80" t="s">
        <v>75</v>
      </c>
      <c r="W142" s="79">
        <f t="shared" ca="1" si="179"/>
        <v>2</v>
      </c>
      <c r="X142" s="70"/>
      <c r="Y142" s="80" t="s">
        <v>75</v>
      </c>
      <c r="Z142" s="79">
        <f t="shared" ca="1" si="180"/>
        <v>2</v>
      </c>
      <c r="AA142" s="70"/>
      <c r="AB142" s="80" t="s">
        <v>75</v>
      </c>
      <c r="AC142" s="79">
        <f t="shared" ca="1" si="181"/>
        <v>2</v>
      </c>
      <c r="AD142" s="70"/>
      <c r="AE142" s="80" t="s">
        <v>75</v>
      </c>
      <c r="AF142" s="79">
        <f t="shared" ca="1" si="182"/>
        <v>2</v>
      </c>
      <c r="AG142" s="70"/>
      <c r="AH142" s="70"/>
    </row>
    <row r="143" spans="1:34" x14ac:dyDescent="0.2">
      <c r="A143" s="55"/>
      <c r="B143" s="55"/>
      <c r="C143" s="55"/>
      <c r="D143" s="55"/>
      <c r="E143" s="71"/>
      <c r="F143" s="133">
        <f t="shared" si="183"/>
        <v>2</v>
      </c>
      <c r="G143" s="453">
        <f ca="1">VLOOKUP(H143,Equipos!$Q$1:$R$25,2,0)</f>
        <v>19</v>
      </c>
      <c r="H143" s="455" t="str">
        <f>Idiomas!$D$137</f>
        <v>CLASIFICADOS PARA DIECISEISAVOS</v>
      </c>
      <c r="I143" s="56"/>
      <c r="J143" s="851"/>
      <c r="K143" s="62" t="str">
        <f>Idiomas!$D$198&amp;"-"&amp;ROWS($L$130:L143)</f>
        <v>Dieciseisavofinalista-14</v>
      </c>
      <c r="L143" s="59"/>
      <c r="M143" s="61" t="str">
        <f ca="1">WORLDCUP!AA114</f>
        <v>Australia</v>
      </c>
      <c r="N143" s="25"/>
      <c r="O143" s="25"/>
      <c r="P143" s="25"/>
      <c r="Q143" s="25"/>
      <c r="R143" s="116"/>
      <c r="S143" s="80" t="s">
        <v>1257</v>
      </c>
      <c r="T143" s="79">
        <f t="shared" ca="1" si="178"/>
        <v>2</v>
      </c>
      <c r="U143" s="70"/>
      <c r="V143" s="80" t="s">
        <v>1257</v>
      </c>
      <c r="W143" s="79">
        <f t="shared" ca="1" si="179"/>
        <v>2</v>
      </c>
      <c r="X143" s="70"/>
      <c r="Y143" s="80" t="s">
        <v>1257</v>
      </c>
      <c r="Z143" s="79">
        <f t="shared" ca="1" si="180"/>
        <v>2</v>
      </c>
      <c r="AA143" s="70"/>
      <c r="AB143" s="80" t="s">
        <v>1257</v>
      </c>
      <c r="AC143" s="79">
        <f t="shared" ca="1" si="181"/>
        <v>2</v>
      </c>
      <c r="AD143" s="70"/>
      <c r="AE143" s="80" t="s">
        <v>1257</v>
      </c>
      <c r="AF143" s="79">
        <f t="shared" ca="1" si="182"/>
        <v>2</v>
      </c>
      <c r="AG143" s="70"/>
      <c r="AH143" s="70"/>
    </row>
    <row r="144" spans="1:34" x14ac:dyDescent="0.2">
      <c r="A144" s="55"/>
      <c r="B144" s="55"/>
      <c r="C144" s="55"/>
      <c r="D144" s="55"/>
      <c r="E144" s="71"/>
      <c r="F144" s="133">
        <f t="shared" si="183"/>
        <v>2</v>
      </c>
      <c r="G144" s="453">
        <f ca="1">VLOOKUP(H144,Equipos!$Q$1:$R$25,2,0)</f>
        <v>19</v>
      </c>
      <c r="H144" s="455" t="str">
        <f>Idiomas!$D$137</f>
        <v>CLASIFICADOS PARA DIECISEISAVOS</v>
      </c>
      <c r="I144" s="56"/>
      <c r="J144" s="851"/>
      <c r="K144" s="62" t="str">
        <f>Idiomas!$D$198&amp;"-"&amp;ROWS($L$130:L144)</f>
        <v>Dieciseisavofinalista-15</v>
      </c>
      <c r="L144" s="59"/>
      <c r="M144" s="61" t="str">
        <f ca="1">WORLDCUP!AA115</f>
        <v>Argentina</v>
      </c>
      <c r="N144" s="25"/>
      <c r="O144" s="25"/>
      <c r="P144" s="25"/>
      <c r="Q144" s="25"/>
      <c r="R144" s="116"/>
      <c r="S144" s="80" t="s">
        <v>1256</v>
      </c>
      <c r="T144" s="79">
        <f t="shared" ca="1" si="178"/>
        <v>2</v>
      </c>
      <c r="U144" s="70"/>
      <c r="V144" s="80" t="s">
        <v>1256</v>
      </c>
      <c r="W144" s="79">
        <f t="shared" ca="1" si="179"/>
        <v>2</v>
      </c>
      <c r="X144" s="70"/>
      <c r="Y144" s="80" t="s">
        <v>1256</v>
      </c>
      <c r="Z144" s="79">
        <f t="shared" ca="1" si="180"/>
        <v>2</v>
      </c>
      <c r="AA144" s="70"/>
      <c r="AB144" s="80" t="s">
        <v>1256</v>
      </c>
      <c r="AC144" s="79">
        <f t="shared" ca="1" si="181"/>
        <v>2</v>
      </c>
      <c r="AD144" s="70"/>
      <c r="AE144" s="80" t="s">
        <v>1256</v>
      </c>
      <c r="AF144" s="79">
        <f t="shared" ca="1" si="182"/>
        <v>2</v>
      </c>
      <c r="AG144" s="70"/>
      <c r="AH144" s="70"/>
    </row>
    <row r="145" spans="1:34" x14ac:dyDescent="0.2">
      <c r="A145" s="55"/>
      <c r="B145" s="55"/>
      <c r="C145" s="55"/>
      <c r="D145" s="55"/>
      <c r="E145" s="71"/>
      <c r="F145" s="133">
        <f t="shared" si="183"/>
        <v>2</v>
      </c>
      <c r="G145" s="453">
        <f ca="1">VLOOKUP(H145,Equipos!$Q$1:$R$25,2,0)</f>
        <v>19</v>
      </c>
      <c r="H145" s="455" t="str">
        <f>Idiomas!$D$137</f>
        <v>CLASIFICADOS PARA DIECISEISAVOS</v>
      </c>
      <c r="I145" s="56"/>
      <c r="J145" s="851"/>
      <c r="K145" s="62" t="str">
        <f>Idiomas!$D$198&amp;"-"&amp;ROWS($L$130:L145)</f>
        <v>Dieciseisavofinalista-16</v>
      </c>
      <c r="L145" s="59"/>
      <c r="M145" s="61" t="str">
        <f ca="1">WORLDCUP!AA116</f>
        <v>Colombia</v>
      </c>
      <c r="N145" s="25"/>
      <c r="O145" s="25"/>
      <c r="P145" s="25"/>
      <c r="Q145" s="25"/>
      <c r="R145" s="116"/>
      <c r="S145" s="80" t="s">
        <v>1320</v>
      </c>
      <c r="T145" s="79">
        <f t="shared" ca="1" si="178"/>
        <v>2</v>
      </c>
      <c r="U145" s="70"/>
      <c r="V145" s="80" t="s">
        <v>1320</v>
      </c>
      <c r="W145" s="79">
        <f t="shared" ca="1" si="179"/>
        <v>2</v>
      </c>
      <c r="X145" s="70"/>
      <c r="Y145" s="80" t="s">
        <v>1320</v>
      </c>
      <c r="Z145" s="79">
        <f t="shared" ca="1" si="180"/>
        <v>2</v>
      </c>
      <c r="AA145" s="70"/>
      <c r="AB145" s="80" t="s">
        <v>1320</v>
      </c>
      <c r="AC145" s="79">
        <f t="shared" ca="1" si="181"/>
        <v>2</v>
      </c>
      <c r="AD145" s="70"/>
      <c r="AE145" s="80" t="s">
        <v>1320</v>
      </c>
      <c r="AF145" s="79">
        <f t="shared" ca="1" si="182"/>
        <v>2</v>
      </c>
      <c r="AG145" s="70"/>
      <c r="AH145" s="70"/>
    </row>
    <row r="146" spans="1:34" x14ac:dyDescent="0.2">
      <c r="A146" s="55"/>
      <c r="B146" s="55"/>
      <c r="C146" s="55"/>
      <c r="D146" s="55"/>
      <c r="E146" s="71"/>
      <c r="F146" s="133">
        <f t="shared" si="183"/>
        <v>2</v>
      </c>
      <c r="G146" s="453">
        <f ca="1">VLOOKUP(H146,Equipos!$Q$1:$R$25,2,0)</f>
        <v>19</v>
      </c>
      <c r="H146" s="455" t="str">
        <f>Idiomas!$D$137</f>
        <v>CLASIFICADOS PARA DIECISEISAVOS</v>
      </c>
      <c r="I146" s="56"/>
      <c r="J146" s="851"/>
      <c r="K146" s="62" t="str">
        <f>Idiomas!$D$198&amp;"-"&amp;ROWS($L$130:L146)</f>
        <v>Dieciseisavofinalista-17</v>
      </c>
      <c r="L146" s="59"/>
      <c r="M146" s="61" t="str">
        <f ca="1">WORLDCUP!AF101</f>
        <v>Canadá</v>
      </c>
      <c r="N146" s="25"/>
      <c r="O146" s="25"/>
      <c r="P146" s="25"/>
      <c r="Q146" s="25"/>
      <c r="R146" s="116"/>
      <c r="S146" s="80" t="s">
        <v>1259</v>
      </c>
      <c r="T146" s="79">
        <f t="shared" ca="1" si="178"/>
        <v>2</v>
      </c>
      <c r="U146" s="70"/>
      <c r="V146" s="80" t="s">
        <v>1259</v>
      </c>
      <c r="W146" s="79">
        <f t="shared" ca="1" si="179"/>
        <v>2</v>
      </c>
      <c r="X146" s="70"/>
      <c r="Y146" s="80" t="s">
        <v>1259</v>
      </c>
      <c r="Z146" s="79">
        <f t="shared" ca="1" si="180"/>
        <v>2</v>
      </c>
      <c r="AA146" s="70"/>
      <c r="AB146" s="80" t="s">
        <v>1259</v>
      </c>
      <c r="AC146" s="79">
        <f t="shared" ca="1" si="181"/>
        <v>2</v>
      </c>
      <c r="AD146" s="70"/>
      <c r="AE146" s="80" t="s">
        <v>1259</v>
      </c>
      <c r="AF146" s="79">
        <f t="shared" ca="1" si="182"/>
        <v>2</v>
      </c>
      <c r="AG146" s="70"/>
      <c r="AH146" s="70"/>
    </row>
    <row r="147" spans="1:34" x14ac:dyDescent="0.2">
      <c r="A147" s="55"/>
      <c r="B147" s="55"/>
      <c r="C147" s="55"/>
      <c r="D147" s="55"/>
      <c r="E147" s="71"/>
      <c r="F147" s="133">
        <f t="shared" si="183"/>
        <v>2</v>
      </c>
      <c r="G147" s="453">
        <f ca="1">VLOOKUP(H147,Equipos!$Q$1:$R$25,2,0)</f>
        <v>19</v>
      </c>
      <c r="H147" s="455" t="str">
        <f>Idiomas!$D$137</f>
        <v>CLASIFICADOS PARA DIECISEISAVOS</v>
      </c>
      <c r="I147" s="56"/>
      <c r="J147" s="851"/>
      <c r="K147" s="62" t="str">
        <f>Idiomas!$D$198&amp;"-"&amp;ROWS($L$130:L147)</f>
        <v>Dieciseisavofinalista-18</v>
      </c>
      <c r="L147" s="59"/>
      <c r="M147" s="61" t="str">
        <f ca="1">WORLDCUP!AF102</f>
        <v>Japón</v>
      </c>
      <c r="N147" s="25"/>
      <c r="O147" s="25"/>
      <c r="P147" s="25"/>
      <c r="Q147" s="25"/>
      <c r="R147" s="116"/>
      <c r="S147" s="80" t="s">
        <v>1263</v>
      </c>
      <c r="T147" s="79">
        <f t="shared" ca="1" si="178"/>
        <v>2</v>
      </c>
      <c r="U147" s="70"/>
      <c r="V147" s="80" t="s">
        <v>1263</v>
      </c>
      <c r="W147" s="79">
        <f t="shared" ca="1" si="179"/>
        <v>2</v>
      </c>
      <c r="X147" s="70"/>
      <c r="Y147" s="80" t="s">
        <v>1263</v>
      </c>
      <c r="Z147" s="79">
        <f t="shared" ca="1" si="180"/>
        <v>2</v>
      </c>
      <c r="AA147" s="70"/>
      <c r="AB147" s="80" t="s">
        <v>1263</v>
      </c>
      <c r="AC147" s="79">
        <f t="shared" ca="1" si="181"/>
        <v>2</v>
      </c>
      <c r="AD147" s="70"/>
      <c r="AE147" s="80" t="s">
        <v>1263</v>
      </c>
      <c r="AF147" s="79">
        <f t="shared" ca="1" si="182"/>
        <v>2</v>
      </c>
      <c r="AG147" s="70"/>
      <c r="AH147" s="70"/>
    </row>
    <row r="148" spans="1:34" x14ac:dyDescent="0.2">
      <c r="A148" s="55"/>
      <c r="B148" s="55"/>
      <c r="C148" s="55"/>
      <c r="D148" s="55"/>
      <c r="E148" s="71"/>
      <c r="F148" s="133">
        <f t="shared" si="183"/>
        <v>2</v>
      </c>
      <c r="G148" s="453">
        <f ca="1">VLOOKUP(H148,Equipos!$Q$1:$R$25,2,0)</f>
        <v>19</v>
      </c>
      <c r="H148" s="455" t="str">
        <f>Idiomas!$D$137</f>
        <v>CLASIFICADOS PARA DIECISEISAVOS</v>
      </c>
      <c r="I148" s="56"/>
      <c r="J148" s="851"/>
      <c r="K148" s="62" t="str">
        <f>Idiomas!$D$198&amp;"-"&amp;ROWS($L$130:L148)</f>
        <v>Dieciseisavofinalista-19</v>
      </c>
      <c r="L148" s="59"/>
      <c r="M148" s="61" t="str">
        <f ca="1">WORLDCUP!AF103</f>
        <v>Paraguay</v>
      </c>
      <c r="N148" s="25"/>
      <c r="O148" s="25"/>
      <c r="P148" s="25"/>
      <c r="Q148" s="25"/>
      <c r="R148" s="116"/>
      <c r="S148" s="80" t="s">
        <v>1319</v>
      </c>
      <c r="T148" s="79">
        <f t="shared" ca="1" si="178"/>
        <v>2</v>
      </c>
      <c r="U148" s="70"/>
      <c r="V148" s="80" t="s">
        <v>1319</v>
      </c>
      <c r="W148" s="79">
        <f t="shared" ca="1" si="179"/>
        <v>2</v>
      </c>
      <c r="X148" s="70"/>
      <c r="Y148" s="80" t="s">
        <v>1319</v>
      </c>
      <c r="Z148" s="79">
        <f t="shared" ca="1" si="180"/>
        <v>2</v>
      </c>
      <c r="AA148" s="70"/>
      <c r="AB148" s="80" t="s">
        <v>1319</v>
      </c>
      <c r="AC148" s="79">
        <f t="shared" ca="1" si="181"/>
        <v>2</v>
      </c>
      <c r="AD148" s="70"/>
      <c r="AE148" s="80" t="s">
        <v>1319</v>
      </c>
      <c r="AF148" s="79">
        <f t="shared" ca="1" si="182"/>
        <v>2</v>
      </c>
      <c r="AG148" s="70"/>
      <c r="AH148" s="70"/>
    </row>
    <row r="149" spans="1:34" x14ac:dyDescent="0.2">
      <c r="A149" s="55"/>
      <c r="B149" s="55"/>
      <c r="C149" s="55"/>
      <c r="D149" s="55"/>
      <c r="E149" s="71"/>
      <c r="F149" s="133">
        <f t="shared" si="183"/>
        <v>2</v>
      </c>
      <c r="G149" s="453">
        <f ca="1">VLOOKUP(H149,Equipos!$Q$1:$R$25,2,0)</f>
        <v>19</v>
      </c>
      <c r="H149" s="455" t="str">
        <f>Idiomas!$D$137</f>
        <v>CLASIFICADOS PARA DIECISEISAVOS</v>
      </c>
      <c r="I149" s="56"/>
      <c r="J149" s="851"/>
      <c r="K149" s="62" t="str">
        <f>Idiomas!$D$198&amp;"-"&amp;ROWS($L$130:L149)</f>
        <v>Dieciseisavofinalista-20</v>
      </c>
      <c r="L149" s="59"/>
      <c r="M149" s="61" t="str">
        <f ca="1">WORLDCUP!AF104</f>
        <v>Marruecos</v>
      </c>
      <c r="N149" s="25"/>
      <c r="O149" s="25"/>
      <c r="P149" s="25"/>
      <c r="Q149" s="25"/>
      <c r="R149" s="116"/>
      <c r="S149" s="80" t="s">
        <v>1321</v>
      </c>
      <c r="T149" s="79">
        <f t="shared" ca="1" si="178"/>
        <v>2</v>
      </c>
      <c r="U149" s="70"/>
      <c r="V149" s="80" t="s">
        <v>1321</v>
      </c>
      <c r="W149" s="79">
        <f t="shared" ca="1" si="179"/>
        <v>2</v>
      </c>
      <c r="X149" s="70"/>
      <c r="Y149" s="80" t="s">
        <v>1321</v>
      </c>
      <c r="Z149" s="79">
        <f t="shared" ca="1" si="180"/>
        <v>2</v>
      </c>
      <c r="AA149" s="70"/>
      <c r="AB149" s="80" t="s">
        <v>1321</v>
      </c>
      <c r="AC149" s="79">
        <f t="shared" ca="1" si="181"/>
        <v>2</v>
      </c>
      <c r="AD149" s="70"/>
      <c r="AE149" s="80" t="s">
        <v>1321</v>
      </c>
      <c r="AF149" s="79">
        <f t="shared" ca="1" si="182"/>
        <v>2</v>
      </c>
      <c r="AG149" s="70"/>
      <c r="AH149" s="70"/>
    </row>
    <row r="150" spans="1:34" x14ac:dyDescent="0.2">
      <c r="A150" s="55"/>
      <c r="B150" s="55"/>
      <c r="C150" s="55"/>
      <c r="D150" s="55"/>
      <c r="E150" s="71"/>
      <c r="F150" s="133">
        <f t="shared" si="183"/>
        <v>2</v>
      </c>
      <c r="G150" s="453">
        <f ca="1">VLOOKUP(H150,Equipos!$Q$1:$R$25,2,0)</f>
        <v>19</v>
      </c>
      <c r="H150" s="455" t="str">
        <f>Idiomas!$D$137</f>
        <v>CLASIFICADOS PARA DIECISEISAVOS</v>
      </c>
      <c r="I150" s="56"/>
      <c r="J150" s="851"/>
      <c r="K150" s="62" t="str">
        <f>Idiomas!$D$198&amp;"-"&amp;ROWS($L$130:L150)</f>
        <v>Dieciseisavofinalista-21</v>
      </c>
      <c r="L150" s="59"/>
      <c r="M150" s="61" t="str">
        <f ca="1">WORLDCUP!AF105</f>
        <v>Noruega</v>
      </c>
      <c r="N150" s="25"/>
      <c r="O150" s="25"/>
      <c r="P150" s="25"/>
      <c r="Q150" s="25"/>
      <c r="R150" s="116"/>
      <c r="S150" s="80" t="s">
        <v>135</v>
      </c>
      <c r="T150" s="79">
        <f t="shared" ca="1" si="178"/>
        <v>2</v>
      </c>
      <c r="U150" s="70"/>
      <c r="V150" s="80" t="s">
        <v>135</v>
      </c>
      <c r="W150" s="79">
        <f t="shared" ca="1" si="179"/>
        <v>2</v>
      </c>
      <c r="X150" s="70"/>
      <c r="Y150" s="80" t="s">
        <v>135</v>
      </c>
      <c r="Z150" s="79">
        <f t="shared" ca="1" si="180"/>
        <v>2</v>
      </c>
      <c r="AA150" s="70"/>
      <c r="AB150" s="80" t="s">
        <v>135</v>
      </c>
      <c r="AC150" s="79">
        <f t="shared" ca="1" si="181"/>
        <v>2</v>
      </c>
      <c r="AD150" s="70"/>
      <c r="AE150" s="80" t="s">
        <v>135</v>
      </c>
      <c r="AF150" s="79">
        <f t="shared" ca="1" si="182"/>
        <v>2</v>
      </c>
      <c r="AG150" s="70"/>
      <c r="AH150" s="70"/>
    </row>
    <row r="151" spans="1:34" x14ac:dyDescent="0.2">
      <c r="A151" s="55"/>
      <c r="B151" s="55"/>
      <c r="C151" s="55"/>
      <c r="D151" s="55"/>
      <c r="E151" s="71"/>
      <c r="F151" s="133">
        <f t="shared" si="183"/>
        <v>2</v>
      </c>
      <c r="G151" s="453">
        <f ca="1">VLOOKUP(H151,Equipos!$Q$1:$R$25,2,0)</f>
        <v>19</v>
      </c>
      <c r="H151" s="455" t="str">
        <f>Idiomas!$D$137</f>
        <v>CLASIFICADOS PARA DIECISEISAVOS</v>
      </c>
      <c r="I151" s="56"/>
      <c r="J151" s="851"/>
      <c r="K151" s="62" t="str">
        <f>Idiomas!$D$198&amp;"-"&amp;ROWS($L$130:L151)</f>
        <v>Dieciseisavofinalista-22</v>
      </c>
      <c r="L151" s="59"/>
      <c r="M151" s="61" t="str">
        <f ca="1">WORLDCUP!AF106</f>
        <v>Suecia</v>
      </c>
      <c r="N151" s="25"/>
      <c r="O151" s="25"/>
      <c r="P151" s="25"/>
      <c r="Q151" s="25"/>
      <c r="R151" s="116"/>
      <c r="S151" s="80" t="s">
        <v>1833</v>
      </c>
      <c r="T151" s="79">
        <f t="shared" ca="1" si="178"/>
        <v>2</v>
      </c>
      <c r="U151" s="70"/>
      <c r="V151" s="80" t="s">
        <v>1833</v>
      </c>
      <c r="W151" s="79">
        <f t="shared" ca="1" si="179"/>
        <v>2</v>
      </c>
      <c r="X151" s="70"/>
      <c r="Y151" s="80" t="s">
        <v>1833</v>
      </c>
      <c r="Z151" s="79">
        <f t="shared" ca="1" si="180"/>
        <v>2</v>
      </c>
      <c r="AA151" s="70"/>
      <c r="AB151" s="80" t="s">
        <v>1833</v>
      </c>
      <c r="AC151" s="79">
        <f t="shared" ca="1" si="181"/>
        <v>2</v>
      </c>
      <c r="AD151" s="70"/>
      <c r="AE151" s="80" t="s">
        <v>1833</v>
      </c>
      <c r="AF151" s="79">
        <f t="shared" ca="1" si="182"/>
        <v>2</v>
      </c>
      <c r="AG151" s="70"/>
      <c r="AH151" s="70"/>
    </row>
    <row r="152" spans="1:34" x14ac:dyDescent="0.2">
      <c r="A152" s="55"/>
      <c r="B152" s="55"/>
      <c r="C152" s="55"/>
      <c r="D152" s="55"/>
      <c r="E152" s="71"/>
      <c r="F152" s="133">
        <f t="shared" si="183"/>
        <v>2</v>
      </c>
      <c r="G152" s="453">
        <f ca="1">VLOOKUP(H152,Equipos!$Q$1:$R$25,2,0)</f>
        <v>19</v>
      </c>
      <c r="H152" s="455" t="str">
        <f>Idiomas!$D$137</f>
        <v>CLASIFICADOS PARA DIECISEISAVOS</v>
      </c>
      <c r="I152" s="56"/>
      <c r="J152" s="851"/>
      <c r="K152" s="62" t="str">
        <f>Idiomas!$D$198&amp;"-"&amp;ROWS($L$130:L152)</f>
        <v>Dieciseisavofinalista-23</v>
      </c>
      <c r="L152" s="59"/>
      <c r="M152" s="61" t="str">
        <f ca="1">WORLDCUP!AF107</f>
        <v>Ecuador</v>
      </c>
      <c r="N152" s="25"/>
      <c r="O152" s="25"/>
      <c r="P152" s="25"/>
      <c r="Q152" s="25"/>
      <c r="R152" s="116"/>
      <c r="S152" s="80" t="s">
        <v>1261</v>
      </c>
      <c r="T152" s="79">
        <f t="shared" ca="1" si="178"/>
        <v>2</v>
      </c>
      <c r="U152" s="70"/>
      <c r="V152" s="80" t="s">
        <v>1261</v>
      </c>
      <c r="W152" s="79">
        <f t="shared" ca="1" si="179"/>
        <v>2</v>
      </c>
      <c r="X152" s="70"/>
      <c r="Y152" s="80" t="s">
        <v>1261</v>
      </c>
      <c r="Z152" s="79">
        <f t="shared" ca="1" si="180"/>
        <v>2</v>
      </c>
      <c r="AA152" s="70"/>
      <c r="AB152" s="80" t="s">
        <v>1261</v>
      </c>
      <c r="AC152" s="79">
        <f t="shared" ca="1" si="181"/>
        <v>2</v>
      </c>
      <c r="AD152" s="70"/>
      <c r="AE152" s="80" t="s">
        <v>1261</v>
      </c>
      <c r="AF152" s="79">
        <f t="shared" ca="1" si="182"/>
        <v>2</v>
      </c>
      <c r="AG152" s="70"/>
      <c r="AH152" s="70"/>
    </row>
    <row r="153" spans="1:34" x14ac:dyDescent="0.2">
      <c r="A153" s="55"/>
      <c r="B153" s="55"/>
      <c r="C153" s="55"/>
      <c r="D153" s="55"/>
      <c r="E153" s="71"/>
      <c r="F153" s="133">
        <f t="shared" si="183"/>
        <v>2</v>
      </c>
      <c r="G153" s="453">
        <f ca="1">VLOOKUP(H153,Equipos!$Q$1:$R$25,2,0)</f>
        <v>19</v>
      </c>
      <c r="H153" s="455" t="str">
        <f>Idiomas!$D$137</f>
        <v>CLASIFICADOS PARA DIECISEISAVOS</v>
      </c>
      <c r="I153" s="56"/>
      <c r="J153" s="851"/>
      <c r="K153" s="62" t="str">
        <f>Idiomas!$D$198&amp;"-"&amp;ROWS($L$130:L153)</f>
        <v>Dieciseisavofinalista-24</v>
      </c>
      <c r="L153" s="59"/>
      <c r="M153" s="61" t="str">
        <f ca="1">WORLDCUP!AF108</f>
        <v>RD Congo</v>
      </c>
      <c r="N153" s="25"/>
      <c r="O153" s="25"/>
      <c r="P153" s="25"/>
      <c r="Q153" s="25"/>
      <c r="R153" s="116"/>
      <c r="S153" s="80" t="s">
        <v>1839</v>
      </c>
      <c r="T153" s="79">
        <f t="shared" ca="1" si="178"/>
        <v>2</v>
      </c>
      <c r="U153" s="70"/>
      <c r="V153" s="80" t="s">
        <v>1839</v>
      </c>
      <c r="W153" s="79">
        <f t="shared" ca="1" si="179"/>
        <v>2</v>
      </c>
      <c r="X153" s="70"/>
      <c r="Y153" s="80" t="s">
        <v>1839</v>
      </c>
      <c r="Z153" s="79">
        <f t="shared" ca="1" si="180"/>
        <v>2</v>
      </c>
      <c r="AA153" s="70"/>
      <c r="AB153" s="80" t="s">
        <v>1839</v>
      </c>
      <c r="AC153" s="79">
        <f t="shared" ca="1" si="181"/>
        <v>2</v>
      </c>
      <c r="AD153" s="70"/>
      <c r="AE153" s="80" t="s">
        <v>1839</v>
      </c>
      <c r="AF153" s="79">
        <f t="shared" ca="1" si="182"/>
        <v>2</v>
      </c>
      <c r="AG153" s="70"/>
      <c r="AH153" s="70"/>
    </row>
    <row r="154" spans="1:34" x14ac:dyDescent="0.2">
      <c r="A154" s="55"/>
      <c r="B154" s="55"/>
      <c r="C154" s="55"/>
      <c r="D154" s="55"/>
      <c r="E154" s="71"/>
      <c r="F154" s="133">
        <f t="shared" si="183"/>
        <v>2</v>
      </c>
      <c r="G154" s="453">
        <f ca="1">VLOOKUP(H154,Equipos!$Q$1:$R$25,2,0)</f>
        <v>19</v>
      </c>
      <c r="H154" s="455" t="str">
        <f>Idiomas!$D$137</f>
        <v>CLASIFICADOS PARA DIECISEISAVOS</v>
      </c>
      <c r="I154" s="56"/>
      <c r="J154" s="851"/>
      <c r="K154" s="62" t="str">
        <f>Idiomas!$D$198&amp;"-"&amp;ROWS($L$130:L154)</f>
        <v>Dieciseisavofinalista-25</v>
      </c>
      <c r="L154" s="59"/>
      <c r="M154" s="61" t="str">
        <f ca="1">WORLDCUP!AF109</f>
        <v>Senegal</v>
      </c>
      <c r="N154" s="25"/>
      <c r="O154" s="25"/>
      <c r="P154" s="25"/>
      <c r="Q154" s="25"/>
      <c r="R154" s="116"/>
      <c r="S154" s="80" t="s">
        <v>1634</v>
      </c>
      <c r="T154" s="79">
        <f t="shared" ca="1" si="178"/>
        <v>2</v>
      </c>
      <c r="U154" s="70"/>
      <c r="V154" s="80" t="s">
        <v>1634</v>
      </c>
      <c r="W154" s="79">
        <f t="shared" ca="1" si="179"/>
        <v>2</v>
      </c>
      <c r="X154" s="70"/>
      <c r="Y154" s="80" t="s">
        <v>1634</v>
      </c>
      <c r="Z154" s="79">
        <f t="shared" ca="1" si="180"/>
        <v>2</v>
      </c>
      <c r="AA154" s="70"/>
      <c r="AB154" s="80" t="s">
        <v>1634</v>
      </c>
      <c r="AC154" s="79">
        <f t="shared" ca="1" si="181"/>
        <v>2</v>
      </c>
      <c r="AD154" s="70"/>
      <c r="AE154" s="80" t="s">
        <v>1634</v>
      </c>
      <c r="AF154" s="79">
        <f t="shared" ca="1" si="182"/>
        <v>2</v>
      </c>
      <c r="AG154" s="70"/>
      <c r="AH154" s="70"/>
    </row>
    <row r="155" spans="1:34" x14ac:dyDescent="0.2">
      <c r="A155" s="55"/>
      <c r="B155" s="55"/>
      <c r="C155" s="55"/>
      <c r="D155" s="55"/>
      <c r="E155" s="71"/>
      <c r="F155" s="133">
        <f t="shared" si="183"/>
        <v>2</v>
      </c>
      <c r="G155" s="453">
        <f ca="1">VLOOKUP(H155,Equipos!$Q$1:$R$25,2,0)</f>
        <v>19</v>
      </c>
      <c r="H155" s="455" t="str">
        <f>Idiomas!$D$137</f>
        <v>CLASIFICADOS PARA DIECISEISAVOS</v>
      </c>
      <c r="I155" s="56"/>
      <c r="J155" s="851"/>
      <c r="K155" s="62" t="str">
        <f>Idiomas!$D$198&amp;"-"&amp;ROWS($L$130:L155)</f>
        <v>Dieciseisavofinalista-26</v>
      </c>
      <c r="L155" s="59"/>
      <c r="M155" s="61" t="str">
        <f ca="1">WORLDCUP!AF110</f>
        <v>Bosnia y Herzegovina</v>
      </c>
      <c r="N155" s="25"/>
      <c r="O155" s="25"/>
      <c r="P155" s="25"/>
      <c r="Q155" s="25"/>
      <c r="R155" s="116"/>
      <c r="S155" s="80" t="s">
        <v>1841</v>
      </c>
      <c r="T155" s="79">
        <f t="shared" ca="1" si="178"/>
        <v>2</v>
      </c>
      <c r="U155" s="70"/>
      <c r="V155" s="80" t="s">
        <v>1841</v>
      </c>
      <c r="W155" s="79">
        <f t="shared" ca="1" si="179"/>
        <v>2</v>
      </c>
      <c r="X155" s="70"/>
      <c r="Y155" s="80" t="s">
        <v>1841</v>
      </c>
      <c r="Z155" s="79">
        <f t="shared" ca="1" si="180"/>
        <v>2</v>
      </c>
      <c r="AA155" s="70"/>
      <c r="AB155" s="80" t="s">
        <v>1841</v>
      </c>
      <c r="AC155" s="79">
        <f t="shared" ca="1" si="181"/>
        <v>2</v>
      </c>
      <c r="AD155" s="70"/>
      <c r="AE155" s="80" t="s">
        <v>1841</v>
      </c>
      <c r="AF155" s="79">
        <f t="shared" ca="1" si="182"/>
        <v>2</v>
      </c>
      <c r="AG155" s="70"/>
      <c r="AH155" s="70"/>
    </row>
    <row r="156" spans="1:34" x14ac:dyDescent="0.2">
      <c r="A156" s="55"/>
      <c r="B156" s="55"/>
      <c r="C156" s="55"/>
      <c r="D156" s="55"/>
      <c r="E156" s="71"/>
      <c r="F156" s="133">
        <f t="shared" si="183"/>
        <v>2</v>
      </c>
      <c r="G156" s="453">
        <f ca="1">VLOOKUP(H156,Equipos!$Q$1:$R$25,2,0)</f>
        <v>19</v>
      </c>
      <c r="H156" s="455" t="str">
        <f>Idiomas!$D$137</f>
        <v>CLASIFICADOS PARA DIECISEISAVOS</v>
      </c>
      <c r="I156" s="56"/>
      <c r="J156" s="851"/>
      <c r="K156" s="62" t="str">
        <f>Idiomas!$D$198&amp;"-"&amp;ROWS($L$130:L156)</f>
        <v>Dieciseisavofinalista-27</v>
      </c>
      <c r="L156" s="59"/>
      <c r="M156" s="61" t="str">
        <f ca="1">WORLDCUP!AF111</f>
        <v>Austria</v>
      </c>
      <c r="N156" s="25"/>
      <c r="O156" s="25"/>
      <c r="P156" s="25"/>
      <c r="Q156" s="25"/>
      <c r="R156" s="116"/>
      <c r="S156" s="80" t="s">
        <v>80</v>
      </c>
      <c r="T156" s="79">
        <f t="shared" ca="1" si="178"/>
        <v>2</v>
      </c>
      <c r="U156" s="70"/>
      <c r="V156" s="80" t="s">
        <v>80</v>
      </c>
      <c r="W156" s="79">
        <f t="shared" ca="1" si="179"/>
        <v>2</v>
      </c>
      <c r="X156" s="70"/>
      <c r="Y156" s="80" t="s">
        <v>80</v>
      </c>
      <c r="Z156" s="79">
        <f t="shared" ca="1" si="180"/>
        <v>2</v>
      </c>
      <c r="AA156" s="70"/>
      <c r="AB156" s="80" t="s">
        <v>80</v>
      </c>
      <c r="AC156" s="79">
        <f t="shared" ca="1" si="181"/>
        <v>2</v>
      </c>
      <c r="AD156" s="70"/>
      <c r="AE156" s="80" t="s">
        <v>80</v>
      </c>
      <c r="AF156" s="79">
        <f t="shared" ca="1" si="182"/>
        <v>2</v>
      </c>
      <c r="AG156" s="70"/>
      <c r="AH156" s="70"/>
    </row>
    <row r="157" spans="1:34" x14ac:dyDescent="0.2">
      <c r="A157" s="55"/>
      <c r="B157" s="55"/>
      <c r="C157" s="55"/>
      <c r="D157" s="55"/>
      <c r="E157" s="71"/>
      <c r="F157" s="133">
        <f t="shared" si="183"/>
        <v>2</v>
      </c>
      <c r="G157" s="453">
        <f ca="1">VLOOKUP(H157,Equipos!$Q$1:$R$25,2,0)</f>
        <v>19</v>
      </c>
      <c r="H157" s="455" t="str">
        <f>Idiomas!$D$137</f>
        <v>CLASIFICADOS PARA DIECISEISAVOS</v>
      </c>
      <c r="I157" s="56"/>
      <c r="J157" s="851"/>
      <c r="K157" s="62" t="str">
        <f>Idiomas!$D$198&amp;"-"&amp;ROWS($L$130:L157)</f>
        <v>Dieciseisavofinalista-28</v>
      </c>
      <c r="L157" s="59"/>
      <c r="M157" s="61" t="str">
        <f ca="1">WORLDCUP!AF112</f>
        <v>Croacia</v>
      </c>
      <c r="N157" s="25"/>
      <c r="O157" s="25"/>
      <c r="P157" s="25"/>
      <c r="Q157" s="25"/>
      <c r="R157" s="116"/>
      <c r="S157" s="80" t="s">
        <v>78</v>
      </c>
      <c r="T157" s="79">
        <f t="shared" ca="1" si="178"/>
        <v>2</v>
      </c>
      <c r="U157" s="70"/>
      <c r="V157" s="80" t="s">
        <v>78</v>
      </c>
      <c r="W157" s="79">
        <f t="shared" ca="1" si="179"/>
        <v>2</v>
      </c>
      <c r="X157" s="70"/>
      <c r="Y157" s="80" t="s">
        <v>78</v>
      </c>
      <c r="Z157" s="79">
        <f t="shared" ca="1" si="180"/>
        <v>2</v>
      </c>
      <c r="AA157" s="70"/>
      <c r="AB157" s="80" t="s">
        <v>78</v>
      </c>
      <c r="AC157" s="79">
        <f t="shared" ca="1" si="181"/>
        <v>2</v>
      </c>
      <c r="AD157" s="70"/>
      <c r="AE157" s="80" t="s">
        <v>78</v>
      </c>
      <c r="AF157" s="79">
        <f t="shared" ca="1" si="182"/>
        <v>2</v>
      </c>
      <c r="AG157" s="70"/>
      <c r="AH157" s="70"/>
    </row>
    <row r="158" spans="1:34" x14ac:dyDescent="0.2">
      <c r="A158" s="55"/>
      <c r="B158" s="55"/>
      <c r="C158" s="55"/>
      <c r="D158" s="55"/>
      <c r="E158" s="71"/>
      <c r="F158" s="133">
        <f t="shared" si="183"/>
        <v>2</v>
      </c>
      <c r="G158" s="453">
        <f ca="1">VLOOKUP(H158,Equipos!$Q$1:$R$25,2,0)</f>
        <v>19</v>
      </c>
      <c r="H158" s="455" t="str">
        <f>Idiomas!$D$137</f>
        <v>CLASIFICADOS PARA DIECISEISAVOS</v>
      </c>
      <c r="I158" s="56"/>
      <c r="J158" s="851"/>
      <c r="K158" s="62" t="str">
        <f>Idiomas!$D$198&amp;"-"&amp;ROWS($L$130:L158)</f>
        <v>Dieciseisavofinalista-29</v>
      </c>
      <c r="L158" s="59"/>
      <c r="M158" s="61" t="str">
        <f ca="1">WORLDCUP!AF113</f>
        <v>Argelia</v>
      </c>
      <c r="N158" s="25"/>
      <c r="O158" s="25"/>
      <c r="P158" s="25"/>
      <c r="Q158" s="25"/>
      <c r="R158" s="116"/>
      <c r="S158" s="80" t="s">
        <v>1558</v>
      </c>
      <c r="T158" s="79">
        <f t="shared" ca="1" si="178"/>
        <v>2</v>
      </c>
      <c r="U158" s="70"/>
      <c r="V158" s="80" t="s">
        <v>1558</v>
      </c>
      <c r="W158" s="79">
        <f t="shared" ca="1" si="179"/>
        <v>2</v>
      </c>
      <c r="X158" s="70"/>
      <c r="Y158" s="80" t="s">
        <v>1558</v>
      </c>
      <c r="Z158" s="79">
        <f t="shared" ca="1" si="180"/>
        <v>2</v>
      </c>
      <c r="AA158" s="70"/>
      <c r="AB158" s="80" t="s">
        <v>1558</v>
      </c>
      <c r="AC158" s="79">
        <f t="shared" ca="1" si="181"/>
        <v>2</v>
      </c>
      <c r="AD158" s="70"/>
      <c r="AE158" s="80" t="s">
        <v>1558</v>
      </c>
      <c r="AF158" s="79">
        <f t="shared" ca="1" si="182"/>
        <v>2</v>
      </c>
      <c r="AG158" s="70"/>
      <c r="AH158" s="70"/>
    </row>
    <row r="159" spans="1:34" x14ac:dyDescent="0.2">
      <c r="A159" s="55"/>
      <c r="B159" s="55"/>
      <c r="C159" s="55"/>
      <c r="D159" s="55"/>
      <c r="E159" s="71"/>
      <c r="F159" s="133">
        <f t="shared" si="183"/>
        <v>2</v>
      </c>
      <c r="G159" s="453">
        <f ca="1">VLOOKUP(H159,Equipos!$Q$1:$R$25,2,0)</f>
        <v>19</v>
      </c>
      <c r="H159" s="455" t="str">
        <f>Idiomas!$D$137</f>
        <v>CLASIFICADOS PARA DIECISEISAVOS</v>
      </c>
      <c r="I159" s="56"/>
      <c r="J159" s="851"/>
      <c r="K159" s="62" t="str">
        <f>Idiomas!$D$198&amp;"-"&amp;ROWS($L$130:L159)</f>
        <v>Dieciseisavofinalista-30</v>
      </c>
      <c r="L159" s="59"/>
      <c r="M159" s="61" t="str">
        <f ca="1">WORLDCUP!AF114</f>
        <v>Egipto</v>
      </c>
      <c r="N159" s="25"/>
      <c r="O159" s="25"/>
      <c r="P159" s="25"/>
      <c r="Q159" s="25"/>
      <c r="R159" s="116"/>
      <c r="S159" s="80" t="s">
        <v>1550</v>
      </c>
      <c r="T159" s="79">
        <f t="shared" ca="1" si="178"/>
        <v>2</v>
      </c>
      <c r="U159" s="70"/>
      <c r="V159" s="80" t="s">
        <v>1550</v>
      </c>
      <c r="W159" s="79">
        <f t="shared" ca="1" si="179"/>
        <v>2</v>
      </c>
      <c r="X159" s="70"/>
      <c r="Y159" s="80" t="s">
        <v>1550</v>
      </c>
      <c r="Z159" s="79">
        <f t="shared" ca="1" si="180"/>
        <v>2</v>
      </c>
      <c r="AA159" s="70"/>
      <c r="AB159" s="80" t="s">
        <v>1550</v>
      </c>
      <c r="AC159" s="79">
        <f t="shared" ca="1" si="181"/>
        <v>2</v>
      </c>
      <c r="AD159" s="70"/>
      <c r="AE159" s="80" t="s">
        <v>1550</v>
      </c>
      <c r="AF159" s="79">
        <f t="shared" ca="1" si="182"/>
        <v>2</v>
      </c>
      <c r="AG159" s="70"/>
      <c r="AH159" s="70"/>
    </row>
    <row r="160" spans="1:34" x14ac:dyDescent="0.2">
      <c r="A160" s="55"/>
      <c r="B160" s="55"/>
      <c r="C160" s="55"/>
      <c r="D160" s="55"/>
      <c r="E160" s="71"/>
      <c r="F160" s="133">
        <f t="shared" si="183"/>
        <v>2</v>
      </c>
      <c r="G160" s="453">
        <f ca="1">VLOOKUP(H160,Equipos!$Q$1:$R$25,2,0)</f>
        <v>19</v>
      </c>
      <c r="H160" s="455" t="str">
        <f>Idiomas!$D$137</f>
        <v>CLASIFICADOS PARA DIECISEISAVOS</v>
      </c>
      <c r="I160" s="56"/>
      <c r="J160" s="851"/>
      <c r="K160" s="62" t="str">
        <f>Idiomas!$D$198&amp;"-"&amp;ROWS($L$130:L160)</f>
        <v>Dieciseisavofinalista-31</v>
      </c>
      <c r="L160" s="59"/>
      <c r="M160" s="61" t="str">
        <f ca="1">WORLDCUP!AF115</f>
        <v>Cabo Verde</v>
      </c>
      <c r="N160" s="25"/>
      <c r="O160" s="25"/>
      <c r="P160" s="25"/>
      <c r="Q160" s="25"/>
      <c r="R160" s="116"/>
      <c r="S160" s="80" t="s">
        <v>1552</v>
      </c>
      <c r="T160" s="79">
        <f t="shared" ca="1" si="178"/>
        <v>2</v>
      </c>
      <c r="U160" s="70"/>
      <c r="V160" s="80" t="s">
        <v>1552</v>
      </c>
      <c r="W160" s="79">
        <f t="shared" ca="1" si="179"/>
        <v>2</v>
      </c>
      <c r="X160" s="70"/>
      <c r="Y160" s="80" t="s">
        <v>1552</v>
      </c>
      <c r="Z160" s="79">
        <f t="shared" ca="1" si="180"/>
        <v>2</v>
      </c>
      <c r="AA160" s="70"/>
      <c r="AB160" s="80" t="s">
        <v>1552</v>
      </c>
      <c r="AC160" s="79">
        <f t="shared" ca="1" si="181"/>
        <v>2</v>
      </c>
      <c r="AD160" s="70"/>
      <c r="AE160" s="80" t="s">
        <v>1552</v>
      </c>
      <c r="AF160" s="79">
        <f t="shared" ca="1" si="182"/>
        <v>2</v>
      </c>
      <c r="AG160" s="70"/>
      <c r="AH160" s="70"/>
    </row>
    <row r="161" spans="1:34" x14ac:dyDescent="0.2">
      <c r="A161" s="55"/>
      <c r="B161" s="55"/>
      <c r="C161" s="55"/>
      <c r="D161" s="55"/>
      <c r="E161" s="71"/>
      <c r="F161" s="133">
        <f t="shared" si="183"/>
        <v>2</v>
      </c>
      <c r="G161" s="453">
        <f ca="1">VLOOKUP(H161,Equipos!$Q$1:$R$25,2,0)</f>
        <v>19</v>
      </c>
      <c r="H161" s="455" t="str">
        <f>Idiomas!$D$137</f>
        <v>CLASIFICADOS PARA DIECISEISAVOS</v>
      </c>
      <c r="I161" s="56"/>
      <c r="J161" s="851"/>
      <c r="K161" s="121" t="str">
        <f>Idiomas!$D$198&amp;"-"&amp;ROWS($L$130:L161)</f>
        <v>Dieciseisavofinalista-32</v>
      </c>
      <c r="L161" s="121"/>
      <c r="M161" s="122" t="str">
        <f ca="1">WORLDCUP!AF116</f>
        <v>Ghana</v>
      </c>
      <c r="N161" s="25"/>
      <c r="O161" s="25"/>
      <c r="P161" s="25"/>
      <c r="Q161" s="25"/>
      <c r="R161" s="116"/>
      <c r="S161" s="86" t="s">
        <v>1551</v>
      </c>
      <c r="T161" s="87">
        <f t="shared" ca="1" si="178"/>
        <v>2</v>
      </c>
      <c r="U161" s="70"/>
      <c r="V161" s="86" t="s">
        <v>1551</v>
      </c>
      <c r="W161" s="87">
        <f t="shared" ca="1" si="179"/>
        <v>2</v>
      </c>
      <c r="X161" s="70"/>
      <c r="Y161" s="86" t="s">
        <v>1551</v>
      </c>
      <c r="Z161" s="87">
        <f t="shared" ca="1" si="180"/>
        <v>2</v>
      </c>
      <c r="AA161" s="70"/>
      <c r="AB161" s="86" t="s">
        <v>1551</v>
      </c>
      <c r="AC161" s="87">
        <f t="shared" ca="1" si="181"/>
        <v>2</v>
      </c>
      <c r="AD161" s="70"/>
      <c r="AE161" s="86" t="s">
        <v>1551</v>
      </c>
      <c r="AF161" s="87">
        <f t="shared" ca="1" si="182"/>
        <v>2</v>
      </c>
      <c r="AG161" s="70"/>
      <c r="AH161" s="70"/>
    </row>
    <row r="162" spans="1:34" x14ac:dyDescent="0.2">
      <c r="A162" s="55"/>
      <c r="B162" s="55"/>
      <c r="C162" s="55"/>
      <c r="D162" s="55"/>
      <c r="E162" s="71"/>
      <c r="F162" s="133"/>
      <c r="G162" s="453"/>
      <c r="H162" s="71"/>
      <c r="I162" s="56"/>
      <c r="J162" s="100"/>
      <c r="K162" s="442" t="str">
        <f>Idiomas!D457</f>
        <v>Equipos 1/16</v>
      </c>
      <c r="L162" s="443"/>
      <c r="M162" s="442" t="str">
        <f ca="1">"Max: "&amp;$D$15*COUNT(T130:T161)</f>
        <v>Max: 64</v>
      </c>
      <c r="N162" s="25"/>
      <c r="O162" s="25"/>
      <c r="P162" s="25"/>
      <c r="Q162" s="25"/>
      <c r="R162" s="55"/>
      <c r="S162" s="90"/>
      <c r="T162" s="77">
        <f ca="1">SUM(T130:T161)</f>
        <v>64</v>
      </c>
      <c r="U162" s="71"/>
      <c r="V162" s="90"/>
      <c r="W162" s="77">
        <f t="shared" ref="W162" ca="1" si="184">SUM(W130:W161)</f>
        <v>64</v>
      </c>
      <c r="X162" s="71"/>
      <c r="Y162" s="90"/>
      <c r="Z162" s="77">
        <f t="shared" ref="Z162" ca="1" si="185">SUM(Z130:Z161)</f>
        <v>64</v>
      </c>
      <c r="AA162" s="71"/>
      <c r="AB162" s="90"/>
      <c r="AC162" s="77">
        <f t="shared" ref="AC162" ca="1" si="186">SUM(AC130:AC161)</f>
        <v>64</v>
      </c>
      <c r="AD162" s="71"/>
      <c r="AE162" s="90"/>
      <c r="AF162" s="77">
        <f t="shared" ref="AF162" ca="1" si="187">SUM(AF130:AF161)</f>
        <v>64</v>
      </c>
      <c r="AG162" s="71"/>
      <c r="AH162" s="71"/>
    </row>
    <row r="163" spans="1:34" x14ac:dyDescent="0.2">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x14ac:dyDescent="0.2">
      <c r="A164" s="25">
        <f>WORLDCUP!AD101</f>
        <v>1</v>
      </c>
      <c r="B164" s="25">
        <f>WORLDCUP!AC101</f>
        <v>0</v>
      </c>
      <c r="C164" s="25" t="str">
        <f ca="1">CONCATENATE(WORLDCUP!AF101,"-",WORLDCUP!AA101)</f>
        <v>Canadá-Sudáfrica</v>
      </c>
      <c r="D164" s="25">
        <f>IF(WORLDCUP!AC101&gt;WORLDCUP!AD101,2,IF(WORLDCUP!AC101&lt;WORLDCUP!AD101,1,IF(AND(WORLDCUP!AC101=WORLDCUP!AD101,WORLDCUP!AC101&lt;&gt;"",WORLDCUP!AD101&lt;&gt;""),0,"PD")))</f>
        <v>1</v>
      </c>
      <c r="E164" s="25" t="str">
        <f>IF(OR(WORLDCUP!AC101="",WORLDCUP!AD101=""),"-",A164&amp;"-"&amp;B164)</f>
        <v>1-0</v>
      </c>
      <c r="F164" s="415">
        <f>SUM($D$16:$D$18)*I164</f>
        <v>9</v>
      </c>
      <c r="G164" s="415">
        <f ca="1">VLOOKUP(H164,Equipos!$Q$1:$R$25,2,0)</f>
        <v>20</v>
      </c>
      <c r="H164" s="454" t="str">
        <f>Idiomas!$D$260</f>
        <v>Dieciseisavos de final</v>
      </c>
      <c r="I164" s="49">
        <v>1</v>
      </c>
      <c r="J164" s="851" t="s">
        <v>483</v>
      </c>
      <c r="K164" s="59" t="str">
        <f ca="1">CONCATENATE(WORLDCUP!AA101,"-",WORLDCUP!AF101)</f>
        <v>Sudáfrica-Canadá</v>
      </c>
      <c r="L164" s="59">
        <f>IF(OR(WORLDCUP!AC101="",WORLDCUP!AD101=""),"PD",IF(WORLDCUP!AC101&gt;WORLDCUP!AD101,1,IF(WORLDCUP!AC101&lt;WORLDCUP!AD101,2,0)))</f>
        <v>2</v>
      </c>
      <c r="M164" s="61" t="str">
        <f>IF(L164="PD","-",N164&amp;"-"&amp;O164)</f>
        <v>0-1</v>
      </c>
      <c r="N164" s="25">
        <f>WORLDCUP!AC101</f>
        <v>0</v>
      </c>
      <c r="O164" s="25">
        <f>WORLDCUP!AD101</f>
        <v>1</v>
      </c>
      <c r="P164" s="25">
        <f>N164-O164</f>
        <v>-1</v>
      </c>
      <c r="Q164" s="25">
        <f>A164-B164</f>
        <v>1</v>
      </c>
      <c r="R164" s="116"/>
      <c r="S164" s="82" t="s">
        <v>1970</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3</v>
      </c>
      <c r="U164" s="116"/>
      <c r="V164" s="82" t="s">
        <v>2002</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3</v>
      </c>
      <c r="X164" s="116"/>
      <c r="Y164" s="82" t="s">
        <v>2030</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
        <v>2002</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3</v>
      </c>
      <c r="AD164" s="116"/>
      <c r="AE164" s="82" t="s">
        <v>2063</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5</v>
      </c>
      <c r="AG164" s="116"/>
      <c r="AH164" s="116"/>
    </row>
    <row r="165" spans="1:34" x14ac:dyDescent="0.2">
      <c r="A165" s="25">
        <f>WORLDCUP!AD102</f>
        <v>1</v>
      </c>
      <c r="B165" s="25">
        <f>WORLDCUP!AC102</f>
        <v>2</v>
      </c>
      <c r="C165" s="25" t="str">
        <f ca="1">CONCATENATE(WORLDCUP!AF102,"-",WORLDCUP!AA102)</f>
        <v>Japón-Brasil</v>
      </c>
      <c r="D165" s="25">
        <f>IF(WORLDCUP!AC102&gt;WORLDCUP!AD102,2,IF(WORLDCUP!AC102&lt;WORLDCUP!AD102,1,IF(AND(WORLDCUP!AC102=WORLDCUP!AD102,WORLDCUP!AC102&lt;&gt;"",WORLDCUP!AD102&lt;&gt;""),0,"PD")))</f>
        <v>2</v>
      </c>
      <c r="E165" s="25" t="str">
        <f>IF(OR(WORLDCUP!AC102="",WORLDCUP!AD102=""),"-",A165&amp;"-"&amp;B165)</f>
        <v>1-2</v>
      </c>
      <c r="F165" s="415">
        <f t="shared" ref="F165:F179" si="192">SUM($D$16:$D$18)*I165</f>
        <v>9</v>
      </c>
      <c r="G165" s="415">
        <f ca="1">VLOOKUP(H165,Equipos!$Q$1:$R$25,2,0)</f>
        <v>20</v>
      </c>
      <c r="H165" s="454" t="str">
        <f>Idiomas!$D$260</f>
        <v>Dieciseisavos de final</v>
      </c>
      <c r="I165" s="49">
        <v>1</v>
      </c>
      <c r="J165" s="851"/>
      <c r="K165" s="62" t="str">
        <f ca="1">CONCATENATE(WORLDCUP!AA102,"-",WORLDCUP!AF102)</f>
        <v>Brasil-Japón</v>
      </c>
      <c r="L165" s="59">
        <f>IF(OR(WORLDCUP!AC102="",WORLDCUP!AD102=""),"PD",IF(WORLDCUP!AC102&gt;WORLDCUP!AD102,1,IF(WORLDCUP!AC102&lt;WORLDCUP!AD102,2,0)))</f>
        <v>1</v>
      </c>
      <c r="M165" s="61" t="str">
        <f t="shared" ref="M165:M179" si="193">IF(L165="PD","-",N165&amp;"-"&amp;O165)</f>
        <v>2-1</v>
      </c>
      <c r="N165" s="25">
        <f>WORLDCUP!AC102</f>
        <v>2</v>
      </c>
      <c r="O165" s="25">
        <f>WORLDCUP!AD102</f>
        <v>1</v>
      </c>
      <c r="P165" s="25">
        <f t="shared" ref="P165:P179" si="194">N165-O165</f>
        <v>1</v>
      </c>
      <c r="Q165" s="25">
        <f t="shared" ref="Q165:Q179" si="195">A165-B165</f>
        <v>-1</v>
      </c>
      <c r="R165" s="116"/>
      <c r="S165" s="82" t="s">
        <v>1971</v>
      </c>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9</v>
      </c>
      <c r="U165" s="116"/>
      <c r="V165" s="80" t="s">
        <v>2003</v>
      </c>
      <c r="W165" s="83">
        <f t="shared" ca="1" si="188"/>
        <v>0</v>
      </c>
      <c r="X165" s="116"/>
      <c r="Y165" s="80" t="s">
        <v>1971</v>
      </c>
      <c r="Z165" s="83">
        <f t="shared" ca="1" si="188"/>
        <v>9</v>
      </c>
      <c r="AA165" s="116"/>
      <c r="AB165" s="86" t="s">
        <v>2050</v>
      </c>
      <c r="AC165" s="83">
        <f t="shared" ca="1" si="188"/>
        <v>3</v>
      </c>
      <c r="AD165" s="116"/>
      <c r="AE165" s="80" t="s">
        <v>2050</v>
      </c>
      <c r="AF165" s="83">
        <f t="shared" ca="1" si="188"/>
        <v>3</v>
      </c>
      <c r="AG165" s="116"/>
      <c r="AH165" s="116"/>
    </row>
    <row r="166" spans="1:34" x14ac:dyDescent="0.2">
      <c r="A166" s="25">
        <f>WORLDCUP!AD103</f>
        <v>1</v>
      </c>
      <c r="B166" s="25">
        <f>WORLDCUP!AC103</f>
        <v>1</v>
      </c>
      <c r="C166" s="25" t="str">
        <f ca="1">CONCATENATE(WORLDCUP!AF103,"-",WORLDCUP!AA103)</f>
        <v>Paraguay-Alemania</v>
      </c>
      <c r="D166" s="25">
        <f>IF(WORLDCUP!AC103&gt;WORLDCUP!AD103,2,IF(WORLDCUP!AC103&lt;WORLDCUP!AD103,1,IF(AND(WORLDCUP!AC103=WORLDCUP!AD103,WORLDCUP!AC103&lt;&gt;"",WORLDCUP!AD103&lt;&gt;""),0,"PD")))</f>
        <v>0</v>
      </c>
      <c r="E166" s="25" t="str">
        <f>IF(OR(WORLDCUP!AC103="",WORLDCUP!AD103=""),"-",A166&amp;"-"&amp;B166)</f>
        <v>1-1</v>
      </c>
      <c r="F166" s="415">
        <f t="shared" si="192"/>
        <v>9</v>
      </c>
      <c r="G166" s="415">
        <f ca="1">VLOOKUP(H166,Equipos!$Q$1:$R$25,2,0)</f>
        <v>20</v>
      </c>
      <c r="H166" s="454" t="str">
        <f>Idiomas!$D$260</f>
        <v>Dieciseisavos de final</v>
      </c>
      <c r="I166" s="49">
        <v>1</v>
      </c>
      <c r="J166" s="851"/>
      <c r="K166" s="62" t="str">
        <f ca="1">CONCATENATE(WORLDCUP!AA103,"-",WORLDCUP!AF103)</f>
        <v>Alemania-Paraguay</v>
      </c>
      <c r="L166" s="59">
        <f>IF(OR(WORLDCUP!AC103="",WORLDCUP!AD103=""),"PD",IF(WORLDCUP!AC103&gt;WORLDCUP!AD103,1,IF(WORLDCUP!AC103&lt;WORLDCUP!AD103,2,0)))</f>
        <v>0</v>
      </c>
      <c r="M166" s="61" t="str">
        <f t="shared" si="193"/>
        <v>1-1</v>
      </c>
      <c r="N166" s="25">
        <f>WORLDCUP!AC103</f>
        <v>1</v>
      </c>
      <c r="O166" s="25">
        <f>WORLDCUP!AD103</f>
        <v>1</v>
      </c>
      <c r="P166" s="25">
        <f t="shared" si="194"/>
        <v>0</v>
      </c>
      <c r="Q166" s="25">
        <f t="shared" si="195"/>
        <v>0</v>
      </c>
      <c r="R166" s="116"/>
      <c r="S166" s="80" t="s">
        <v>1972</v>
      </c>
      <c r="T166" s="83">
        <f t="shared" ca="1" si="196"/>
        <v>0</v>
      </c>
      <c r="U166" s="116"/>
      <c r="V166" s="80" t="s">
        <v>2004</v>
      </c>
      <c r="W166" s="83">
        <f t="shared" ca="1" si="188"/>
        <v>0</v>
      </c>
      <c r="X166" s="116"/>
      <c r="Y166" s="80" t="s">
        <v>1972</v>
      </c>
      <c r="Z166" s="83">
        <f t="shared" ca="1" si="188"/>
        <v>0</v>
      </c>
      <c r="AA166" s="116"/>
      <c r="AB166" s="86" t="s">
        <v>1972</v>
      </c>
      <c r="AC166" s="83">
        <f t="shared" ca="1" si="188"/>
        <v>0</v>
      </c>
      <c r="AD166" s="116"/>
      <c r="AE166" s="80" t="s">
        <v>2064</v>
      </c>
      <c r="AF166" s="83">
        <f t="shared" ca="1" si="188"/>
        <v>0</v>
      </c>
      <c r="AG166" s="116"/>
      <c r="AH166" s="116"/>
    </row>
    <row r="167" spans="1:34" x14ac:dyDescent="0.2">
      <c r="A167" s="25">
        <f>WORLDCUP!AD104</f>
        <v>1</v>
      </c>
      <c r="B167" s="25">
        <f>WORLDCUP!AC104</f>
        <v>1</v>
      </c>
      <c r="C167" s="25" t="str">
        <f ca="1">CONCATENATE(WORLDCUP!AF104,"-",WORLDCUP!AA104)</f>
        <v>Marruecos-Países Bajos</v>
      </c>
      <c r="D167" s="25">
        <f>IF(WORLDCUP!AC104&gt;WORLDCUP!AD104,2,IF(WORLDCUP!AC104&lt;WORLDCUP!AD104,1,IF(AND(WORLDCUP!AC104=WORLDCUP!AD104,WORLDCUP!AC104&lt;&gt;"",WORLDCUP!AD104&lt;&gt;""),0,"PD")))</f>
        <v>0</v>
      </c>
      <c r="E167" s="25" t="str">
        <f>IF(OR(WORLDCUP!AC104="",WORLDCUP!AD104=""),"-",A167&amp;"-"&amp;B167)</f>
        <v>1-1</v>
      </c>
      <c r="F167" s="415">
        <f t="shared" si="192"/>
        <v>9</v>
      </c>
      <c r="G167" s="415">
        <f ca="1">VLOOKUP(H167,Equipos!$Q$1:$R$25,2,0)</f>
        <v>20</v>
      </c>
      <c r="H167" s="454" t="str">
        <f>Idiomas!$D$260</f>
        <v>Dieciseisavos de final</v>
      </c>
      <c r="I167" s="49">
        <v>1</v>
      </c>
      <c r="J167" s="851"/>
      <c r="K167" s="62" t="str">
        <f ca="1">CONCATENATE(WORLDCUP!AA104,"-",WORLDCUP!AF104)</f>
        <v>Países Bajos-Marruecos</v>
      </c>
      <c r="L167" s="59">
        <f>IF(OR(WORLDCUP!AC104="",WORLDCUP!AD104=""),"PD",IF(WORLDCUP!AC104&gt;WORLDCUP!AD104,1,IF(WORLDCUP!AC104&lt;WORLDCUP!AD104,2,0)))</f>
        <v>0</v>
      </c>
      <c r="M167" s="61" t="str">
        <f t="shared" si="193"/>
        <v>1-1</v>
      </c>
      <c r="N167" s="25">
        <f>WORLDCUP!AC104</f>
        <v>1</v>
      </c>
      <c r="O167" s="25">
        <f>WORLDCUP!AD104</f>
        <v>1</v>
      </c>
      <c r="P167" s="25">
        <f t="shared" si="194"/>
        <v>0</v>
      </c>
      <c r="Q167" s="25">
        <f t="shared" si="195"/>
        <v>0</v>
      </c>
      <c r="R167" s="116"/>
      <c r="S167" s="80" t="s">
        <v>1973</v>
      </c>
      <c r="T167" s="83">
        <f t="shared" ca="1" si="196"/>
        <v>0</v>
      </c>
      <c r="U167" s="116"/>
      <c r="V167" s="80" t="s">
        <v>2005</v>
      </c>
      <c r="W167" s="83">
        <f t="shared" ca="1" si="188"/>
        <v>9</v>
      </c>
      <c r="X167" s="116"/>
      <c r="Y167" s="80" t="s">
        <v>2031</v>
      </c>
      <c r="Z167" s="83">
        <f t="shared" ca="1" si="188"/>
        <v>0</v>
      </c>
      <c r="AA167" s="116"/>
      <c r="AB167" s="86" t="s">
        <v>2031</v>
      </c>
      <c r="AC167" s="83">
        <f t="shared" ca="1" si="188"/>
        <v>0</v>
      </c>
      <c r="AD167" s="116"/>
      <c r="AE167" s="80" t="s">
        <v>2031</v>
      </c>
      <c r="AF167" s="83">
        <f t="shared" ca="1" si="188"/>
        <v>0</v>
      </c>
      <c r="AG167" s="116"/>
      <c r="AH167" s="116"/>
    </row>
    <row r="168" spans="1:34" x14ac:dyDescent="0.2">
      <c r="A168" s="25">
        <f>WORLDCUP!AD105</f>
        <v>2</v>
      </c>
      <c r="B168" s="25">
        <f>WORLDCUP!AC105</f>
        <v>1</v>
      </c>
      <c r="C168" s="25" t="str">
        <f ca="1">CONCATENATE(WORLDCUP!AF105,"-",WORLDCUP!AA105)</f>
        <v>Noruega-Costa de Marfil</v>
      </c>
      <c r="D168" s="25">
        <f>IF(WORLDCUP!AC105&gt;WORLDCUP!AD105,2,IF(WORLDCUP!AC105&lt;WORLDCUP!AD105,1,IF(AND(WORLDCUP!AC105=WORLDCUP!AD105,WORLDCUP!AC105&lt;&gt;"",WORLDCUP!AD105&lt;&gt;""),0,"PD")))</f>
        <v>1</v>
      </c>
      <c r="E168" s="25" t="str">
        <f>IF(OR(WORLDCUP!AC105="",WORLDCUP!AD105=""),"-",A168&amp;"-"&amp;B168)</f>
        <v>2-1</v>
      </c>
      <c r="F168" s="415">
        <f t="shared" si="192"/>
        <v>9</v>
      </c>
      <c r="G168" s="415">
        <f ca="1">VLOOKUP(H168,Equipos!$Q$1:$R$25,2,0)</f>
        <v>20</v>
      </c>
      <c r="H168" s="454" t="str">
        <f>Idiomas!$D$260</f>
        <v>Dieciseisavos de final</v>
      </c>
      <c r="I168" s="49">
        <v>1</v>
      </c>
      <c r="J168" s="851"/>
      <c r="K168" s="62" t="str">
        <f ca="1">CONCATENATE(WORLDCUP!AA105,"-",WORLDCUP!AF105)</f>
        <v>Costa de Marfil-Noruega</v>
      </c>
      <c r="L168" s="59">
        <f>IF(OR(WORLDCUP!AC105="",WORLDCUP!AD105=""),"PD",IF(WORLDCUP!AC105&gt;WORLDCUP!AD105,1,IF(WORLDCUP!AC105&lt;WORLDCUP!AD105,2,0)))</f>
        <v>2</v>
      </c>
      <c r="M168" s="61" t="str">
        <f t="shared" si="193"/>
        <v>1-2</v>
      </c>
      <c r="N168" s="25">
        <f>WORLDCUP!AC105</f>
        <v>1</v>
      </c>
      <c r="O168" s="25">
        <f>WORLDCUP!AD105</f>
        <v>2</v>
      </c>
      <c r="P168" s="25">
        <f t="shared" si="194"/>
        <v>-1</v>
      </c>
      <c r="Q168" s="25">
        <f t="shared" si="195"/>
        <v>1</v>
      </c>
      <c r="R168" s="116"/>
      <c r="S168" s="80" t="s">
        <v>1974</v>
      </c>
      <c r="T168" s="83">
        <f t="shared" ca="1" si="196"/>
        <v>5</v>
      </c>
      <c r="U168" s="116"/>
      <c r="V168" s="80" t="s">
        <v>2006</v>
      </c>
      <c r="W168" s="83">
        <f t="shared" ca="1" si="188"/>
        <v>9</v>
      </c>
      <c r="X168" s="116"/>
      <c r="Y168" s="80" t="s">
        <v>2006</v>
      </c>
      <c r="Z168" s="83">
        <f t="shared" ca="1" si="188"/>
        <v>9</v>
      </c>
      <c r="AA168" s="116"/>
      <c r="AB168" s="86" t="s">
        <v>2006</v>
      </c>
      <c r="AC168" s="83">
        <f t="shared" ca="1" si="188"/>
        <v>9</v>
      </c>
      <c r="AD168" s="116"/>
      <c r="AE168" s="80" t="s">
        <v>2065</v>
      </c>
      <c r="AF168" s="83">
        <f t="shared" ca="1" si="188"/>
        <v>3</v>
      </c>
      <c r="AG168" s="116"/>
      <c r="AH168" s="116"/>
    </row>
    <row r="169" spans="1:34" x14ac:dyDescent="0.2">
      <c r="A169" s="25">
        <f>WORLDCUP!AD106</f>
        <v>0</v>
      </c>
      <c r="B169" s="25">
        <f>WORLDCUP!AC106</f>
        <v>3</v>
      </c>
      <c r="C169" s="25" t="str">
        <f ca="1">CONCATENATE(WORLDCUP!AF106,"-",WORLDCUP!AA106)</f>
        <v>Suecia-Francia</v>
      </c>
      <c r="D169" s="25">
        <f>IF(WORLDCUP!AC106&gt;WORLDCUP!AD106,2,IF(WORLDCUP!AC106&lt;WORLDCUP!AD106,1,IF(AND(WORLDCUP!AC106=WORLDCUP!AD106,WORLDCUP!AC106&lt;&gt;"",WORLDCUP!AD106&lt;&gt;""),0,"PD")))</f>
        <v>2</v>
      </c>
      <c r="E169" s="25" t="str">
        <f>IF(OR(WORLDCUP!AC106="",WORLDCUP!AD106=""),"-",A169&amp;"-"&amp;B169)</f>
        <v>0-3</v>
      </c>
      <c r="F169" s="415">
        <f t="shared" si="192"/>
        <v>9</v>
      </c>
      <c r="G169" s="415">
        <f ca="1">VLOOKUP(H169,Equipos!$Q$1:$R$25,2,0)</f>
        <v>20</v>
      </c>
      <c r="H169" s="454" t="str">
        <f>Idiomas!$D$260</f>
        <v>Dieciseisavos de final</v>
      </c>
      <c r="I169" s="49">
        <v>1</v>
      </c>
      <c r="J169" s="851"/>
      <c r="K169" s="62" t="str">
        <f ca="1">CONCATENATE(WORLDCUP!AA106,"-",WORLDCUP!AF106)</f>
        <v>Francia-Suecia</v>
      </c>
      <c r="L169" s="59">
        <f>IF(OR(WORLDCUP!AC106="",WORLDCUP!AD106=""),"PD",IF(WORLDCUP!AC106&gt;WORLDCUP!AD106,1,IF(WORLDCUP!AC106&lt;WORLDCUP!AD106,2,0)))</f>
        <v>1</v>
      </c>
      <c r="M169" s="61" t="str">
        <f t="shared" si="193"/>
        <v>3-0</v>
      </c>
      <c r="N169" s="25">
        <f>WORLDCUP!AC106</f>
        <v>3</v>
      </c>
      <c r="O169" s="25">
        <f>WORLDCUP!AD106</f>
        <v>0</v>
      </c>
      <c r="P169" s="25">
        <f t="shared" si="194"/>
        <v>3</v>
      </c>
      <c r="Q169" s="25">
        <f t="shared" si="195"/>
        <v>-3</v>
      </c>
      <c r="R169" s="116"/>
      <c r="S169" s="80" t="s">
        <v>1975</v>
      </c>
      <c r="T169" s="83">
        <f t="shared" ca="1" si="196"/>
        <v>3</v>
      </c>
      <c r="U169" s="116"/>
      <c r="V169" s="80" t="s">
        <v>1975</v>
      </c>
      <c r="W169" s="83">
        <f t="shared" ca="1" si="188"/>
        <v>3</v>
      </c>
      <c r="X169" s="116"/>
      <c r="Y169" s="80" t="s">
        <v>1975</v>
      </c>
      <c r="Z169" s="83">
        <f t="shared" ca="1" si="188"/>
        <v>3</v>
      </c>
      <c r="AA169" s="116"/>
      <c r="AB169" s="86" t="s">
        <v>2051</v>
      </c>
      <c r="AC169" s="83">
        <f t="shared" ca="1" si="188"/>
        <v>9</v>
      </c>
      <c r="AD169" s="116"/>
      <c r="AE169" s="80" t="s">
        <v>2066</v>
      </c>
      <c r="AF169" s="83">
        <f t="shared" ca="1" si="188"/>
        <v>3</v>
      </c>
      <c r="AG169" s="116"/>
      <c r="AH169" s="116"/>
    </row>
    <row r="170" spans="1:34" x14ac:dyDescent="0.2">
      <c r="A170" s="25">
        <f>WORLDCUP!AD107</f>
        <v>0</v>
      </c>
      <c r="B170" s="25">
        <f>WORLDCUP!AC107</f>
        <v>2</v>
      </c>
      <c r="C170" s="25" t="str">
        <f ca="1">CONCATENATE(WORLDCUP!AF107,"-",WORLDCUP!AA107)</f>
        <v>Ecuador-México</v>
      </c>
      <c r="D170" s="25">
        <f>IF(WORLDCUP!AC107&gt;WORLDCUP!AD107,2,IF(WORLDCUP!AC107&lt;WORLDCUP!AD107,1,IF(AND(WORLDCUP!AC107=WORLDCUP!AD107,WORLDCUP!AC107&lt;&gt;"",WORLDCUP!AD107&lt;&gt;""),0,"PD")))</f>
        <v>2</v>
      </c>
      <c r="E170" s="25" t="str">
        <f>IF(OR(WORLDCUP!AC107="",WORLDCUP!AD107=""),"-",A170&amp;"-"&amp;B170)</f>
        <v>0-2</v>
      </c>
      <c r="F170" s="415">
        <f t="shared" si="192"/>
        <v>9</v>
      </c>
      <c r="G170" s="415">
        <f ca="1">VLOOKUP(H170,Equipos!$Q$1:$R$25,2,0)</f>
        <v>20</v>
      </c>
      <c r="H170" s="454" t="str">
        <f>Idiomas!$D$260</f>
        <v>Dieciseisavos de final</v>
      </c>
      <c r="I170" s="49">
        <v>1</v>
      </c>
      <c r="J170" s="851"/>
      <c r="K170" s="62" t="str">
        <f ca="1">CONCATENATE(WORLDCUP!AA107,"-",WORLDCUP!AF107)</f>
        <v>México-Ecuador</v>
      </c>
      <c r="L170" s="59">
        <f>IF(OR(WORLDCUP!AC107="",WORLDCUP!AD107=""),"PD",IF(WORLDCUP!AC107&gt;WORLDCUP!AD107,1,IF(WORLDCUP!AC107&lt;WORLDCUP!AD107,2,0)))</f>
        <v>1</v>
      </c>
      <c r="M170" s="61" t="str">
        <f t="shared" si="193"/>
        <v>2-0</v>
      </c>
      <c r="N170" s="25">
        <f>WORLDCUP!AC107</f>
        <v>2</v>
      </c>
      <c r="O170" s="25">
        <f>WORLDCUP!AD107</f>
        <v>0</v>
      </c>
      <c r="P170" s="25">
        <f t="shared" si="194"/>
        <v>2</v>
      </c>
      <c r="Q170" s="25">
        <f t="shared" si="195"/>
        <v>-2</v>
      </c>
      <c r="R170" s="116"/>
      <c r="S170" s="80" t="s">
        <v>1976</v>
      </c>
      <c r="T170" s="83">
        <f t="shared" ca="1" si="196"/>
        <v>3</v>
      </c>
      <c r="U170" s="116"/>
      <c r="V170" s="80" t="s">
        <v>2007</v>
      </c>
      <c r="W170" s="83">
        <f t="shared" ca="1" si="188"/>
        <v>0</v>
      </c>
      <c r="X170" s="116"/>
      <c r="Y170" s="80" t="s">
        <v>2032</v>
      </c>
      <c r="Z170" s="83">
        <f t="shared" ca="1" si="188"/>
        <v>9</v>
      </c>
      <c r="AA170" s="116"/>
      <c r="AB170" s="86" t="s">
        <v>1976</v>
      </c>
      <c r="AC170" s="83">
        <f t="shared" ca="1" si="188"/>
        <v>3</v>
      </c>
      <c r="AD170" s="116"/>
      <c r="AE170" s="80" t="s">
        <v>2067</v>
      </c>
      <c r="AF170" s="83">
        <f t="shared" ca="1" si="188"/>
        <v>0</v>
      </c>
      <c r="AG170" s="116"/>
      <c r="AH170" s="116"/>
    </row>
    <row r="171" spans="1:34" x14ac:dyDescent="0.2">
      <c r="A171" s="25">
        <f>WORLDCUP!AD108</f>
        <v>1</v>
      </c>
      <c r="B171" s="25">
        <f>WORLDCUP!AC108</f>
        <v>2</v>
      </c>
      <c r="C171" s="25" t="str">
        <f ca="1">CONCATENATE(WORLDCUP!AF108,"-",WORLDCUP!AA108)</f>
        <v>RD Congo-Inglaterra</v>
      </c>
      <c r="D171" s="25">
        <f>IF(WORLDCUP!AC108&gt;WORLDCUP!AD108,2,IF(WORLDCUP!AC108&lt;WORLDCUP!AD108,1,IF(AND(WORLDCUP!AC108=WORLDCUP!AD108,WORLDCUP!AC108&lt;&gt;"",WORLDCUP!AD108&lt;&gt;""),0,"PD")))</f>
        <v>2</v>
      </c>
      <c r="E171" s="25" t="str">
        <f>IF(OR(WORLDCUP!AC108="",WORLDCUP!AD108=""),"-",A171&amp;"-"&amp;B171)</f>
        <v>1-2</v>
      </c>
      <c r="F171" s="415">
        <f t="shared" si="192"/>
        <v>9</v>
      </c>
      <c r="G171" s="415">
        <f ca="1">VLOOKUP(H171,Equipos!$Q$1:$R$25,2,0)</f>
        <v>20</v>
      </c>
      <c r="H171" s="454" t="str">
        <f>Idiomas!$D$260</f>
        <v>Dieciseisavos de final</v>
      </c>
      <c r="I171" s="49">
        <v>1</v>
      </c>
      <c r="J171" s="851"/>
      <c r="K171" s="62" t="str">
        <f ca="1">CONCATENATE(WORLDCUP!AA108,"-",WORLDCUP!AF108)</f>
        <v>Inglaterra-RD Congo</v>
      </c>
      <c r="L171" s="59">
        <f>IF(OR(WORLDCUP!AC108="",WORLDCUP!AD108=""),"PD",IF(WORLDCUP!AC108&gt;WORLDCUP!AD108,1,IF(WORLDCUP!AC108&lt;WORLDCUP!AD108,2,0)))</f>
        <v>1</v>
      </c>
      <c r="M171" s="61" t="str">
        <f t="shared" si="193"/>
        <v>2-1</v>
      </c>
      <c r="N171" s="25">
        <f>WORLDCUP!AC108</f>
        <v>2</v>
      </c>
      <c r="O171" s="25">
        <f>WORLDCUP!AD108</f>
        <v>1</v>
      </c>
      <c r="P171" s="25">
        <f t="shared" si="194"/>
        <v>1</v>
      </c>
      <c r="Q171" s="25">
        <f t="shared" si="195"/>
        <v>-1</v>
      </c>
      <c r="R171" s="116"/>
      <c r="S171" s="80" t="s">
        <v>1977</v>
      </c>
      <c r="T171" s="83">
        <f t="shared" ca="1" si="196"/>
        <v>3</v>
      </c>
      <c r="U171" s="116"/>
      <c r="V171" s="80" t="s">
        <v>2008</v>
      </c>
      <c r="W171" s="83">
        <f t="shared" ca="1" si="188"/>
        <v>3</v>
      </c>
      <c r="X171" s="116"/>
      <c r="Y171" s="80" t="s">
        <v>2033</v>
      </c>
      <c r="Z171" s="83">
        <f t="shared" ca="1" si="188"/>
        <v>3</v>
      </c>
      <c r="AA171" s="116"/>
      <c r="AB171" s="86" t="s">
        <v>2052</v>
      </c>
      <c r="AC171" s="83">
        <f t="shared" ca="1" si="188"/>
        <v>3</v>
      </c>
      <c r="AD171" s="116"/>
      <c r="AE171" s="80" t="s">
        <v>1977</v>
      </c>
      <c r="AF171" s="83">
        <f t="shared" ca="1" si="188"/>
        <v>3</v>
      </c>
      <c r="AG171" s="116"/>
      <c r="AH171" s="116"/>
    </row>
    <row r="172" spans="1:34" x14ac:dyDescent="0.2">
      <c r="A172" s="25">
        <f>WORLDCUP!AD109</f>
        <v>2</v>
      </c>
      <c r="B172" s="25">
        <f>WORLDCUP!AC109</f>
        <v>3</v>
      </c>
      <c r="C172" s="25" t="str">
        <f ca="1">CONCATENATE(WORLDCUP!AF109,"-",WORLDCUP!AA109)</f>
        <v>Senegal-Bélgica</v>
      </c>
      <c r="D172" s="25">
        <f>IF(WORLDCUP!AC109&gt;WORLDCUP!AD109,2,IF(WORLDCUP!AC109&lt;WORLDCUP!AD109,1,IF(AND(WORLDCUP!AC109=WORLDCUP!AD109,WORLDCUP!AC109&lt;&gt;"",WORLDCUP!AD109&lt;&gt;""),0,"PD")))</f>
        <v>2</v>
      </c>
      <c r="E172" s="25" t="str">
        <f>IF(OR(WORLDCUP!AC109="",WORLDCUP!AD109=""),"-",A172&amp;"-"&amp;B172)</f>
        <v>2-3</v>
      </c>
      <c r="F172" s="415">
        <f t="shared" si="192"/>
        <v>9</v>
      </c>
      <c r="G172" s="415">
        <f ca="1">VLOOKUP(H172,Equipos!$Q$1:$R$25,2,0)</f>
        <v>20</v>
      </c>
      <c r="H172" s="454" t="str">
        <f>Idiomas!$D$260</f>
        <v>Dieciseisavos de final</v>
      </c>
      <c r="I172" s="49">
        <v>1</v>
      </c>
      <c r="J172" s="851"/>
      <c r="K172" s="62" t="str">
        <f ca="1">CONCATENATE(WORLDCUP!AA109,"-",WORLDCUP!AF109)</f>
        <v>Bélgica-Senegal</v>
      </c>
      <c r="L172" s="59">
        <f>IF(OR(WORLDCUP!AC109="",WORLDCUP!AD109=""),"PD",IF(WORLDCUP!AC109&gt;WORLDCUP!AD109,1,IF(WORLDCUP!AC109&lt;WORLDCUP!AD109,2,0)))</f>
        <v>1</v>
      </c>
      <c r="M172" s="61" t="str">
        <f t="shared" si="193"/>
        <v>3-2</v>
      </c>
      <c r="N172" s="25">
        <f>WORLDCUP!AC109</f>
        <v>3</v>
      </c>
      <c r="O172" s="25">
        <f>WORLDCUP!AD109</f>
        <v>2</v>
      </c>
      <c r="P172" s="25">
        <f t="shared" si="194"/>
        <v>1</v>
      </c>
      <c r="Q172" s="25">
        <f t="shared" si="195"/>
        <v>-1</v>
      </c>
      <c r="R172" s="116"/>
      <c r="S172" s="80" t="s">
        <v>1978</v>
      </c>
      <c r="T172" s="83">
        <f t="shared" ca="1" si="196"/>
        <v>5</v>
      </c>
      <c r="U172" s="116"/>
      <c r="V172" s="80" t="s">
        <v>2009</v>
      </c>
      <c r="W172" s="83">
        <f t="shared" ca="1" si="188"/>
        <v>0</v>
      </c>
      <c r="X172" s="116"/>
      <c r="Y172" s="80" t="s">
        <v>1978</v>
      </c>
      <c r="Z172" s="83">
        <f t="shared" ca="1" si="188"/>
        <v>5</v>
      </c>
      <c r="AA172" s="116"/>
      <c r="AB172" s="86" t="s">
        <v>1978</v>
      </c>
      <c r="AC172" s="83">
        <f t="shared" ca="1" si="188"/>
        <v>5</v>
      </c>
      <c r="AD172" s="116"/>
      <c r="AE172" s="80" t="s">
        <v>1978</v>
      </c>
      <c r="AF172" s="83">
        <f t="shared" ca="1" si="188"/>
        <v>5</v>
      </c>
      <c r="AG172" s="116"/>
      <c r="AH172" s="116"/>
    </row>
    <row r="173" spans="1:34" x14ac:dyDescent="0.2">
      <c r="A173" s="25">
        <f>WORLDCUP!AD110</f>
        <v>0</v>
      </c>
      <c r="B173" s="25">
        <f>WORLDCUP!AC110</f>
        <v>2</v>
      </c>
      <c r="C173" s="25" t="str">
        <f ca="1">CONCATENATE(WORLDCUP!AF110,"-",WORLDCUP!AA110)</f>
        <v>Bosnia y Herzegovina-Estados Unidos</v>
      </c>
      <c r="D173" s="25">
        <f>IF(WORLDCUP!AC110&gt;WORLDCUP!AD110,2,IF(WORLDCUP!AC110&lt;WORLDCUP!AD110,1,IF(AND(WORLDCUP!AC110=WORLDCUP!AD110,WORLDCUP!AC110&lt;&gt;"",WORLDCUP!AD110&lt;&gt;""),0,"PD")))</f>
        <v>2</v>
      </c>
      <c r="E173" s="25" t="str">
        <f>IF(OR(WORLDCUP!AC110="",WORLDCUP!AD110=""),"-",A173&amp;"-"&amp;B173)</f>
        <v>0-2</v>
      </c>
      <c r="F173" s="415">
        <f t="shared" si="192"/>
        <v>9</v>
      </c>
      <c r="G173" s="415">
        <f ca="1">VLOOKUP(H173,Equipos!$Q$1:$R$25,2,0)</f>
        <v>20</v>
      </c>
      <c r="H173" s="454" t="str">
        <f>Idiomas!$D$260</f>
        <v>Dieciseisavos de final</v>
      </c>
      <c r="I173" s="49">
        <v>1</v>
      </c>
      <c r="J173" s="851"/>
      <c r="K173" s="62" t="str">
        <f ca="1">CONCATENATE(WORLDCUP!AA110,"-",WORLDCUP!AF110)</f>
        <v>Estados Unidos-Bosnia y Herzegovina</v>
      </c>
      <c r="L173" s="59">
        <f>IF(OR(WORLDCUP!AC110="",WORLDCUP!AD110=""),"PD",IF(WORLDCUP!AC110&gt;WORLDCUP!AD110,1,IF(WORLDCUP!AC110&lt;WORLDCUP!AD110,2,0)))</f>
        <v>1</v>
      </c>
      <c r="M173" s="61" t="str">
        <f t="shared" si="193"/>
        <v>2-0</v>
      </c>
      <c r="N173" s="25">
        <f>WORLDCUP!AC110</f>
        <v>2</v>
      </c>
      <c r="O173" s="25">
        <f>WORLDCUP!AD110</f>
        <v>0</v>
      </c>
      <c r="P173" s="25">
        <f t="shared" si="194"/>
        <v>2</v>
      </c>
      <c r="Q173" s="25">
        <f t="shared" si="195"/>
        <v>-2</v>
      </c>
      <c r="R173" s="116"/>
      <c r="S173" s="80" t="s">
        <v>1979</v>
      </c>
      <c r="T173" s="83">
        <f t="shared" ca="1" si="196"/>
        <v>3</v>
      </c>
      <c r="U173" s="116"/>
      <c r="V173" s="80" t="s">
        <v>1979</v>
      </c>
      <c r="W173" s="83">
        <f t="shared" ca="1" si="188"/>
        <v>3</v>
      </c>
      <c r="X173" s="116"/>
      <c r="Y173" s="80" t="s">
        <v>2034</v>
      </c>
      <c r="Z173" s="83">
        <f t="shared" ca="1" si="188"/>
        <v>0</v>
      </c>
      <c r="AA173" s="116"/>
      <c r="AB173" s="80" t="s">
        <v>2053</v>
      </c>
      <c r="AC173" s="83">
        <f t="shared" ca="1" si="188"/>
        <v>9</v>
      </c>
      <c r="AD173" s="116"/>
      <c r="AE173" s="80" t="s">
        <v>2053</v>
      </c>
      <c r="AF173" s="83">
        <f t="shared" ca="1" si="188"/>
        <v>9</v>
      </c>
      <c r="AG173" s="116"/>
      <c r="AH173" s="116"/>
    </row>
    <row r="174" spans="1:34" x14ac:dyDescent="0.2">
      <c r="A174" s="25">
        <f>WORLDCUP!AD111</f>
        <v>0</v>
      </c>
      <c r="B174" s="25">
        <f>WORLDCUP!AC111</f>
        <v>3</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0-3</v>
      </c>
      <c r="F174" s="415">
        <f t="shared" si="192"/>
        <v>9</v>
      </c>
      <c r="G174" s="415">
        <f ca="1">VLOOKUP(H174,Equipos!$Q$1:$R$25,2,0)</f>
        <v>20</v>
      </c>
      <c r="H174" s="454" t="str">
        <f>Idiomas!$D$260</f>
        <v>Dieciseisavos de final</v>
      </c>
      <c r="I174" s="49">
        <v>1</v>
      </c>
      <c r="J174" s="851"/>
      <c r="K174" s="62" t="str">
        <f ca="1">CONCATENATE(WORLDCUP!AA111,"-",WORLDCUP!AF111)</f>
        <v>España-Austria</v>
      </c>
      <c r="L174" s="59">
        <f>IF(OR(WORLDCUP!AC111="",WORLDCUP!AD111=""),"PD",IF(WORLDCUP!AC111&gt;WORLDCUP!AD111,1,IF(WORLDCUP!AC111&lt;WORLDCUP!AD111,2,0)))</f>
        <v>1</v>
      </c>
      <c r="M174" s="61" t="str">
        <f t="shared" si="193"/>
        <v>3-0</v>
      </c>
      <c r="N174" s="25">
        <f>WORLDCUP!AC111</f>
        <v>3</v>
      </c>
      <c r="O174" s="25">
        <f>WORLDCUP!AD111</f>
        <v>0</v>
      </c>
      <c r="P174" s="25">
        <f t="shared" si="194"/>
        <v>3</v>
      </c>
      <c r="Q174" s="25">
        <f t="shared" si="195"/>
        <v>-3</v>
      </c>
      <c r="R174" s="116"/>
      <c r="S174" s="80" t="s">
        <v>1980</v>
      </c>
      <c r="T174" s="83">
        <f t="shared" ca="1" si="196"/>
        <v>3</v>
      </c>
      <c r="U174" s="116"/>
      <c r="V174" s="80" t="s">
        <v>2010</v>
      </c>
      <c r="W174" s="83">
        <f t="shared" ca="1" si="188"/>
        <v>9</v>
      </c>
      <c r="X174" s="116"/>
      <c r="Y174" s="80" t="s">
        <v>1980</v>
      </c>
      <c r="Z174" s="83">
        <f t="shared" ca="1" si="188"/>
        <v>3</v>
      </c>
      <c r="AA174" s="116"/>
      <c r="AB174" s="80" t="s">
        <v>1980</v>
      </c>
      <c r="AC174" s="83">
        <f t="shared" ca="1" si="188"/>
        <v>3</v>
      </c>
      <c r="AD174" s="116"/>
      <c r="AE174" s="80" t="s">
        <v>1980</v>
      </c>
      <c r="AF174" s="83">
        <f t="shared" ca="1" si="188"/>
        <v>3</v>
      </c>
      <c r="AG174" s="116"/>
      <c r="AH174" s="116"/>
    </row>
    <row r="175" spans="1:34" x14ac:dyDescent="0.2">
      <c r="A175" s="25">
        <f>WORLDCUP!AD112</f>
        <v>1</v>
      </c>
      <c r="B175" s="25">
        <f>WORLDCUP!AC112</f>
        <v>2</v>
      </c>
      <c r="C175" s="25" t="str">
        <f ca="1">CONCATENATE(WORLDCUP!AF112,"-",WORLDCUP!AA112)</f>
        <v>Croacia-Portugal</v>
      </c>
      <c r="D175" s="25">
        <f>IF(WORLDCUP!AC112&gt;WORLDCUP!AD112,2,IF(WORLDCUP!AC112&lt;WORLDCUP!AD112,1,IF(AND(WORLDCUP!AC112=WORLDCUP!AD112,WORLDCUP!AC112&lt;&gt;"",WORLDCUP!AD112&lt;&gt;""),0,"PD")))</f>
        <v>2</v>
      </c>
      <c r="E175" s="25" t="str">
        <f>IF(OR(WORLDCUP!AC112="",WORLDCUP!AD112=""),"-",A175&amp;"-"&amp;B175)</f>
        <v>1-2</v>
      </c>
      <c r="F175" s="415">
        <f t="shared" si="192"/>
        <v>9</v>
      </c>
      <c r="G175" s="415">
        <f ca="1">VLOOKUP(H175,Equipos!$Q$1:$R$25,2,0)</f>
        <v>20</v>
      </c>
      <c r="H175" s="454" t="str">
        <f>Idiomas!$D$260</f>
        <v>Dieciseisavos de final</v>
      </c>
      <c r="I175" s="49">
        <v>1</v>
      </c>
      <c r="J175" s="851"/>
      <c r="K175" s="62" t="str">
        <f ca="1">CONCATENATE(WORLDCUP!AA112,"-",WORLDCUP!AF112)</f>
        <v>Portugal-Croacia</v>
      </c>
      <c r="L175" s="59">
        <f>IF(OR(WORLDCUP!AC112="",WORLDCUP!AD112=""),"PD",IF(WORLDCUP!AC112&gt;WORLDCUP!AD112,1,IF(WORLDCUP!AC112&lt;WORLDCUP!AD112,2,0)))</f>
        <v>1</v>
      </c>
      <c r="M175" s="61" t="str">
        <f t="shared" si="193"/>
        <v>2-1</v>
      </c>
      <c r="N175" s="25">
        <f>WORLDCUP!AC112</f>
        <v>2</v>
      </c>
      <c r="O175" s="25">
        <f>WORLDCUP!AD112</f>
        <v>1</v>
      </c>
      <c r="P175" s="25">
        <f t="shared" si="194"/>
        <v>1</v>
      </c>
      <c r="Q175" s="25">
        <f t="shared" si="195"/>
        <v>-1</v>
      </c>
      <c r="R175" s="116"/>
      <c r="S175" s="80" t="s">
        <v>1981</v>
      </c>
      <c r="T175" s="83">
        <f t="shared" ca="1" si="196"/>
        <v>0</v>
      </c>
      <c r="U175" s="116"/>
      <c r="V175" s="80" t="s">
        <v>2011</v>
      </c>
      <c r="W175" s="83">
        <f t="shared" ca="1" si="188"/>
        <v>0</v>
      </c>
      <c r="X175" s="116"/>
      <c r="Y175" s="80" t="s">
        <v>2035</v>
      </c>
      <c r="Z175" s="83">
        <f t="shared" ca="1" si="188"/>
        <v>5</v>
      </c>
      <c r="AA175" s="116"/>
      <c r="AB175" s="80" t="s">
        <v>2054</v>
      </c>
      <c r="AC175" s="83">
        <f t="shared" ca="1" si="188"/>
        <v>9</v>
      </c>
      <c r="AD175" s="116"/>
      <c r="AE175" s="80" t="s">
        <v>2068</v>
      </c>
      <c r="AF175" s="83">
        <f t="shared" ca="1" si="188"/>
        <v>5</v>
      </c>
      <c r="AG175" s="116"/>
      <c r="AH175" s="116"/>
    </row>
    <row r="176" spans="1:34" x14ac:dyDescent="0.2">
      <c r="A176" s="25">
        <f>WORLDCUP!AD113</f>
        <v>0</v>
      </c>
      <c r="B176" s="25">
        <f>WORLDCUP!AC113</f>
        <v>2</v>
      </c>
      <c r="C176" s="25" t="str">
        <f ca="1">CONCATENATE(WORLDCUP!AF113,"-",WORLDCUP!AA113)</f>
        <v>Argelia-Suiza</v>
      </c>
      <c r="D176" s="25">
        <f>IF(WORLDCUP!AC113&gt;WORLDCUP!AD113,2,IF(WORLDCUP!AC113&lt;WORLDCUP!AD113,1,IF(AND(WORLDCUP!AC113=WORLDCUP!AD113,WORLDCUP!AC113&lt;&gt;"",WORLDCUP!AD113&lt;&gt;""),0,"PD")))</f>
        <v>2</v>
      </c>
      <c r="E176" s="25" t="str">
        <f>IF(OR(WORLDCUP!AC113="",WORLDCUP!AD113=""),"-",A176&amp;"-"&amp;B176)</f>
        <v>0-2</v>
      </c>
      <c r="F176" s="415">
        <f t="shared" si="192"/>
        <v>9</v>
      </c>
      <c r="G176" s="415">
        <f ca="1">VLOOKUP(H176,Equipos!$Q$1:$R$25,2,0)</f>
        <v>20</v>
      </c>
      <c r="H176" s="454" t="str">
        <f>Idiomas!$D$260</f>
        <v>Dieciseisavos de final</v>
      </c>
      <c r="I176" s="49">
        <v>1</v>
      </c>
      <c r="J176" s="851"/>
      <c r="K176" s="62" t="str">
        <f ca="1">CONCATENATE(WORLDCUP!AA113,"-",WORLDCUP!AF113)</f>
        <v>Suiza-Argelia</v>
      </c>
      <c r="L176" s="59">
        <f>IF(OR(WORLDCUP!AC113="",WORLDCUP!AD113=""),"PD",IF(WORLDCUP!AC113&gt;WORLDCUP!AD113,1,IF(WORLDCUP!AC113&lt;WORLDCUP!AD113,2,0)))</f>
        <v>1</v>
      </c>
      <c r="M176" s="61" t="str">
        <f t="shared" si="193"/>
        <v>2-0</v>
      </c>
      <c r="N176" s="25">
        <f>WORLDCUP!AC113</f>
        <v>2</v>
      </c>
      <c r="O176" s="25">
        <f>WORLDCUP!AD113</f>
        <v>0</v>
      </c>
      <c r="P176" s="25">
        <f t="shared" si="194"/>
        <v>2</v>
      </c>
      <c r="Q176" s="25">
        <f t="shared" si="195"/>
        <v>-2</v>
      </c>
      <c r="R176" s="116"/>
      <c r="S176" s="80" t="s">
        <v>1982</v>
      </c>
      <c r="T176" s="83">
        <f t="shared" ca="1" si="196"/>
        <v>3</v>
      </c>
      <c r="U176" s="116"/>
      <c r="V176" s="80" t="s">
        <v>2012</v>
      </c>
      <c r="W176" s="83">
        <f t="shared" ca="1" si="188"/>
        <v>9</v>
      </c>
      <c r="X176" s="116"/>
      <c r="Y176" s="80" t="s">
        <v>1982</v>
      </c>
      <c r="Z176" s="83">
        <f t="shared" ca="1" si="188"/>
        <v>3</v>
      </c>
      <c r="AA176" s="116"/>
      <c r="AB176" s="80" t="s">
        <v>2055</v>
      </c>
      <c r="AC176" s="83">
        <f t="shared" ca="1" si="188"/>
        <v>3</v>
      </c>
      <c r="AD176" s="116"/>
      <c r="AE176" s="80" t="s">
        <v>2012</v>
      </c>
      <c r="AF176" s="83">
        <f t="shared" ca="1" si="188"/>
        <v>9</v>
      </c>
      <c r="AG176" s="116"/>
      <c r="AH176" s="116"/>
    </row>
    <row r="177" spans="1:34" x14ac:dyDescent="0.2">
      <c r="A177" s="25">
        <f>WORLDCUP!AD114</f>
        <v>1</v>
      </c>
      <c r="B177" s="25">
        <f>WORLDCUP!AC114</f>
        <v>1</v>
      </c>
      <c r="C177" s="25" t="str">
        <f ca="1">CONCATENATE(WORLDCUP!AF114,"-",WORLDCUP!AA114)</f>
        <v>Egipto-Australia</v>
      </c>
      <c r="D177" s="25">
        <f>IF(WORLDCUP!AC114&gt;WORLDCUP!AD114,2,IF(WORLDCUP!AC114&lt;WORLDCUP!AD114,1,IF(AND(WORLDCUP!AC114=WORLDCUP!AD114,WORLDCUP!AC114&lt;&gt;"",WORLDCUP!AD114&lt;&gt;""),0,"PD")))</f>
        <v>0</v>
      </c>
      <c r="E177" s="25" t="str">
        <f>IF(OR(WORLDCUP!AC114="",WORLDCUP!AD114=""),"-",A177&amp;"-"&amp;B177)</f>
        <v>1-1</v>
      </c>
      <c r="F177" s="415">
        <f t="shared" si="192"/>
        <v>9</v>
      </c>
      <c r="G177" s="415">
        <f ca="1">VLOOKUP(H177,Equipos!$Q$1:$R$25,2,0)</f>
        <v>20</v>
      </c>
      <c r="H177" s="454" t="str">
        <f>Idiomas!$D$260</f>
        <v>Dieciseisavos de final</v>
      </c>
      <c r="I177" s="49">
        <v>1</v>
      </c>
      <c r="J177" s="851"/>
      <c r="K177" s="62" t="str">
        <f ca="1">CONCATENATE(WORLDCUP!AA114,"-",WORLDCUP!AF114)</f>
        <v>Australia-Egipto</v>
      </c>
      <c r="L177" s="59">
        <f>IF(OR(WORLDCUP!AC114="",WORLDCUP!AD114=""),"PD",IF(WORLDCUP!AC114&gt;WORLDCUP!AD114,1,IF(WORLDCUP!AC114&lt;WORLDCUP!AD114,2,0)))</f>
        <v>0</v>
      </c>
      <c r="M177" s="61" t="str">
        <f t="shared" si="193"/>
        <v>1-1</v>
      </c>
      <c r="N177" s="25">
        <f>WORLDCUP!AC114</f>
        <v>1</v>
      </c>
      <c r="O177" s="25">
        <f>WORLDCUP!AD114</f>
        <v>1</v>
      </c>
      <c r="P177" s="25">
        <f t="shared" si="194"/>
        <v>0</v>
      </c>
      <c r="Q177" s="25">
        <f t="shared" si="195"/>
        <v>0</v>
      </c>
      <c r="R177" s="116"/>
      <c r="S177" s="80" t="s">
        <v>1983</v>
      </c>
      <c r="T177" s="83">
        <f t="shared" ca="1" si="196"/>
        <v>5</v>
      </c>
      <c r="U177" s="116"/>
      <c r="V177" s="80" t="s">
        <v>2013</v>
      </c>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t="s">
        <v>2013</v>
      </c>
      <c r="Z177" s="83">
        <f t="shared" ca="1" si="197"/>
        <v>0</v>
      </c>
      <c r="AA177" s="116"/>
      <c r="AB177" s="80" t="s">
        <v>2056</v>
      </c>
      <c r="AC177" s="83">
        <f t="shared" ca="1" si="197"/>
        <v>9</v>
      </c>
      <c r="AD177" s="116"/>
      <c r="AE177" s="80" t="s">
        <v>2056</v>
      </c>
      <c r="AF177" s="83">
        <f t="shared" ca="1" si="197"/>
        <v>9</v>
      </c>
      <c r="AG177" s="116"/>
      <c r="AH177" s="116"/>
    </row>
    <row r="178" spans="1:34" x14ac:dyDescent="0.2">
      <c r="A178" s="25">
        <f>WORLDCUP!AD115</f>
        <v>2</v>
      </c>
      <c r="B178" s="25">
        <f>WORLDCUP!AC115</f>
        <v>3</v>
      </c>
      <c r="C178" s="25" t="str">
        <f ca="1">CONCATENATE(WORLDCUP!AF115,"-",WORLDCUP!AA115)</f>
        <v>Cabo Verde-Argentina</v>
      </c>
      <c r="D178" s="25">
        <f>IF(WORLDCUP!AC115&gt;WORLDCUP!AD115,2,IF(WORLDCUP!AC115&lt;WORLDCUP!AD115,1,IF(AND(WORLDCUP!AC115=WORLDCUP!AD115,WORLDCUP!AC115&lt;&gt;"",WORLDCUP!AD115&lt;&gt;""),0,"PD")))</f>
        <v>2</v>
      </c>
      <c r="E178" s="25" t="str">
        <f>IF(OR(WORLDCUP!AC115="",WORLDCUP!AD115=""),"-",A178&amp;"-"&amp;B178)</f>
        <v>2-3</v>
      </c>
      <c r="F178" s="415">
        <f t="shared" si="192"/>
        <v>9</v>
      </c>
      <c r="G178" s="415">
        <f ca="1">VLOOKUP(H178,Equipos!$Q$1:$R$25,2,0)</f>
        <v>20</v>
      </c>
      <c r="H178" s="454" t="str">
        <f>Idiomas!$D$260</f>
        <v>Dieciseisavos de final</v>
      </c>
      <c r="I178" s="49">
        <v>1</v>
      </c>
      <c r="J178" s="851"/>
      <c r="K178" s="62" t="str">
        <f ca="1">CONCATENATE(WORLDCUP!AA115,"-",WORLDCUP!AF115)</f>
        <v>Argentina-Cabo Verde</v>
      </c>
      <c r="L178" s="59">
        <f>IF(OR(WORLDCUP!AC115="",WORLDCUP!AD115=""),"PD",IF(WORLDCUP!AC115&gt;WORLDCUP!AD115,1,IF(WORLDCUP!AC115&lt;WORLDCUP!AD115,2,0)))</f>
        <v>1</v>
      </c>
      <c r="M178" s="61" t="str">
        <f t="shared" si="193"/>
        <v>3-2</v>
      </c>
      <c r="N178" s="25">
        <f>WORLDCUP!AC115</f>
        <v>3</v>
      </c>
      <c r="O178" s="25">
        <f>WORLDCUP!AD115</f>
        <v>2</v>
      </c>
      <c r="P178" s="25">
        <f t="shared" si="194"/>
        <v>1</v>
      </c>
      <c r="Q178" s="25">
        <f t="shared" si="195"/>
        <v>-1</v>
      </c>
      <c r="R178" s="116"/>
      <c r="S178" s="80" t="s">
        <v>1984</v>
      </c>
      <c r="T178" s="83">
        <f t="shared" ca="1" si="196"/>
        <v>3</v>
      </c>
      <c r="U178" s="116"/>
      <c r="V178" s="80" t="s">
        <v>1984</v>
      </c>
      <c r="W178" s="83">
        <f t="shared" ca="1" si="197"/>
        <v>3</v>
      </c>
      <c r="X178" s="116"/>
      <c r="Y178" s="80" t="s">
        <v>2036</v>
      </c>
      <c r="Z178" s="83">
        <f t="shared" ca="1" si="197"/>
        <v>3</v>
      </c>
      <c r="AA178" s="116"/>
      <c r="AB178" s="80" t="s">
        <v>2057</v>
      </c>
      <c r="AC178" s="83">
        <f t="shared" ca="1" si="197"/>
        <v>3</v>
      </c>
      <c r="AD178" s="116"/>
      <c r="AE178" s="80" t="s">
        <v>2057</v>
      </c>
      <c r="AF178" s="83">
        <f t="shared" ca="1" si="197"/>
        <v>3</v>
      </c>
      <c r="AG178" s="116"/>
      <c r="AH178" s="116"/>
    </row>
    <row r="179" spans="1:34" x14ac:dyDescent="0.2">
      <c r="A179" s="25">
        <f>WORLDCUP!AD116</f>
        <v>0</v>
      </c>
      <c r="B179" s="25">
        <f>WORLDCUP!AC116</f>
        <v>1</v>
      </c>
      <c r="C179" s="25" t="str">
        <f ca="1">CONCATENATE(WORLDCUP!AF116,"-",WORLDCUP!AA116)</f>
        <v>Ghana-Colombia</v>
      </c>
      <c r="D179" s="25">
        <f>IF(WORLDCUP!AC116&gt;WORLDCUP!AD116,2,IF(WORLDCUP!AC116&lt;WORLDCUP!AD116,1,IF(AND(WORLDCUP!AC116=WORLDCUP!AD116,WORLDCUP!AC116&lt;&gt;"",WORLDCUP!AD116&lt;&gt;""),0,"PD")))</f>
        <v>2</v>
      </c>
      <c r="E179" s="25" t="str">
        <f>IF(OR(WORLDCUP!AC116="",WORLDCUP!AD116=""),"-",A179&amp;"-"&amp;B179)</f>
        <v>0-1</v>
      </c>
      <c r="F179" s="415">
        <f t="shared" si="192"/>
        <v>9</v>
      </c>
      <c r="G179" s="415">
        <f ca="1">VLOOKUP(H179,Equipos!$Q$1:$R$25,2,0)</f>
        <v>20</v>
      </c>
      <c r="H179" s="454" t="str">
        <f>Idiomas!$D$260</f>
        <v>Dieciseisavos de final</v>
      </c>
      <c r="I179" s="49">
        <v>1</v>
      </c>
      <c r="J179" s="851"/>
      <c r="K179" s="121" t="str">
        <f ca="1">CONCATENATE(WORLDCUP!AA116,"-",WORLDCUP!AF116)</f>
        <v>Colombia-Ghana</v>
      </c>
      <c r="L179" s="121">
        <f>IF(OR(WORLDCUP!AC116="",WORLDCUP!AD116=""),"PD",IF(WORLDCUP!AC116&gt;WORLDCUP!AD116,1,IF(WORLDCUP!AC116&lt;WORLDCUP!AD116,2,0)))</f>
        <v>1</v>
      </c>
      <c r="M179" s="122" t="str">
        <f t="shared" si="193"/>
        <v>1-0</v>
      </c>
      <c r="N179" s="25">
        <f>WORLDCUP!AC116</f>
        <v>1</v>
      </c>
      <c r="O179" s="25">
        <f>WORLDCUP!AD116</f>
        <v>0</v>
      </c>
      <c r="P179" s="25">
        <f t="shared" si="194"/>
        <v>1</v>
      </c>
      <c r="Q179" s="25">
        <f t="shared" si="195"/>
        <v>-1</v>
      </c>
      <c r="R179" s="116"/>
      <c r="S179" s="86" t="s">
        <v>1985</v>
      </c>
      <c r="T179" s="87">
        <f t="shared" ca="1" si="196"/>
        <v>5</v>
      </c>
      <c r="U179" s="116"/>
      <c r="V179" s="86" t="s">
        <v>2014</v>
      </c>
      <c r="W179" s="87">
        <f t="shared" ca="1" si="197"/>
        <v>9</v>
      </c>
      <c r="X179" s="116"/>
      <c r="Y179" s="86" t="s">
        <v>1985</v>
      </c>
      <c r="Z179" s="87">
        <f t="shared" ca="1" si="197"/>
        <v>5</v>
      </c>
      <c r="AA179" s="116"/>
      <c r="AB179" s="86" t="s">
        <v>2058</v>
      </c>
      <c r="AC179" s="87">
        <f t="shared" ca="1" si="197"/>
        <v>3</v>
      </c>
      <c r="AD179" s="116"/>
      <c r="AE179" s="86" t="s">
        <v>2058</v>
      </c>
      <c r="AF179" s="87">
        <f t="shared" ca="1" si="197"/>
        <v>3</v>
      </c>
      <c r="AG179" s="116"/>
      <c r="AH179" s="116"/>
    </row>
    <row r="180" spans="1:34" x14ac:dyDescent="0.2">
      <c r="A180" s="25"/>
      <c r="B180" s="25"/>
      <c r="C180" s="25"/>
      <c r="D180" s="25"/>
      <c r="E180" s="25"/>
      <c r="F180" s="415"/>
      <c r="G180" s="415"/>
      <c r="H180" s="454"/>
      <c r="I180" s="56"/>
      <c r="J180" s="100"/>
      <c r="K180" s="442" t="str">
        <f>Idiomas!D458</f>
        <v>Partidos 1/16</v>
      </c>
      <c r="L180" s="443"/>
      <c r="M180" s="442" t="str">
        <f>"Max: "&amp;SUM($D$16:$D$18)*SUM($I$164:$I$179)</f>
        <v>Max: 144</v>
      </c>
      <c r="N180" s="25"/>
      <c r="O180" s="25"/>
      <c r="P180" s="25"/>
      <c r="Q180" s="25"/>
      <c r="R180" s="55"/>
      <c r="S180" s="90"/>
      <c r="T180" s="77">
        <f ca="1">SUM(T164:T179)</f>
        <v>53</v>
      </c>
      <c r="U180" s="71"/>
      <c r="V180" s="90"/>
      <c r="W180" s="77">
        <f t="shared" ref="W180" ca="1" si="198">SUM(W164:W179)</f>
        <v>60</v>
      </c>
      <c r="X180" s="71"/>
      <c r="Y180" s="90"/>
      <c r="Z180" s="77">
        <f t="shared" ref="Z180" ca="1" si="199">SUM(Z164:Z179)</f>
        <v>57</v>
      </c>
      <c r="AA180" s="71"/>
      <c r="AB180" s="90"/>
      <c r="AC180" s="77">
        <f t="shared" ref="AC180" ca="1" si="200">SUM(AC164:AC179)</f>
        <v>74</v>
      </c>
      <c r="AD180" s="71"/>
      <c r="AE180" s="90"/>
      <c r="AF180" s="77">
        <f t="shared" ref="AF180" ca="1" si="201">SUM(AF164:AF179)</f>
        <v>63</v>
      </c>
      <c r="AG180" s="71"/>
      <c r="AH180" s="71"/>
    </row>
    <row r="181" spans="1:34" x14ac:dyDescent="0.2">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x14ac:dyDescent="0.2">
      <c r="A182" s="25"/>
      <c r="B182" s="25"/>
      <c r="C182" s="25"/>
      <c r="D182" s="25"/>
      <c r="E182" s="25"/>
      <c r="F182" s="415">
        <f>$D$19</f>
        <v>3</v>
      </c>
      <c r="G182" s="415">
        <f ca="1">VLOOKUP(H182,Equipos!$Q$1:$R$25,2,0)</f>
        <v>20</v>
      </c>
      <c r="H182" s="454" t="str">
        <f>Idiomas!$D$260</f>
        <v>Dieciseisavos de final</v>
      </c>
      <c r="I182" s="56"/>
      <c r="J182" s="851" t="s">
        <v>88</v>
      </c>
      <c r="K182" s="59" t="str">
        <f>Idiomas!$D$199&amp;"-"&amp;ROWS($L$182:L182)</f>
        <v>Octavofinalista-1</v>
      </c>
      <c r="L182" s="59"/>
      <c r="M182" s="61" t="str">
        <f ca="1">WORLDCUP!AA120</f>
        <v>Canadá</v>
      </c>
      <c r="N182" s="25"/>
      <c r="O182" s="25"/>
      <c r="P182" s="25"/>
      <c r="Q182" s="25"/>
      <c r="R182" s="116"/>
      <c r="S182" s="82" t="s">
        <v>1259</v>
      </c>
      <c r="T182" s="83">
        <f t="shared" ref="T182:T197" ca="1" si="202">COUNTIF($M$182:$M$197,S182)*$D$19</f>
        <v>3</v>
      </c>
      <c r="U182" s="70"/>
      <c r="V182" s="82" t="s">
        <v>1259</v>
      </c>
      <c r="W182" s="83">
        <f t="shared" ref="W182:W197" ca="1" si="203">COUNTIF($M$182:$M$197,V182)*$D$19</f>
        <v>3</v>
      </c>
      <c r="X182" s="70"/>
      <c r="Y182" s="82" t="s">
        <v>1259</v>
      </c>
      <c r="Z182" s="83">
        <f t="shared" ref="Z182:Z197" ca="1" si="204">COUNTIF($M$182:$M$197,Y182)*$D$19</f>
        <v>3</v>
      </c>
      <c r="AA182" s="70"/>
      <c r="AB182" s="82" t="s">
        <v>1259</v>
      </c>
      <c r="AC182" s="83">
        <f t="shared" ref="AC182:AC197" ca="1" si="205">COUNTIF($M$182:$M$197,AB182)*$D$19</f>
        <v>3</v>
      </c>
      <c r="AD182" s="70"/>
      <c r="AE182" s="82" t="s">
        <v>1259</v>
      </c>
      <c r="AF182" s="83">
        <f t="shared" ref="AF182:AF197" ca="1" si="206">COUNTIF($M$182:$M$197,AE182)*$D$19</f>
        <v>3</v>
      </c>
      <c r="AG182" s="70"/>
      <c r="AH182" s="70"/>
    </row>
    <row r="183" spans="1:34" x14ac:dyDescent="0.2">
      <c r="A183" s="25"/>
      <c r="B183" s="25"/>
      <c r="C183" s="25"/>
      <c r="D183" s="25"/>
      <c r="E183" s="25"/>
      <c r="F183" s="415">
        <f t="shared" ref="F183:F197" si="207">$D$19</f>
        <v>3</v>
      </c>
      <c r="G183" s="415">
        <f ca="1">VLOOKUP(H183,Equipos!$Q$1:$R$25,2,0)</f>
        <v>20</v>
      </c>
      <c r="H183" s="454" t="str">
        <f>Idiomas!$D$260</f>
        <v>Dieciseisavos de final</v>
      </c>
      <c r="I183" s="56"/>
      <c r="J183" s="851"/>
      <c r="K183" s="62" t="str">
        <f>Idiomas!$D$199&amp;"-"&amp;ROWS($L$182:L183)</f>
        <v>Octavofinalista-2</v>
      </c>
      <c r="L183" s="59"/>
      <c r="M183" s="61" t="str">
        <f ca="1">WORLDCUP!AA121</f>
        <v>Paraguay</v>
      </c>
      <c r="N183" s="25"/>
      <c r="O183" s="25"/>
      <c r="P183" s="25"/>
      <c r="Q183" s="25"/>
      <c r="R183" s="116"/>
      <c r="S183" s="80" t="s">
        <v>77</v>
      </c>
      <c r="T183" s="79">
        <f t="shared" ca="1" si="202"/>
        <v>0</v>
      </c>
      <c r="U183" s="70"/>
      <c r="V183" s="80" t="s">
        <v>77</v>
      </c>
      <c r="W183" s="79">
        <f t="shared" ca="1" si="203"/>
        <v>0</v>
      </c>
      <c r="X183" s="70"/>
      <c r="Y183" s="80" t="s">
        <v>77</v>
      </c>
      <c r="Z183" s="79">
        <f t="shared" ca="1" si="204"/>
        <v>0</v>
      </c>
      <c r="AA183" s="70"/>
      <c r="AB183" s="80" t="s">
        <v>77</v>
      </c>
      <c r="AC183" s="79">
        <f t="shared" ca="1" si="205"/>
        <v>0</v>
      </c>
      <c r="AD183" s="70"/>
      <c r="AE183" s="80" t="s">
        <v>77</v>
      </c>
      <c r="AF183" s="79">
        <f t="shared" ca="1" si="206"/>
        <v>0</v>
      </c>
      <c r="AG183" s="70"/>
      <c r="AH183" s="70"/>
    </row>
    <row r="184" spans="1:34" x14ac:dyDescent="0.2">
      <c r="A184" s="25"/>
      <c r="B184" s="25"/>
      <c r="C184" s="25"/>
      <c r="D184" s="25"/>
      <c r="E184" s="25"/>
      <c r="F184" s="415">
        <f t="shared" si="207"/>
        <v>3</v>
      </c>
      <c r="G184" s="415">
        <f ca="1">VLOOKUP(H184,Equipos!$Q$1:$R$25,2,0)</f>
        <v>20</v>
      </c>
      <c r="H184" s="454" t="str">
        <f>Idiomas!$D$260</f>
        <v>Dieciseisavos de final</v>
      </c>
      <c r="I184" s="56"/>
      <c r="J184" s="851"/>
      <c r="K184" s="62" t="str">
        <f>Idiomas!$D$199&amp;"-"&amp;ROWS($L$182:L184)</f>
        <v>Octavofinalista-3</v>
      </c>
      <c r="L184" s="59"/>
      <c r="M184" s="61" t="str">
        <f ca="1">WORLDCUP!AA122</f>
        <v>Brasil</v>
      </c>
      <c r="N184" s="25"/>
      <c r="O184" s="25"/>
      <c r="P184" s="25"/>
      <c r="Q184" s="25"/>
      <c r="R184" s="116"/>
      <c r="S184" s="80" t="s">
        <v>1258</v>
      </c>
      <c r="T184" s="79">
        <f t="shared" ca="1" si="202"/>
        <v>3</v>
      </c>
      <c r="U184" s="70"/>
      <c r="V184" s="80" t="s">
        <v>1263</v>
      </c>
      <c r="W184" s="79">
        <f t="shared" ca="1" si="203"/>
        <v>0</v>
      </c>
      <c r="X184" s="70"/>
      <c r="Y184" s="80" t="s">
        <v>1258</v>
      </c>
      <c r="Z184" s="79">
        <f t="shared" ca="1" si="204"/>
        <v>3</v>
      </c>
      <c r="AA184" s="70"/>
      <c r="AB184" s="80" t="s">
        <v>1258</v>
      </c>
      <c r="AC184" s="79">
        <f t="shared" ca="1" si="205"/>
        <v>3</v>
      </c>
      <c r="AD184" s="70"/>
      <c r="AE184" s="80" t="s">
        <v>1258</v>
      </c>
      <c r="AF184" s="79">
        <f t="shared" ca="1" si="206"/>
        <v>3</v>
      </c>
      <c r="AG184" s="70"/>
      <c r="AH184" s="70"/>
    </row>
    <row r="185" spans="1:34" x14ac:dyDescent="0.2">
      <c r="A185" s="25"/>
      <c r="B185" s="25"/>
      <c r="C185" s="25"/>
      <c r="D185" s="25"/>
      <c r="E185" s="25"/>
      <c r="F185" s="415">
        <f t="shared" si="207"/>
        <v>3</v>
      </c>
      <c r="G185" s="415">
        <f ca="1">VLOOKUP(H185,Equipos!$Q$1:$R$25,2,0)</f>
        <v>20</v>
      </c>
      <c r="H185" s="454" t="str">
        <f>Idiomas!$D$260</f>
        <v>Dieciseisavos de final</v>
      </c>
      <c r="I185" s="56"/>
      <c r="J185" s="851"/>
      <c r="K185" s="62" t="str">
        <f>Idiomas!$D$199&amp;"-"&amp;ROWS($L$182:L185)</f>
        <v>Octavofinalista-4</v>
      </c>
      <c r="L185" s="59"/>
      <c r="M185" s="61" t="str">
        <f ca="1">WORLDCUP!AA123</f>
        <v>México</v>
      </c>
      <c r="N185" s="25"/>
      <c r="O185" s="25"/>
      <c r="P185" s="25"/>
      <c r="Q185" s="25"/>
      <c r="R185" s="116"/>
      <c r="S185" s="80" t="s">
        <v>1265</v>
      </c>
      <c r="T185" s="79">
        <f t="shared" ca="1" si="202"/>
        <v>3</v>
      </c>
      <c r="U185" s="70"/>
      <c r="V185" s="80" t="s">
        <v>1261</v>
      </c>
      <c r="W185" s="79">
        <f t="shared" ca="1" si="203"/>
        <v>0</v>
      </c>
      <c r="X185" s="70"/>
      <c r="Y185" s="80" t="s">
        <v>1265</v>
      </c>
      <c r="Z185" s="79">
        <f t="shared" ca="1" si="204"/>
        <v>3</v>
      </c>
      <c r="AA185" s="70"/>
      <c r="AB185" s="80" t="s">
        <v>1265</v>
      </c>
      <c r="AC185" s="79">
        <f t="shared" ca="1" si="205"/>
        <v>3</v>
      </c>
      <c r="AD185" s="70"/>
      <c r="AE185" s="80" t="s">
        <v>1261</v>
      </c>
      <c r="AF185" s="79">
        <f t="shared" ca="1" si="206"/>
        <v>0</v>
      </c>
      <c r="AG185" s="70"/>
      <c r="AH185" s="70"/>
    </row>
    <row r="186" spans="1:34" x14ac:dyDescent="0.2">
      <c r="A186" s="25"/>
      <c r="B186" s="25"/>
      <c r="C186" s="25"/>
      <c r="D186" s="25"/>
      <c r="E186" s="25"/>
      <c r="F186" s="415">
        <f t="shared" si="207"/>
        <v>3</v>
      </c>
      <c r="G186" s="415">
        <f ca="1">VLOOKUP(H186,Equipos!$Q$1:$R$25,2,0)</f>
        <v>20</v>
      </c>
      <c r="H186" s="454" t="str">
        <f>Idiomas!$D$260</f>
        <v>Dieciseisavos de final</v>
      </c>
      <c r="I186" s="56"/>
      <c r="J186" s="851"/>
      <c r="K186" s="62" t="str">
        <f>Idiomas!$D$199&amp;"-"&amp;ROWS($L$182:L186)</f>
        <v>Octavofinalista-5</v>
      </c>
      <c r="L186" s="59"/>
      <c r="M186" s="61" t="str">
        <f ca="1">WORLDCUP!AA124</f>
        <v>Portugal</v>
      </c>
      <c r="N186" s="25"/>
      <c r="O186" s="25"/>
      <c r="P186" s="25"/>
      <c r="Q186" s="25"/>
      <c r="R186" s="116"/>
      <c r="S186" s="80" t="s">
        <v>79</v>
      </c>
      <c r="T186" s="79">
        <f t="shared" ca="1" si="202"/>
        <v>3</v>
      </c>
      <c r="U186" s="70"/>
      <c r="V186" s="80" t="s">
        <v>78</v>
      </c>
      <c r="W186" s="79">
        <f t="shared" ca="1" si="203"/>
        <v>0</v>
      </c>
      <c r="X186" s="70"/>
      <c r="Y186" s="80" t="s">
        <v>79</v>
      </c>
      <c r="Z186" s="79">
        <f t="shared" ca="1" si="204"/>
        <v>3</v>
      </c>
      <c r="AA186" s="70"/>
      <c r="AB186" s="80" t="s">
        <v>79</v>
      </c>
      <c r="AC186" s="79">
        <f t="shared" ca="1" si="205"/>
        <v>3</v>
      </c>
      <c r="AD186" s="70"/>
      <c r="AE186" s="80" t="s">
        <v>79</v>
      </c>
      <c r="AF186" s="79">
        <f t="shared" ca="1" si="206"/>
        <v>3</v>
      </c>
      <c r="AG186" s="70"/>
      <c r="AH186" s="70"/>
    </row>
    <row r="187" spans="1:34" x14ac:dyDescent="0.2">
      <c r="A187" s="25"/>
      <c r="B187" s="25"/>
      <c r="C187" s="25"/>
      <c r="D187" s="25"/>
      <c r="E187" s="25"/>
      <c r="F187" s="415">
        <f t="shared" si="207"/>
        <v>3</v>
      </c>
      <c r="G187" s="415">
        <f ca="1">VLOOKUP(H187,Equipos!$Q$1:$R$25,2,0)</f>
        <v>20</v>
      </c>
      <c r="H187" s="454" t="str">
        <f>Idiomas!$D$260</f>
        <v>Dieciseisavos de final</v>
      </c>
      <c r="I187" s="56"/>
      <c r="J187" s="851"/>
      <c r="K187" s="62" t="str">
        <f>Idiomas!$D$199&amp;"-"&amp;ROWS($L$182:L187)</f>
        <v>Octavofinalista-6</v>
      </c>
      <c r="L187" s="59"/>
      <c r="M187" s="61" t="str">
        <f ca="1">WORLDCUP!AA125</f>
        <v>Estados Unidos</v>
      </c>
      <c r="N187" s="25"/>
      <c r="O187" s="25"/>
      <c r="P187" s="25"/>
      <c r="Q187" s="25"/>
      <c r="R187" s="116"/>
      <c r="S187" s="80" t="s">
        <v>497</v>
      </c>
      <c r="T187" s="79">
        <f t="shared" ca="1" si="202"/>
        <v>3</v>
      </c>
      <c r="U187" s="70"/>
      <c r="V187" s="80" t="s">
        <v>497</v>
      </c>
      <c r="W187" s="79">
        <f t="shared" ca="1" si="203"/>
        <v>3</v>
      </c>
      <c r="X187" s="70"/>
      <c r="Y187" s="80" t="s">
        <v>497</v>
      </c>
      <c r="Z187" s="79">
        <f t="shared" ca="1" si="204"/>
        <v>3</v>
      </c>
      <c r="AA187" s="70"/>
      <c r="AB187" s="82" t="s">
        <v>497</v>
      </c>
      <c r="AC187" s="79">
        <f t="shared" ca="1" si="205"/>
        <v>3</v>
      </c>
      <c r="AD187" s="70"/>
      <c r="AE187" s="80" t="s">
        <v>497</v>
      </c>
      <c r="AF187" s="79">
        <f t="shared" ca="1" si="206"/>
        <v>3</v>
      </c>
      <c r="AG187" s="70"/>
      <c r="AH187" s="70"/>
    </row>
    <row r="188" spans="1:34" x14ac:dyDescent="0.2">
      <c r="A188" s="25"/>
      <c r="B188" s="25"/>
      <c r="C188" s="25"/>
      <c r="D188" s="25"/>
      <c r="E188" s="25"/>
      <c r="F188" s="415">
        <f t="shared" si="207"/>
        <v>3</v>
      </c>
      <c r="G188" s="415">
        <f ca="1">VLOOKUP(H188,Equipos!$Q$1:$R$25,2,0)</f>
        <v>20</v>
      </c>
      <c r="H188" s="454" t="str">
        <f>Idiomas!$D$260</f>
        <v>Dieciseisavos de final</v>
      </c>
      <c r="I188" s="56"/>
      <c r="J188" s="851"/>
      <c r="K188" s="62" t="str">
        <f>Idiomas!$D$199&amp;"-"&amp;ROWS($L$182:L188)</f>
        <v>Octavofinalista-7</v>
      </c>
      <c r="L188" s="59"/>
      <c r="M188" s="61" t="str">
        <f ca="1">WORLDCUP!AA126</f>
        <v>Argentina</v>
      </c>
      <c r="N188" s="25"/>
      <c r="O188" s="25"/>
      <c r="P188" s="25"/>
      <c r="Q188" s="25"/>
      <c r="R188" s="116"/>
      <c r="S188" s="80" t="s">
        <v>1256</v>
      </c>
      <c r="T188" s="79">
        <f t="shared" ca="1" si="202"/>
        <v>3</v>
      </c>
      <c r="U188" s="70"/>
      <c r="V188" s="80" t="s">
        <v>1256</v>
      </c>
      <c r="W188" s="79">
        <f t="shared" ca="1" si="203"/>
        <v>3</v>
      </c>
      <c r="X188" s="70"/>
      <c r="Y188" s="80" t="s">
        <v>1256</v>
      </c>
      <c r="Z188" s="79">
        <f t="shared" ca="1" si="204"/>
        <v>3</v>
      </c>
      <c r="AA188" s="70"/>
      <c r="AB188" s="80" t="s">
        <v>1256</v>
      </c>
      <c r="AC188" s="79">
        <f t="shared" ca="1" si="205"/>
        <v>3</v>
      </c>
      <c r="AD188" s="70"/>
      <c r="AE188" s="80" t="s">
        <v>1256</v>
      </c>
      <c r="AF188" s="79">
        <f t="shared" ca="1" si="206"/>
        <v>3</v>
      </c>
      <c r="AG188" s="70"/>
      <c r="AH188" s="70"/>
    </row>
    <row r="189" spans="1:34" x14ac:dyDescent="0.2">
      <c r="A189" s="25"/>
      <c r="B189" s="25"/>
      <c r="C189" s="25"/>
      <c r="D189" s="25"/>
      <c r="E189" s="25"/>
      <c r="F189" s="415">
        <f t="shared" si="207"/>
        <v>3</v>
      </c>
      <c r="G189" s="415">
        <f ca="1">VLOOKUP(H189,Equipos!$Q$1:$R$25,2,0)</f>
        <v>20</v>
      </c>
      <c r="H189" s="454" t="str">
        <f>Idiomas!$D$260</f>
        <v>Dieciseisavos de final</v>
      </c>
      <c r="I189" s="56"/>
      <c r="J189" s="851"/>
      <c r="K189" s="62" t="str">
        <f>Idiomas!$D$199&amp;"-"&amp;ROWS($L$182:L189)</f>
        <v>Octavofinalista-8</v>
      </c>
      <c r="L189" s="59"/>
      <c r="M189" s="61" t="str">
        <f ca="1">WORLDCUP!AA127</f>
        <v>Suiza</v>
      </c>
      <c r="N189" s="25"/>
      <c r="O189" s="25"/>
      <c r="P189" s="25"/>
      <c r="Q189" s="25"/>
      <c r="R189" s="116"/>
      <c r="S189" s="80" t="s">
        <v>75</v>
      </c>
      <c r="T189" s="79">
        <f t="shared" ca="1" si="202"/>
        <v>3</v>
      </c>
      <c r="U189" s="70"/>
      <c r="V189" s="80" t="s">
        <v>75</v>
      </c>
      <c r="W189" s="79">
        <f t="shared" ca="1" si="203"/>
        <v>3</v>
      </c>
      <c r="X189" s="70"/>
      <c r="Y189" s="80" t="s">
        <v>75</v>
      </c>
      <c r="Z189" s="79">
        <f t="shared" ca="1" si="204"/>
        <v>3</v>
      </c>
      <c r="AA189" s="70"/>
      <c r="AB189" s="80" t="s">
        <v>75</v>
      </c>
      <c r="AC189" s="79">
        <f t="shared" ca="1" si="205"/>
        <v>3</v>
      </c>
      <c r="AD189" s="70"/>
      <c r="AE189" s="80" t="s">
        <v>75</v>
      </c>
      <c r="AF189" s="79">
        <f t="shared" ca="1" si="206"/>
        <v>3</v>
      </c>
      <c r="AG189" s="70"/>
      <c r="AH189" s="70"/>
    </row>
    <row r="190" spans="1:34" x14ac:dyDescent="0.2">
      <c r="A190" s="25"/>
      <c r="B190" s="25"/>
      <c r="C190" s="25"/>
      <c r="D190" s="25"/>
      <c r="E190" s="25"/>
      <c r="F190" s="415">
        <f t="shared" si="207"/>
        <v>3</v>
      </c>
      <c r="G190" s="415">
        <f ca="1">VLOOKUP(H190,Equipos!$Q$1:$R$25,2,0)</f>
        <v>20</v>
      </c>
      <c r="H190" s="454" t="str">
        <f>Idiomas!$D$260</f>
        <v>Dieciseisavos de final</v>
      </c>
      <c r="I190" s="56"/>
      <c r="J190" s="851"/>
      <c r="K190" s="62" t="str">
        <f>Idiomas!$D$199&amp;"-"&amp;ROWS($L$182:L190)</f>
        <v>Octavofinalista-9</v>
      </c>
      <c r="L190" s="59"/>
      <c r="M190" s="61" t="str">
        <f ca="1">WORLDCUP!AF120</f>
        <v>Marruecos</v>
      </c>
      <c r="N190" s="25"/>
      <c r="O190" s="25"/>
      <c r="P190" s="25"/>
      <c r="Q190" s="25"/>
      <c r="R190" s="116"/>
      <c r="S190" s="80" t="s">
        <v>1321</v>
      </c>
      <c r="T190" s="79">
        <f t="shared" ca="1" si="202"/>
        <v>3</v>
      </c>
      <c r="U190" s="70"/>
      <c r="V190" s="80" t="s">
        <v>111</v>
      </c>
      <c r="W190" s="79">
        <f t="shared" ca="1" si="203"/>
        <v>0</v>
      </c>
      <c r="X190" s="70"/>
      <c r="Y190" s="80" t="s">
        <v>111</v>
      </c>
      <c r="Z190" s="79">
        <f t="shared" ca="1" si="204"/>
        <v>0</v>
      </c>
      <c r="AA190" s="70"/>
      <c r="AB190" s="80" t="s">
        <v>111</v>
      </c>
      <c r="AC190" s="79">
        <f t="shared" ca="1" si="205"/>
        <v>0</v>
      </c>
      <c r="AD190" s="70"/>
      <c r="AE190" s="80" t="s">
        <v>111</v>
      </c>
      <c r="AF190" s="79">
        <f t="shared" ca="1" si="206"/>
        <v>0</v>
      </c>
      <c r="AG190" s="70"/>
      <c r="AH190" s="70"/>
    </row>
    <row r="191" spans="1:34" x14ac:dyDescent="0.2">
      <c r="A191" s="25"/>
      <c r="B191" s="25"/>
      <c r="C191" s="25"/>
      <c r="D191" s="25"/>
      <c r="E191" s="25"/>
      <c r="F191" s="415">
        <f t="shared" si="207"/>
        <v>3</v>
      </c>
      <c r="G191" s="415">
        <f ca="1">VLOOKUP(H191,Equipos!$Q$1:$R$25,2,0)</f>
        <v>20</v>
      </c>
      <c r="H191" s="454" t="str">
        <f>Idiomas!$D$260</f>
        <v>Dieciseisavos de final</v>
      </c>
      <c r="I191" s="56"/>
      <c r="J191" s="851"/>
      <c r="K191" s="62" t="str">
        <f>Idiomas!$D$199&amp;"-"&amp;ROWS($L$182:L191)</f>
        <v>Octavofinalista-10</v>
      </c>
      <c r="L191" s="59"/>
      <c r="M191" s="61" t="str">
        <f ca="1">WORLDCUP!AF121</f>
        <v>Francia</v>
      </c>
      <c r="N191" s="25"/>
      <c r="O191" s="25"/>
      <c r="P191" s="25"/>
      <c r="Q191" s="25"/>
      <c r="R191" s="116"/>
      <c r="S191" s="80" t="s">
        <v>74</v>
      </c>
      <c r="T191" s="79">
        <f t="shared" ca="1" si="202"/>
        <v>3</v>
      </c>
      <c r="U191" s="70"/>
      <c r="V191" s="80" t="s">
        <v>74</v>
      </c>
      <c r="W191" s="79">
        <f t="shared" ca="1" si="203"/>
        <v>3</v>
      </c>
      <c r="X191" s="70"/>
      <c r="Y191" s="80" t="s">
        <v>74</v>
      </c>
      <c r="Z191" s="79">
        <f t="shared" ca="1" si="204"/>
        <v>3</v>
      </c>
      <c r="AA191" s="70"/>
      <c r="AB191" s="80" t="s">
        <v>74</v>
      </c>
      <c r="AC191" s="79">
        <f t="shared" ca="1" si="205"/>
        <v>3</v>
      </c>
      <c r="AD191" s="70"/>
      <c r="AE191" s="80" t="s">
        <v>74</v>
      </c>
      <c r="AF191" s="79">
        <f t="shared" ca="1" si="206"/>
        <v>3</v>
      </c>
      <c r="AG191" s="70"/>
      <c r="AH191" s="70"/>
    </row>
    <row r="192" spans="1:34" x14ac:dyDescent="0.2">
      <c r="A192" s="25"/>
      <c r="B192" s="25"/>
      <c r="C192" s="25"/>
      <c r="D192" s="25"/>
      <c r="E192" s="25"/>
      <c r="F192" s="415">
        <f t="shared" si="207"/>
        <v>3</v>
      </c>
      <c r="G192" s="415">
        <f ca="1">VLOOKUP(H192,Equipos!$Q$1:$R$25,2,0)</f>
        <v>20</v>
      </c>
      <c r="H192" s="454" t="str">
        <f>Idiomas!$D$260</f>
        <v>Dieciseisavos de final</v>
      </c>
      <c r="I192" s="56"/>
      <c r="J192" s="851"/>
      <c r="K192" s="62" t="str">
        <f>Idiomas!$D$199&amp;"-"&amp;ROWS($L$182:L192)</f>
        <v>Octavofinalista-11</v>
      </c>
      <c r="L192" s="59"/>
      <c r="M192" s="61" t="str">
        <f ca="1">WORLDCUP!AF122</f>
        <v>Noruega</v>
      </c>
      <c r="N192" s="25"/>
      <c r="O192" s="25"/>
      <c r="P192" s="25"/>
      <c r="Q192" s="25"/>
      <c r="R192" s="116"/>
      <c r="S192" s="80" t="s">
        <v>135</v>
      </c>
      <c r="T192" s="79">
        <f t="shared" ca="1" si="202"/>
        <v>3</v>
      </c>
      <c r="U192" s="70"/>
      <c r="V192" s="80" t="s">
        <v>135</v>
      </c>
      <c r="W192" s="79">
        <f t="shared" ca="1" si="203"/>
        <v>3</v>
      </c>
      <c r="X192" s="70"/>
      <c r="Y192" s="80" t="s">
        <v>135</v>
      </c>
      <c r="Z192" s="79">
        <f t="shared" ca="1" si="204"/>
        <v>3</v>
      </c>
      <c r="AA192" s="70"/>
      <c r="AB192" s="80" t="s">
        <v>135</v>
      </c>
      <c r="AC192" s="79">
        <f t="shared" ca="1" si="205"/>
        <v>3</v>
      </c>
      <c r="AD192" s="70"/>
      <c r="AE192" s="80" t="s">
        <v>135</v>
      </c>
      <c r="AF192" s="79">
        <f t="shared" ca="1" si="206"/>
        <v>3</v>
      </c>
      <c r="AG192" s="70"/>
      <c r="AH192" s="70"/>
    </row>
    <row r="193" spans="1:34" x14ac:dyDescent="0.2">
      <c r="A193" s="25"/>
      <c r="B193" s="25"/>
      <c r="C193" s="25"/>
      <c r="D193" s="25"/>
      <c r="E193" s="25"/>
      <c r="F193" s="415">
        <f t="shared" si="207"/>
        <v>3</v>
      </c>
      <c r="G193" s="415">
        <f ca="1">VLOOKUP(H193,Equipos!$Q$1:$R$25,2,0)</f>
        <v>20</v>
      </c>
      <c r="H193" s="454" t="str">
        <f>Idiomas!$D$260</f>
        <v>Dieciseisavos de final</v>
      </c>
      <c r="I193" s="56"/>
      <c r="J193" s="851"/>
      <c r="K193" s="62" t="str">
        <f>Idiomas!$D$199&amp;"-"&amp;ROWS($L$182:L193)</f>
        <v>Octavofinalista-12</v>
      </c>
      <c r="L193" s="59"/>
      <c r="M193" s="61" t="str">
        <f ca="1">WORLDCUP!AF123</f>
        <v>Inglaterra</v>
      </c>
      <c r="N193" s="25"/>
      <c r="O193" s="25"/>
      <c r="P193" s="25"/>
      <c r="Q193" s="25"/>
      <c r="R193" s="116"/>
      <c r="S193" s="80" t="s">
        <v>76</v>
      </c>
      <c r="T193" s="79">
        <f t="shared" ca="1" si="202"/>
        <v>3</v>
      </c>
      <c r="U193" s="70"/>
      <c r="V193" s="80" t="s">
        <v>76</v>
      </c>
      <c r="W193" s="79">
        <f t="shared" ca="1" si="203"/>
        <v>3</v>
      </c>
      <c r="X193" s="70"/>
      <c r="Y193" s="80" t="s">
        <v>76</v>
      </c>
      <c r="Z193" s="79">
        <f t="shared" ca="1" si="204"/>
        <v>3</v>
      </c>
      <c r="AA193" s="70"/>
      <c r="AB193" s="80" t="s">
        <v>76</v>
      </c>
      <c r="AC193" s="79">
        <f t="shared" ca="1" si="205"/>
        <v>3</v>
      </c>
      <c r="AD193" s="70"/>
      <c r="AE193" s="80" t="s">
        <v>76</v>
      </c>
      <c r="AF193" s="79">
        <f t="shared" ca="1" si="206"/>
        <v>3</v>
      </c>
      <c r="AG193" s="70"/>
      <c r="AH193" s="70"/>
    </row>
    <row r="194" spans="1:34" x14ac:dyDescent="0.2">
      <c r="A194" s="25"/>
      <c r="B194" s="25"/>
      <c r="C194" s="25"/>
      <c r="D194" s="25"/>
      <c r="E194" s="25"/>
      <c r="F194" s="415">
        <f t="shared" si="207"/>
        <v>3</v>
      </c>
      <c r="G194" s="415">
        <f ca="1">VLOOKUP(H194,Equipos!$Q$1:$R$25,2,0)</f>
        <v>20</v>
      </c>
      <c r="H194" s="454" t="str">
        <f>Idiomas!$D$260</f>
        <v>Dieciseisavos de final</v>
      </c>
      <c r="I194" s="56"/>
      <c r="J194" s="851"/>
      <c r="K194" s="62" t="str">
        <f>Idiomas!$D$199&amp;"-"&amp;ROWS($L$182:L194)</f>
        <v>Octavofinalista-13</v>
      </c>
      <c r="L194" s="59"/>
      <c r="M194" s="61" t="str">
        <f ca="1">WORLDCUP!AF124</f>
        <v>España</v>
      </c>
      <c r="N194" s="25"/>
      <c r="O194" s="25"/>
      <c r="P194" s="25"/>
      <c r="Q194" s="25"/>
      <c r="R194" s="116"/>
      <c r="S194" s="80" t="s">
        <v>38</v>
      </c>
      <c r="T194" s="79">
        <f t="shared" ca="1" si="202"/>
        <v>3</v>
      </c>
      <c r="U194" s="70"/>
      <c r="V194" s="80" t="s">
        <v>38</v>
      </c>
      <c r="W194" s="79">
        <f t="shared" ca="1" si="203"/>
        <v>3</v>
      </c>
      <c r="X194" s="70"/>
      <c r="Y194" s="80" t="s">
        <v>38</v>
      </c>
      <c r="Z194" s="79">
        <f t="shared" ca="1" si="204"/>
        <v>3</v>
      </c>
      <c r="AA194" s="70"/>
      <c r="AB194" s="80" t="s">
        <v>38</v>
      </c>
      <c r="AC194" s="79">
        <f t="shared" ca="1" si="205"/>
        <v>3</v>
      </c>
      <c r="AD194" s="70"/>
      <c r="AE194" s="80" t="s">
        <v>38</v>
      </c>
      <c r="AF194" s="79">
        <f t="shared" ca="1" si="206"/>
        <v>3</v>
      </c>
      <c r="AG194" s="70"/>
      <c r="AH194" s="70"/>
    </row>
    <row r="195" spans="1:34" x14ac:dyDescent="0.2">
      <c r="A195" s="25"/>
      <c r="B195" s="25"/>
      <c r="C195" s="25"/>
      <c r="D195" s="25"/>
      <c r="E195" s="25"/>
      <c r="F195" s="415">
        <f t="shared" si="207"/>
        <v>3</v>
      </c>
      <c r="G195" s="415">
        <f ca="1">VLOOKUP(H195,Equipos!$Q$1:$R$25,2,0)</f>
        <v>20</v>
      </c>
      <c r="H195" s="454" t="str">
        <f>Idiomas!$D$260</f>
        <v>Dieciseisavos de final</v>
      </c>
      <c r="I195" s="56"/>
      <c r="J195" s="851"/>
      <c r="K195" s="62" t="str">
        <f>Idiomas!$D$199&amp;"-"&amp;ROWS($L$182:L195)</f>
        <v>Octavofinalista-14</v>
      </c>
      <c r="L195" s="59"/>
      <c r="M195" s="61" t="str">
        <f ca="1">WORLDCUP!AF125</f>
        <v>Bélgica</v>
      </c>
      <c r="N195" s="25"/>
      <c r="O195" s="25"/>
      <c r="P195" s="25"/>
      <c r="Q195" s="25"/>
      <c r="R195" s="116"/>
      <c r="S195" s="80" t="s">
        <v>110</v>
      </c>
      <c r="T195" s="79">
        <f t="shared" ca="1" si="202"/>
        <v>3</v>
      </c>
      <c r="U195" s="70"/>
      <c r="V195" s="80" t="s">
        <v>1634</v>
      </c>
      <c r="W195" s="79">
        <f t="shared" ca="1" si="203"/>
        <v>0</v>
      </c>
      <c r="X195" s="70"/>
      <c r="Y195" s="80" t="s">
        <v>110</v>
      </c>
      <c r="Z195" s="79">
        <f t="shared" ca="1" si="204"/>
        <v>3</v>
      </c>
      <c r="AA195" s="70"/>
      <c r="AB195" s="80" t="s">
        <v>110</v>
      </c>
      <c r="AC195" s="79">
        <f t="shared" ca="1" si="205"/>
        <v>3</v>
      </c>
      <c r="AD195" s="70"/>
      <c r="AE195" s="80" t="s">
        <v>110</v>
      </c>
      <c r="AF195" s="79">
        <f t="shared" ca="1" si="206"/>
        <v>3</v>
      </c>
      <c r="AG195" s="70"/>
      <c r="AH195" s="70"/>
    </row>
    <row r="196" spans="1:34" x14ac:dyDescent="0.2">
      <c r="A196" s="25"/>
      <c r="B196" s="25"/>
      <c r="C196" s="25"/>
      <c r="D196" s="25"/>
      <c r="E196" s="25"/>
      <c r="F196" s="415">
        <f t="shared" si="207"/>
        <v>3</v>
      </c>
      <c r="G196" s="415">
        <f ca="1">VLOOKUP(H196,Equipos!$Q$1:$R$25,2,0)</f>
        <v>20</v>
      </c>
      <c r="H196" s="454" t="str">
        <f>Idiomas!$D$260</f>
        <v>Dieciseisavos de final</v>
      </c>
      <c r="I196" s="56"/>
      <c r="J196" s="851"/>
      <c r="K196" s="62" t="str">
        <f>Idiomas!$D$199&amp;"-"&amp;ROWS($L$182:L196)</f>
        <v>Octavofinalista-15</v>
      </c>
      <c r="L196" s="59"/>
      <c r="M196" s="61" t="str">
        <f ca="1">WORLDCUP!AF126</f>
        <v>Egipto</v>
      </c>
      <c r="N196" s="25"/>
      <c r="O196" s="25"/>
      <c r="P196" s="25"/>
      <c r="Q196" s="25"/>
      <c r="R196" s="116"/>
      <c r="S196" s="80" t="s">
        <v>1550</v>
      </c>
      <c r="T196" s="79">
        <f t="shared" ca="1" si="202"/>
        <v>3</v>
      </c>
      <c r="U196" s="70"/>
      <c r="V196" s="80" t="s">
        <v>1550</v>
      </c>
      <c r="W196" s="79">
        <f t="shared" ca="1" si="203"/>
        <v>3</v>
      </c>
      <c r="X196" s="70"/>
      <c r="Y196" s="80" t="s">
        <v>1550</v>
      </c>
      <c r="Z196" s="79">
        <f t="shared" ca="1" si="204"/>
        <v>3</v>
      </c>
      <c r="AA196" s="70"/>
      <c r="AB196" s="80" t="s">
        <v>1550</v>
      </c>
      <c r="AC196" s="79">
        <f t="shared" ca="1" si="205"/>
        <v>3</v>
      </c>
      <c r="AD196" s="70"/>
      <c r="AE196" s="80" t="s">
        <v>1550</v>
      </c>
      <c r="AF196" s="79">
        <f t="shared" ca="1" si="206"/>
        <v>3</v>
      </c>
      <c r="AG196" s="70"/>
      <c r="AH196" s="70"/>
    </row>
    <row r="197" spans="1:34" x14ac:dyDescent="0.2">
      <c r="A197" s="25"/>
      <c r="B197" s="25"/>
      <c r="C197" s="25"/>
      <c r="D197" s="25"/>
      <c r="E197" s="25"/>
      <c r="F197" s="415">
        <f t="shared" si="207"/>
        <v>3</v>
      </c>
      <c r="G197" s="415">
        <f ca="1">VLOOKUP(H197,Equipos!$Q$1:$R$25,2,0)</f>
        <v>20</v>
      </c>
      <c r="H197" s="454" t="str">
        <f>Idiomas!$D$260</f>
        <v>Dieciseisavos de final</v>
      </c>
      <c r="I197" s="56"/>
      <c r="J197" s="851"/>
      <c r="K197" s="121" t="str">
        <f>Idiomas!$D$199&amp;"-"&amp;ROWS($L$182:L197)</f>
        <v>Octavofinalista-16</v>
      </c>
      <c r="L197" s="121"/>
      <c r="M197" s="122" t="str">
        <f ca="1">WORLDCUP!AF127</f>
        <v>Colombia</v>
      </c>
      <c r="N197" s="25"/>
      <c r="O197" s="25"/>
      <c r="P197" s="25"/>
      <c r="Q197" s="25"/>
      <c r="R197" s="116"/>
      <c r="S197" s="86" t="s">
        <v>1320</v>
      </c>
      <c r="T197" s="87">
        <f t="shared" ca="1" si="202"/>
        <v>3</v>
      </c>
      <c r="U197" s="70"/>
      <c r="V197" s="86" t="s">
        <v>1320</v>
      </c>
      <c r="W197" s="87">
        <f t="shared" ca="1" si="203"/>
        <v>3</v>
      </c>
      <c r="X197" s="70"/>
      <c r="Y197" s="86" t="s">
        <v>1320</v>
      </c>
      <c r="Z197" s="87">
        <f t="shared" ca="1" si="204"/>
        <v>3</v>
      </c>
      <c r="AA197" s="70"/>
      <c r="AB197" s="86" t="s">
        <v>1320</v>
      </c>
      <c r="AC197" s="87">
        <f t="shared" ca="1" si="205"/>
        <v>3</v>
      </c>
      <c r="AD197" s="70"/>
      <c r="AE197" s="86" t="s">
        <v>1320</v>
      </c>
      <c r="AF197" s="87">
        <f t="shared" ca="1" si="206"/>
        <v>3</v>
      </c>
      <c r="AG197" s="70"/>
      <c r="AH197" s="70"/>
    </row>
    <row r="198" spans="1:34" x14ac:dyDescent="0.2">
      <c r="A198" s="25"/>
      <c r="B198" s="25"/>
      <c r="C198" s="25"/>
      <c r="D198" s="25"/>
      <c r="E198" s="25"/>
      <c r="F198" s="415"/>
      <c r="G198" s="415"/>
      <c r="H198" s="71"/>
      <c r="I198" s="56"/>
      <c r="J198" s="100"/>
      <c r="K198" s="442" t="str">
        <f>Idiomas!D459</f>
        <v>Equipos 1/8</v>
      </c>
      <c r="L198" s="443"/>
      <c r="M198" s="442" t="str">
        <f ca="1">"Max: "&amp;$D$19*COUNT(T182:T197)</f>
        <v>Max: 48</v>
      </c>
      <c r="N198" s="25"/>
      <c r="O198" s="25"/>
      <c r="P198" s="25"/>
      <c r="Q198" s="25"/>
      <c r="R198" s="55"/>
      <c r="S198" s="90"/>
      <c r="T198" s="77">
        <f ca="1">SUM(T182:T197)</f>
        <v>45</v>
      </c>
      <c r="U198" s="71"/>
      <c r="V198" s="90"/>
      <c r="W198" s="77">
        <f t="shared" ref="W198" ca="1" si="208">SUM(W182:W197)</f>
        <v>30</v>
      </c>
      <c r="X198" s="71"/>
      <c r="Y198" s="90"/>
      <c r="Z198" s="77">
        <f t="shared" ref="Z198" ca="1" si="209">SUM(Z182:Z197)</f>
        <v>42</v>
      </c>
      <c r="AA198" s="71"/>
      <c r="AB198" s="90"/>
      <c r="AC198" s="77">
        <f t="shared" ref="AC198" ca="1" si="210">SUM(AC182:AC197)</f>
        <v>42</v>
      </c>
      <c r="AD198" s="71"/>
      <c r="AE198" s="90"/>
      <c r="AF198" s="77">
        <f t="shared" ref="AF198" ca="1" si="211">SUM(AF182:AF197)</f>
        <v>39</v>
      </c>
      <c r="AG198" s="71"/>
      <c r="AH198" s="71"/>
    </row>
    <row r="199" spans="1:34" x14ac:dyDescent="0.2">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x14ac:dyDescent="0.2">
      <c r="A200" s="25">
        <f>WORLDCUP!AD120</f>
        <v>3</v>
      </c>
      <c r="B200" s="25">
        <f>WORLDCUP!AC120</f>
        <v>0</v>
      </c>
      <c r="C200" s="25" t="str">
        <f ca="1">CONCATENATE(WORLDCUP!AF120,"-",WORLDCUP!AA120)</f>
        <v>Marruecos-Canadá</v>
      </c>
      <c r="D200" s="25">
        <f>IF(WORLDCUP!AC120&gt;WORLDCUP!AD120,2,IF(WORLDCUP!AC120&lt;WORLDCUP!AD120,1,IF(AND(WORLDCUP!AC120=WORLDCUP!AD120,WORLDCUP!AC120&lt;&gt;"",WORLDCUP!AD120&lt;&gt;""),0,"PD")))</f>
        <v>1</v>
      </c>
      <c r="E200" s="25" t="str">
        <f>IF(OR(WORLDCUP!AD120="",WORLDCUP!AC120=""),"-",A200&amp;"-"&amp;B200)</f>
        <v>3-0</v>
      </c>
      <c r="F200" s="415">
        <f>SUM($D$20:$D$22)*I200</f>
        <v>12</v>
      </c>
      <c r="G200" s="415">
        <f ca="1">VLOOKUP(H200,Equipos!$Q$1:$R$25,2,0)</f>
        <v>21</v>
      </c>
      <c r="H200" s="71" t="str">
        <f>Idiomas!$D$261</f>
        <v>Octavos de final</v>
      </c>
      <c r="I200" s="49">
        <v>1</v>
      </c>
      <c r="J200" s="851" t="s">
        <v>88</v>
      </c>
      <c r="K200" s="59" t="str">
        <f ca="1">CONCATENATE(WORLDCUP!AA120,"-",WORLDCUP!AF120)</f>
        <v>Canadá-Marruecos</v>
      </c>
      <c r="L200" s="59">
        <f>IF(OR(WORLDCUP!AC120="",WORLDCUP!AD120=""),"PD",IF(WORLDCUP!AC120&gt;WORLDCUP!AD120,1,IF(WORLDCUP!AC120&lt;WORLDCUP!AD120,2,0)))</f>
        <v>2</v>
      </c>
      <c r="M200" s="61" t="str">
        <f t="shared" ref="M200:M207" si="212">IF(L200="PD","-",N200&amp;"-"&amp;O200)</f>
        <v>0-3</v>
      </c>
      <c r="N200" s="25">
        <f>WORLDCUP!AC120</f>
        <v>0</v>
      </c>
      <c r="O200" s="25">
        <f>WORLDCUP!AD120</f>
        <v>3</v>
      </c>
      <c r="P200" s="25">
        <f t="shared" ref="P200:P207" si="213">+N200-O200</f>
        <v>-3</v>
      </c>
      <c r="Q200" s="25">
        <f t="shared" ref="Q200:Q207" si="214">+A200-B200</f>
        <v>3</v>
      </c>
      <c r="R200" s="116"/>
      <c r="S200" s="72" t="s">
        <v>1986</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4</v>
      </c>
      <c r="U200" s="116"/>
      <c r="V200" s="72" t="s">
        <v>2015</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
        <v>2037</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
        <v>2015</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
        <v>2069</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x14ac:dyDescent="0.2">
      <c r="A201" s="25">
        <f>WORLDCUP!AD121</f>
        <v>1</v>
      </c>
      <c r="B201" s="25">
        <f>WORLDCUP!AC121</f>
        <v>0</v>
      </c>
      <c r="C201" s="25" t="str">
        <f ca="1">CONCATENATE(WORLDCUP!AF121,"-",WORLDCUP!AA121)</f>
        <v>Francia-Paraguay</v>
      </c>
      <c r="D201" s="25">
        <f>IF(WORLDCUP!AC121&gt;WORLDCUP!AD121,2,IF(WORLDCUP!AC121&lt;WORLDCUP!AD121,1,IF(AND(WORLDCUP!AC121=WORLDCUP!AD121,WORLDCUP!AC121&lt;&gt;"",WORLDCUP!AD121&lt;&gt;""),0,"PD")))</f>
        <v>1</v>
      </c>
      <c r="E201" s="25" t="str">
        <f>IF(OR(WORLDCUP!AD121="",WORLDCUP!AC121=""),"-",A201&amp;"-"&amp;B201)</f>
        <v>1-0</v>
      </c>
      <c r="F201" s="415">
        <f t="shared" ref="F201:F207" si="219">SUM($D$20:$D$22)*I201</f>
        <v>12</v>
      </c>
      <c r="G201" s="415">
        <f ca="1">VLOOKUP(H201,Equipos!$Q$1:$R$25,2,0)</f>
        <v>21</v>
      </c>
      <c r="H201" s="71" t="str">
        <f>Idiomas!$D$261</f>
        <v>Octavos de final</v>
      </c>
      <c r="I201" s="49">
        <v>1</v>
      </c>
      <c r="J201" s="851"/>
      <c r="K201" s="62" t="str">
        <f ca="1">CONCATENATE(WORLDCUP!AA121,"-",WORLDCUP!AF121)</f>
        <v>Paraguay-Francia</v>
      </c>
      <c r="L201" s="59">
        <f>IF(OR(WORLDCUP!AC121="",WORLDCUP!AD121=""),"PD",IF(WORLDCUP!AC121&gt;WORLDCUP!AD121,1,IF(WORLDCUP!AC121&lt;WORLDCUP!AD121,2,0)))</f>
        <v>2</v>
      </c>
      <c r="M201" s="61" t="str">
        <f t="shared" si="212"/>
        <v>0-1</v>
      </c>
      <c r="N201" s="25">
        <f>WORLDCUP!AC121</f>
        <v>0</v>
      </c>
      <c r="O201" s="25">
        <f>WORLDCUP!AD121</f>
        <v>1</v>
      </c>
      <c r="P201" s="25">
        <f t="shared" si="213"/>
        <v>-1</v>
      </c>
      <c r="Q201" s="25">
        <f t="shared" si="214"/>
        <v>1</v>
      </c>
      <c r="R201" s="116"/>
      <c r="S201" s="80" t="s">
        <v>1987</v>
      </c>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t="s">
        <v>2016</v>
      </c>
      <c r="W201" s="79">
        <f t="shared" ca="1" si="215"/>
        <v>0</v>
      </c>
      <c r="X201" s="116"/>
      <c r="Y201" s="86" t="s">
        <v>2038</v>
      </c>
      <c r="Z201" s="79">
        <f t="shared" ca="1" si="215"/>
        <v>0</v>
      </c>
      <c r="AA201" s="116"/>
      <c r="AB201" s="86" t="s">
        <v>1987</v>
      </c>
      <c r="AC201" s="79">
        <f t="shared" ca="1" si="215"/>
        <v>0</v>
      </c>
      <c r="AD201" s="116"/>
      <c r="AE201" s="86" t="s">
        <v>2070</v>
      </c>
      <c r="AF201" s="79">
        <f t="shared" ca="1" si="215"/>
        <v>0</v>
      </c>
      <c r="AG201" s="116"/>
      <c r="AH201" s="116"/>
    </row>
    <row r="202" spans="1:34" x14ac:dyDescent="0.2">
      <c r="A202" s="25">
        <f>WORLDCUP!AD122</f>
        <v>2</v>
      </c>
      <c r="B202" s="25">
        <f>WORLDCUP!AC122</f>
        <v>1</v>
      </c>
      <c r="C202" s="25" t="str">
        <f ca="1">CONCATENATE(WORLDCUP!AF122,"-",WORLDCUP!AA122)</f>
        <v>Noruega-Brasil</v>
      </c>
      <c r="D202" s="25">
        <f>IF(WORLDCUP!AC122&gt;WORLDCUP!AD122,2,IF(WORLDCUP!AC122&lt;WORLDCUP!AD122,1,IF(AND(WORLDCUP!AC122=WORLDCUP!AD122,WORLDCUP!AC122&lt;&gt;"",WORLDCUP!AD122&lt;&gt;""),0,"PD")))</f>
        <v>1</v>
      </c>
      <c r="E202" s="25" t="str">
        <f>IF(OR(WORLDCUP!AD122="",WORLDCUP!AC122=""),"-",A202&amp;"-"&amp;B202)</f>
        <v>2-1</v>
      </c>
      <c r="F202" s="415">
        <f t="shared" si="219"/>
        <v>12</v>
      </c>
      <c r="G202" s="415">
        <f ca="1">VLOOKUP(H202,Equipos!$Q$1:$R$25,2,0)</f>
        <v>21</v>
      </c>
      <c r="H202" s="71" t="str">
        <f>Idiomas!$D$261</f>
        <v>Octavos de final</v>
      </c>
      <c r="I202" s="49">
        <v>1</v>
      </c>
      <c r="J202" s="851"/>
      <c r="K202" s="62" t="str">
        <f ca="1">CONCATENATE(WORLDCUP!AA122,"-",WORLDCUP!AF122)</f>
        <v>Brasil-Noruega</v>
      </c>
      <c r="L202" s="59">
        <f>IF(OR(WORLDCUP!AC122="",WORLDCUP!AD122=""),"PD",IF(WORLDCUP!AC122&gt;WORLDCUP!AD122,1,IF(WORLDCUP!AC122&lt;WORLDCUP!AD122,2,0)))</f>
        <v>2</v>
      </c>
      <c r="M202" s="61" t="str">
        <f t="shared" si="212"/>
        <v>1-2</v>
      </c>
      <c r="N202" s="25">
        <f>WORLDCUP!AC122</f>
        <v>1</v>
      </c>
      <c r="O202" s="25">
        <f>WORLDCUP!AD122</f>
        <v>2</v>
      </c>
      <c r="P202" s="25">
        <f t="shared" si="213"/>
        <v>-1</v>
      </c>
      <c r="Q202" s="25">
        <f t="shared" si="214"/>
        <v>1</v>
      </c>
      <c r="R202" s="116"/>
      <c r="S202" s="80" t="s">
        <v>1988</v>
      </c>
      <c r="T202" s="79">
        <f t="shared" ca="1" si="220"/>
        <v>0</v>
      </c>
      <c r="U202" s="116"/>
      <c r="V202" s="80" t="s">
        <v>2017</v>
      </c>
      <c r="W202" s="79">
        <f t="shared" ca="1" si="215"/>
        <v>0</v>
      </c>
      <c r="X202" s="116"/>
      <c r="Y202" s="86" t="s">
        <v>1988</v>
      </c>
      <c r="Z202" s="79">
        <f t="shared" ca="1" si="215"/>
        <v>0</v>
      </c>
      <c r="AA202" s="116"/>
      <c r="AB202" s="86" t="s">
        <v>1988</v>
      </c>
      <c r="AC202" s="79">
        <f t="shared" ca="1" si="215"/>
        <v>0</v>
      </c>
      <c r="AD202" s="116"/>
      <c r="AE202" s="86" t="s">
        <v>1988</v>
      </c>
      <c r="AF202" s="79">
        <f t="shared" ca="1" si="215"/>
        <v>0</v>
      </c>
      <c r="AG202" s="116"/>
      <c r="AH202" s="116"/>
    </row>
    <row r="203" spans="1:34" x14ac:dyDescent="0.2">
      <c r="A203" s="25">
        <f>WORLDCUP!AD123</f>
        <v>3</v>
      </c>
      <c r="B203" s="25">
        <f>WORLDCUP!AC123</f>
        <v>2</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3-2</v>
      </c>
      <c r="F203" s="415">
        <f t="shared" si="219"/>
        <v>12</v>
      </c>
      <c r="G203" s="415">
        <f ca="1">VLOOKUP(H203,Equipos!$Q$1:$R$25,2,0)</f>
        <v>21</v>
      </c>
      <c r="H203" s="71" t="str">
        <f>Idiomas!$D$261</f>
        <v>Octavos de final</v>
      </c>
      <c r="I203" s="49">
        <v>1</v>
      </c>
      <c r="J203" s="851"/>
      <c r="K203" s="62" t="str">
        <f ca="1">CONCATENATE(WORLDCUP!AA123,"-",WORLDCUP!AF123)</f>
        <v>México-Inglaterra</v>
      </c>
      <c r="L203" s="59">
        <f>IF(OR(WORLDCUP!AC123="",WORLDCUP!AD123=""),"PD",IF(WORLDCUP!AC123&gt;WORLDCUP!AD123,1,IF(WORLDCUP!AC123&lt;WORLDCUP!AD123,2,0)))</f>
        <v>2</v>
      </c>
      <c r="M203" s="61" t="str">
        <f t="shared" si="212"/>
        <v>2-3</v>
      </c>
      <c r="N203" s="25">
        <f>WORLDCUP!AC123</f>
        <v>2</v>
      </c>
      <c r="O203" s="25">
        <f>WORLDCUP!AD123</f>
        <v>3</v>
      </c>
      <c r="P203" s="25">
        <f t="shared" si="213"/>
        <v>-1</v>
      </c>
      <c r="Q203" s="25">
        <f t="shared" si="214"/>
        <v>1</v>
      </c>
      <c r="R203" s="116"/>
      <c r="S203" s="80" t="s">
        <v>1989</v>
      </c>
      <c r="T203" s="79">
        <f t="shared" ca="1" si="220"/>
        <v>7</v>
      </c>
      <c r="U203" s="116"/>
      <c r="V203" s="80" t="s">
        <v>2018</v>
      </c>
      <c r="W203" s="79">
        <f t="shared" ca="1" si="215"/>
        <v>0</v>
      </c>
      <c r="X203" s="116"/>
      <c r="Y203" s="86" t="s">
        <v>2039</v>
      </c>
      <c r="Z203" s="79">
        <f t="shared" ca="1" si="215"/>
        <v>0</v>
      </c>
      <c r="AA203" s="116"/>
      <c r="AB203" s="86" t="s">
        <v>1989</v>
      </c>
      <c r="AC203" s="79">
        <f t="shared" ca="1" si="215"/>
        <v>7</v>
      </c>
      <c r="AD203" s="116"/>
      <c r="AE203" s="86" t="s">
        <v>2071</v>
      </c>
      <c r="AF203" s="79">
        <f t="shared" ca="1" si="215"/>
        <v>0</v>
      </c>
      <c r="AG203" s="116"/>
      <c r="AH203" s="116"/>
    </row>
    <row r="204" spans="1:34" x14ac:dyDescent="0.2">
      <c r="A204" s="25">
        <f>WORLDCUP!AD124</f>
        <v>1</v>
      </c>
      <c r="B204" s="25">
        <f>WORLDCUP!AC124</f>
        <v>0</v>
      </c>
      <c r="C204" s="25" t="str">
        <f ca="1">CONCATENATE(WORLDCUP!AF124,"-",WORLDCUP!AA124)</f>
        <v>España-Portugal</v>
      </c>
      <c r="D204" s="25">
        <f>IF(WORLDCUP!AC124&gt;WORLDCUP!AD124,2,IF(WORLDCUP!AC124&lt;WORLDCUP!AD124,1,IF(AND(WORLDCUP!AC124=WORLDCUP!AD124,WORLDCUP!AC124&lt;&gt;"",WORLDCUP!AD124&lt;&gt;""),0,"PD")))</f>
        <v>1</v>
      </c>
      <c r="E204" s="25" t="str">
        <f>IF(OR(WORLDCUP!AD124="",WORLDCUP!AC124=""),"-",A204&amp;"-"&amp;B204)</f>
        <v>1-0</v>
      </c>
      <c r="F204" s="415">
        <f t="shared" si="219"/>
        <v>12</v>
      </c>
      <c r="G204" s="415">
        <f ca="1">VLOOKUP(H204,Equipos!$Q$1:$R$25,2,0)</f>
        <v>21</v>
      </c>
      <c r="H204" s="71" t="str">
        <f>Idiomas!$D$261</f>
        <v>Octavos de final</v>
      </c>
      <c r="I204" s="49">
        <v>1</v>
      </c>
      <c r="J204" s="851"/>
      <c r="K204" s="62" t="str">
        <f ca="1">CONCATENATE(WORLDCUP!AA124,"-",WORLDCUP!AF124)</f>
        <v>Portugal-España</v>
      </c>
      <c r="L204" s="59">
        <f>IF(OR(WORLDCUP!AC124="",WORLDCUP!AD124=""),"PD",IF(WORLDCUP!AC124&gt;WORLDCUP!AD124,1,IF(WORLDCUP!AC124&lt;WORLDCUP!AD124,2,0)))</f>
        <v>2</v>
      </c>
      <c r="M204" s="61" t="str">
        <f t="shared" si="212"/>
        <v>0-1</v>
      </c>
      <c r="N204" s="25">
        <f>WORLDCUP!AC124</f>
        <v>0</v>
      </c>
      <c r="O204" s="25">
        <f>WORLDCUP!AD124</f>
        <v>1</v>
      </c>
      <c r="P204" s="25">
        <f t="shared" si="213"/>
        <v>-1</v>
      </c>
      <c r="Q204" s="25">
        <f t="shared" si="214"/>
        <v>1</v>
      </c>
      <c r="R204" s="116"/>
      <c r="S204" s="80" t="s">
        <v>1990</v>
      </c>
      <c r="T204" s="79">
        <f t="shared" ca="1" si="220"/>
        <v>7</v>
      </c>
      <c r="U204" s="116"/>
      <c r="V204" s="80" t="s">
        <v>2019</v>
      </c>
      <c r="W204" s="79">
        <f t="shared" ca="1" si="215"/>
        <v>0</v>
      </c>
      <c r="X204" s="116"/>
      <c r="Y204" s="86" t="s">
        <v>1990</v>
      </c>
      <c r="Z204" s="79">
        <f t="shared" ca="1" si="215"/>
        <v>7</v>
      </c>
      <c r="AA204" s="116"/>
      <c r="AB204" s="86" t="s">
        <v>1990</v>
      </c>
      <c r="AC204" s="79">
        <f t="shared" ca="1" si="215"/>
        <v>7</v>
      </c>
      <c r="AD204" s="116"/>
      <c r="AE204" s="86" t="s">
        <v>2072</v>
      </c>
      <c r="AF204" s="79">
        <f t="shared" ca="1" si="215"/>
        <v>0</v>
      </c>
      <c r="AG204" s="116"/>
      <c r="AH204" s="116"/>
    </row>
    <row r="205" spans="1:34" x14ac:dyDescent="0.2">
      <c r="A205" s="25">
        <f>WORLDCUP!AD125</f>
        <v>4</v>
      </c>
      <c r="B205" s="25">
        <f>WORLDCUP!AC125</f>
        <v>1</v>
      </c>
      <c r="C205" s="25" t="str">
        <f ca="1">CONCATENATE(WORLDCUP!AF125,"-",WORLDCUP!AA125)</f>
        <v>Bélgica-Estados Unidos</v>
      </c>
      <c r="D205" s="25">
        <f>IF(WORLDCUP!AC125&gt;WORLDCUP!AD125,2,IF(WORLDCUP!AC125&lt;WORLDCUP!AD125,1,IF(AND(WORLDCUP!AC125=WORLDCUP!AD125,WORLDCUP!AC125&lt;&gt;"",WORLDCUP!AD125&lt;&gt;""),0,"PD")))</f>
        <v>1</v>
      </c>
      <c r="E205" s="25" t="str">
        <f>IF(OR(WORLDCUP!AD125="",WORLDCUP!AC125=""),"-",A205&amp;"-"&amp;B205)</f>
        <v>4-1</v>
      </c>
      <c r="F205" s="415">
        <f t="shared" si="219"/>
        <v>12</v>
      </c>
      <c r="G205" s="415">
        <f ca="1">VLOOKUP(H205,Equipos!$Q$1:$R$25,2,0)</f>
        <v>21</v>
      </c>
      <c r="H205" s="71" t="str">
        <f>Idiomas!$D$261</f>
        <v>Octavos de final</v>
      </c>
      <c r="I205" s="49">
        <v>1</v>
      </c>
      <c r="J205" s="851"/>
      <c r="K205" s="62" t="str">
        <f ca="1">CONCATENATE(WORLDCUP!AA125,"-",WORLDCUP!AF125)</f>
        <v>Estados Unidos-Bélgica</v>
      </c>
      <c r="L205" s="59">
        <f>IF(OR(WORLDCUP!AC125="",WORLDCUP!AD125=""),"PD",IF(WORLDCUP!AC125&gt;WORLDCUP!AD125,1,IF(WORLDCUP!AC125&lt;WORLDCUP!AD125,2,0)))</f>
        <v>2</v>
      </c>
      <c r="M205" s="61" t="str">
        <f t="shared" si="212"/>
        <v>1-4</v>
      </c>
      <c r="N205" s="25">
        <f>WORLDCUP!AC125</f>
        <v>1</v>
      </c>
      <c r="O205" s="25">
        <f>WORLDCUP!AD125</f>
        <v>4</v>
      </c>
      <c r="P205" s="25">
        <f t="shared" si="213"/>
        <v>-3</v>
      </c>
      <c r="Q205" s="25">
        <f t="shared" si="214"/>
        <v>3</v>
      </c>
      <c r="R205" s="116"/>
      <c r="S205" s="80" t="s">
        <v>1991</v>
      </c>
      <c r="T205" s="79">
        <f t="shared" ca="1" si="220"/>
        <v>0</v>
      </c>
      <c r="U205" s="116"/>
      <c r="V205" s="80" t="s">
        <v>2020</v>
      </c>
      <c r="W205" s="79">
        <f t="shared" ca="1" si="215"/>
        <v>0</v>
      </c>
      <c r="X205" s="116"/>
      <c r="Y205" s="86" t="s">
        <v>2040</v>
      </c>
      <c r="Z205" s="79">
        <f t="shared" ca="1" si="215"/>
        <v>4</v>
      </c>
      <c r="AA205" s="116"/>
      <c r="AB205" s="86" t="s">
        <v>1991</v>
      </c>
      <c r="AC205" s="79">
        <f t="shared" ca="1" si="215"/>
        <v>0</v>
      </c>
      <c r="AD205" s="116"/>
      <c r="AE205" s="86" t="s">
        <v>2073</v>
      </c>
      <c r="AF205" s="79">
        <f t="shared" ca="1" si="215"/>
        <v>4</v>
      </c>
      <c r="AG205" s="116"/>
      <c r="AH205" s="116"/>
    </row>
    <row r="206" spans="1:34" x14ac:dyDescent="0.2">
      <c r="A206" s="25">
        <f>WORLDCUP!AD126</f>
        <v>2</v>
      </c>
      <c r="B206" s="25">
        <f>WORLDCUP!AC126</f>
        <v>3</v>
      </c>
      <c r="C206" s="25" t="str">
        <f ca="1">CONCATENATE(WORLDCUP!AF126,"-",WORLDCUP!AA126)</f>
        <v>Egipto-Argentina</v>
      </c>
      <c r="D206" s="25">
        <f>IF(WORLDCUP!AC126&gt;WORLDCUP!AD126,2,IF(WORLDCUP!AC126&lt;WORLDCUP!AD126,1,IF(AND(WORLDCUP!AC126=WORLDCUP!AD126,WORLDCUP!AC126&lt;&gt;"",WORLDCUP!AD126&lt;&gt;""),0,"PD")))</f>
        <v>2</v>
      </c>
      <c r="E206" s="25" t="str">
        <f>IF(OR(WORLDCUP!AD126="",WORLDCUP!AC126=""),"-",A206&amp;"-"&amp;B206)</f>
        <v>2-3</v>
      </c>
      <c r="F206" s="415">
        <f t="shared" si="219"/>
        <v>12</v>
      </c>
      <c r="G206" s="415">
        <f ca="1">VLOOKUP(H206,Equipos!$Q$1:$R$25,2,0)</f>
        <v>21</v>
      </c>
      <c r="H206" s="71" t="str">
        <f>Idiomas!$D$261</f>
        <v>Octavos de final</v>
      </c>
      <c r="I206" s="49">
        <v>1</v>
      </c>
      <c r="J206" s="851"/>
      <c r="K206" s="62" t="str">
        <f ca="1">CONCATENATE(WORLDCUP!AA126,"-",WORLDCUP!AF126)</f>
        <v>Argentina-Egipto</v>
      </c>
      <c r="L206" s="59">
        <f>IF(OR(WORLDCUP!AC126="",WORLDCUP!AD126=""),"PD",IF(WORLDCUP!AC126&gt;WORLDCUP!AD126,1,IF(WORLDCUP!AC126&lt;WORLDCUP!AD126,2,0)))</f>
        <v>1</v>
      </c>
      <c r="M206" s="61" t="str">
        <f t="shared" si="212"/>
        <v>3-2</v>
      </c>
      <c r="N206" s="25">
        <f>WORLDCUP!AC126</f>
        <v>3</v>
      </c>
      <c r="O206" s="25">
        <f>WORLDCUP!AD126</f>
        <v>2</v>
      </c>
      <c r="P206" s="25">
        <f t="shared" si="213"/>
        <v>1</v>
      </c>
      <c r="Q206" s="25">
        <f t="shared" si="214"/>
        <v>-1</v>
      </c>
      <c r="R206" s="116"/>
      <c r="S206" s="80" t="s">
        <v>1992</v>
      </c>
      <c r="T206" s="79">
        <f t="shared" ca="1" si="220"/>
        <v>4</v>
      </c>
      <c r="U206" s="116"/>
      <c r="V206" s="80" t="s">
        <v>2021</v>
      </c>
      <c r="W206" s="79">
        <f t="shared" ca="1" si="215"/>
        <v>7</v>
      </c>
      <c r="X206" s="116"/>
      <c r="Y206" s="86" t="s">
        <v>1992</v>
      </c>
      <c r="Z206" s="79">
        <f t="shared" ca="1" si="215"/>
        <v>4</v>
      </c>
      <c r="AA206" s="116"/>
      <c r="AB206" s="86" t="s">
        <v>1992</v>
      </c>
      <c r="AC206" s="79">
        <f t="shared" ca="1" si="215"/>
        <v>4</v>
      </c>
      <c r="AD206" s="116"/>
      <c r="AE206" s="86" t="s">
        <v>1992</v>
      </c>
      <c r="AF206" s="79">
        <f t="shared" ca="1" si="215"/>
        <v>4</v>
      </c>
      <c r="AG206" s="116"/>
      <c r="AH206" s="116"/>
    </row>
    <row r="207" spans="1:34" x14ac:dyDescent="0.2">
      <c r="A207" s="25">
        <f>WORLDCUP!AD127</f>
        <v>0</v>
      </c>
      <c r="B207" s="25">
        <f>WORLDCUP!AC127</f>
        <v>0</v>
      </c>
      <c r="C207" s="25" t="str">
        <f ca="1">CONCATENATE(WORLDCUP!AF127,"-",WORLDCUP!AA127)</f>
        <v>Colombia-Suiza</v>
      </c>
      <c r="D207" s="25">
        <f>IF(WORLDCUP!AC127&gt;WORLDCUP!AD127,2,IF(WORLDCUP!AC127&lt;WORLDCUP!AD127,1,IF(AND(WORLDCUP!AC127=WORLDCUP!AD127,WORLDCUP!AC127&lt;&gt;"",WORLDCUP!AD127&lt;&gt;""),0,"PD")))</f>
        <v>0</v>
      </c>
      <c r="E207" s="25" t="str">
        <f>IF(OR(WORLDCUP!AD127="",WORLDCUP!AC127=""),"-",A207&amp;"-"&amp;B207)</f>
        <v>0-0</v>
      </c>
      <c r="F207" s="415">
        <f t="shared" si="219"/>
        <v>12</v>
      </c>
      <c r="G207" s="415">
        <f ca="1">VLOOKUP(H207,Equipos!$Q$1:$R$25,2,0)</f>
        <v>21</v>
      </c>
      <c r="H207" s="71" t="str">
        <f>Idiomas!$D$261</f>
        <v>Octavos de final</v>
      </c>
      <c r="I207" s="49">
        <v>1</v>
      </c>
      <c r="J207" s="851"/>
      <c r="K207" s="121" t="str">
        <f ca="1">CONCATENATE(WORLDCUP!AA127,"-",WORLDCUP!AF127)</f>
        <v>Suiza-Colombia</v>
      </c>
      <c r="L207" s="121">
        <f>IF(OR(WORLDCUP!AC127="",WORLDCUP!AD127=""),"PD",IF(WORLDCUP!AC127&gt;WORLDCUP!AD127,1,IF(WORLDCUP!AC127&lt;WORLDCUP!AD127,2,0)))</f>
        <v>0</v>
      </c>
      <c r="M207" s="122" t="str">
        <f t="shared" si="212"/>
        <v>0-0</v>
      </c>
      <c r="N207" s="25">
        <f>WORLDCUP!AC127</f>
        <v>0</v>
      </c>
      <c r="O207" s="25">
        <f>WORLDCUP!AD127</f>
        <v>0</v>
      </c>
      <c r="P207" s="25">
        <f t="shared" si="213"/>
        <v>0</v>
      </c>
      <c r="Q207" s="25">
        <f t="shared" si="214"/>
        <v>0</v>
      </c>
      <c r="R207" s="116"/>
      <c r="S207" s="86" t="s">
        <v>1993</v>
      </c>
      <c r="T207" s="91">
        <f t="shared" ca="1" si="220"/>
        <v>0</v>
      </c>
      <c r="U207" s="116"/>
      <c r="V207" s="80" t="s">
        <v>2022</v>
      </c>
      <c r="W207" s="91">
        <f t="shared" ca="1" si="215"/>
        <v>0</v>
      </c>
      <c r="X207" s="116"/>
      <c r="Y207" s="86" t="s">
        <v>2041</v>
      </c>
      <c r="Z207" s="91">
        <f t="shared" ca="1" si="215"/>
        <v>0</v>
      </c>
      <c r="AA207" s="116"/>
      <c r="AB207" s="86" t="s">
        <v>2041</v>
      </c>
      <c r="AC207" s="91">
        <f t="shared" ca="1" si="215"/>
        <v>0</v>
      </c>
      <c r="AD207" s="116"/>
      <c r="AE207" s="86" t="s">
        <v>2074</v>
      </c>
      <c r="AF207" s="91">
        <f t="shared" ca="1" si="215"/>
        <v>0</v>
      </c>
      <c r="AG207" s="116"/>
      <c r="AH207" s="116"/>
    </row>
    <row r="208" spans="1:34" x14ac:dyDescent="0.2">
      <c r="A208" s="25"/>
      <c r="B208" s="25"/>
      <c r="C208" s="25"/>
      <c r="D208" s="25"/>
      <c r="E208" s="25"/>
      <c r="F208" s="415"/>
      <c r="G208" s="415"/>
      <c r="H208" s="71"/>
      <c r="I208" s="56"/>
      <c r="J208" s="100"/>
      <c r="K208" s="442" t="str">
        <f>Idiomas!D460</f>
        <v>Partidos 1/8</v>
      </c>
      <c r="L208" s="443"/>
      <c r="M208" s="442" t="str">
        <f>"Max: "&amp;SUM($D$20:$D$22)*SUM($I$200:$I$207)</f>
        <v>Max: 96</v>
      </c>
      <c r="N208" s="25"/>
      <c r="O208" s="25"/>
      <c r="P208" s="25"/>
      <c r="Q208" s="25"/>
      <c r="R208" s="55"/>
      <c r="S208" s="90"/>
      <c r="T208" s="77">
        <f ca="1">SUM(T200:T207)</f>
        <v>22</v>
      </c>
      <c r="U208" s="55"/>
      <c r="V208" s="90"/>
      <c r="W208" s="77">
        <f t="shared" ref="W208" ca="1" si="221">SUM(W200:W207)</f>
        <v>7</v>
      </c>
      <c r="X208" s="55"/>
      <c r="Y208" s="90"/>
      <c r="Z208" s="77">
        <f t="shared" ref="Z208" ca="1" si="222">SUM(Z200:Z207)</f>
        <v>15</v>
      </c>
      <c r="AA208" s="55"/>
      <c r="AB208" s="90"/>
      <c r="AC208" s="77">
        <f t="shared" ref="AC208" ca="1" si="223">SUM(AC200:AC207)</f>
        <v>18</v>
      </c>
      <c r="AD208" s="55"/>
      <c r="AE208" s="90"/>
      <c r="AF208" s="77">
        <f t="shared" ref="AF208" ca="1" si="224">SUM(AF200:AF207)</f>
        <v>8</v>
      </c>
      <c r="AG208" s="55"/>
      <c r="AH208" s="55"/>
    </row>
    <row r="209" spans="1:34" x14ac:dyDescent="0.2">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x14ac:dyDescent="0.2">
      <c r="A210" s="25"/>
      <c r="B210" s="25"/>
      <c r="C210" s="25"/>
      <c r="D210" s="25"/>
      <c r="E210" s="25"/>
      <c r="F210" s="415">
        <f>+$D$23</f>
        <v>5</v>
      </c>
      <c r="G210" s="415">
        <f ca="1">VLOOKUP(H210,Equipos!$Q$1:$R$25,2,0)</f>
        <v>21</v>
      </c>
      <c r="H210" s="71" t="str">
        <f>Idiomas!$D$261</f>
        <v>Octavos de final</v>
      </c>
      <c r="I210" s="56"/>
      <c r="J210" s="851" t="s">
        <v>34</v>
      </c>
      <c r="K210" s="59" t="str">
        <f>Idiomas!$D$200&amp;"-"&amp;ROWS($L$210:L210)</f>
        <v>Cuartofinalista-1</v>
      </c>
      <c r="L210" s="59"/>
      <c r="M210" s="61" t="str">
        <f ca="1">WORLDCUP!AA131</f>
        <v>Francia</v>
      </c>
      <c r="N210" s="25"/>
      <c r="O210" s="25"/>
      <c r="P210" s="25"/>
      <c r="Q210" s="25"/>
      <c r="R210" s="116"/>
      <c r="S210" s="82" t="s">
        <v>74</v>
      </c>
      <c r="T210" s="83">
        <f t="shared" ref="T210:T217" ca="1" si="225">COUNTIF($M$210:$M$217,S210)*$D$23</f>
        <v>5</v>
      </c>
      <c r="U210" s="116"/>
      <c r="V210" s="82" t="s">
        <v>77</v>
      </c>
      <c r="W210" s="83">
        <f t="shared" ref="W210:W217" ca="1" si="226">COUNTIF($M$210:$M$217,V210)*$D$23</f>
        <v>0</v>
      </c>
      <c r="X210" s="116"/>
      <c r="Y210" s="82" t="s">
        <v>74</v>
      </c>
      <c r="Z210" s="83">
        <f t="shared" ref="Z210:Z217" ca="1" si="227">COUNTIF($M$210:$M$217,Y210)*$D$23</f>
        <v>5</v>
      </c>
      <c r="AA210" s="116"/>
      <c r="AB210" s="82" t="s">
        <v>74</v>
      </c>
      <c r="AC210" s="83">
        <f t="shared" ref="AC210:AC217" ca="1" si="228">COUNTIF($M$210:$M$217,AB210)*$D$23</f>
        <v>5</v>
      </c>
      <c r="AD210" s="116"/>
      <c r="AE210" s="82" t="s">
        <v>74</v>
      </c>
      <c r="AF210" s="83">
        <f t="shared" ref="AF210:AF217" ca="1" si="229">COUNTIF($M$210:$M$217,AE210)*$D$23</f>
        <v>5</v>
      </c>
      <c r="AG210" s="116"/>
      <c r="AH210" s="116"/>
    </row>
    <row r="211" spans="1:34" x14ac:dyDescent="0.2">
      <c r="A211" s="25"/>
      <c r="B211" s="25"/>
      <c r="C211" s="25"/>
      <c r="D211" s="25"/>
      <c r="E211" s="25"/>
      <c r="F211" s="415">
        <f t="shared" ref="F211:F217" si="230">+$D$23</f>
        <v>5</v>
      </c>
      <c r="G211" s="415">
        <f ca="1">VLOOKUP(H211,Equipos!$Q$1:$R$25,2,0)</f>
        <v>21</v>
      </c>
      <c r="H211" s="71" t="str">
        <f>Idiomas!$D$261</f>
        <v>Octavos de final</v>
      </c>
      <c r="I211" s="56"/>
      <c r="J211" s="851"/>
      <c r="K211" s="62" t="str">
        <f>Idiomas!$D$200&amp;"-"&amp;ROWS($L$210:L211)</f>
        <v>Cuartofinalista-2</v>
      </c>
      <c r="L211" s="59"/>
      <c r="M211" s="61" t="str">
        <f ca="1">WORLDCUP!AA132</f>
        <v>España</v>
      </c>
      <c r="N211" s="25"/>
      <c r="O211" s="25"/>
      <c r="P211" s="25"/>
      <c r="Q211" s="25"/>
      <c r="R211" s="116"/>
      <c r="S211" s="80" t="s">
        <v>38</v>
      </c>
      <c r="T211" s="79">
        <f t="shared" ca="1" si="225"/>
        <v>5</v>
      </c>
      <c r="U211" s="116"/>
      <c r="V211" s="80" t="s">
        <v>38</v>
      </c>
      <c r="W211" s="79">
        <f t="shared" ca="1" si="226"/>
        <v>5</v>
      </c>
      <c r="X211" s="116"/>
      <c r="Y211" s="80" t="s">
        <v>38</v>
      </c>
      <c r="Z211" s="79">
        <f t="shared" ca="1" si="227"/>
        <v>5</v>
      </c>
      <c r="AA211" s="116"/>
      <c r="AB211" s="80" t="s">
        <v>38</v>
      </c>
      <c r="AC211" s="79">
        <f t="shared" ca="1" si="228"/>
        <v>5</v>
      </c>
      <c r="AD211" s="116"/>
      <c r="AE211" s="80" t="s">
        <v>38</v>
      </c>
      <c r="AF211" s="79">
        <f t="shared" ca="1" si="229"/>
        <v>5</v>
      </c>
      <c r="AG211" s="116"/>
      <c r="AH211" s="116"/>
    </row>
    <row r="212" spans="1:34" x14ac:dyDescent="0.2">
      <c r="A212" s="25"/>
      <c r="B212" s="25"/>
      <c r="C212" s="25"/>
      <c r="D212" s="25"/>
      <c r="E212" s="25"/>
      <c r="F212" s="415">
        <f t="shared" si="230"/>
        <v>5</v>
      </c>
      <c r="G212" s="415">
        <f ca="1">VLOOKUP(H212,Equipos!$Q$1:$R$25,2,0)</f>
        <v>21</v>
      </c>
      <c r="H212" s="71" t="str">
        <f>Idiomas!$D$261</f>
        <v>Octavos de final</v>
      </c>
      <c r="I212" s="56"/>
      <c r="J212" s="851"/>
      <c r="K212" s="62" t="str">
        <f>Idiomas!$D$200&amp;"-"&amp;ROWS($L$210:L212)</f>
        <v>Cuartofinalista-3</v>
      </c>
      <c r="L212" s="59"/>
      <c r="M212" s="61" t="str">
        <f ca="1">WORLDCUP!AA133</f>
        <v>Noruega</v>
      </c>
      <c r="N212" s="25"/>
      <c r="O212" s="25"/>
      <c r="P212" s="25"/>
      <c r="Q212" s="25"/>
      <c r="R212" s="116"/>
      <c r="S212" s="80" t="s">
        <v>1258</v>
      </c>
      <c r="T212" s="79">
        <f t="shared" ca="1" si="225"/>
        <v>0</v>
      </c>
      <c r="U212" s="116"/>
      <c r="V212" s="80" t="s">
        <v>1263</v>
      </c>
      <c r="W212" s="79">
        <f t="shared" ca="1" si="226"/>
        <v>0</v>
      </c>
      <c r="X212" s="116"/>
      <c r="Y212" s="80" t="s">
        <v>1258</v>
      </c>
      <c r="Z212" s="79">
        <f t="shared" ca="1" si="227"/>
        <v>0</v>
      </c>
      <c r="AA212" s="116"/>
      <c r="AB212" s="80" t="s">
        <v>1258</v>
      </c>
      <c r="AC212" s="79">
        <f t="shared" ca="1" si="228"/>
        <v>0</v>
      </c>
      <c r="AD212" s="116"/>
      <c r="AE212" s="80" t="s">
        <v>1258</v>
      </c>
      <c r="AF212" s="79">
        <f t="shared" ca="1" si="229"/>
        <v>0</v>
      </c>
      <c r="AG212" s="116"/>
      <c r="AH212" s="116"/>
    </row>
    <row r="213" spans="1:34" x14ac:dyDescent="0.2">
      <c r="A213" s="25"/>
      <c r="B213" s="25"/>
      <c r="C213" s="25"/>
      <c r="D213" s="25"/>
      <c r="E213" s="25"/>
      <c r="F213" s="415">
        <f t="shared" si="230"/>
        <v>5</v>
      </c>
      <c r="G213" s="415">
        <f ca="1">VLOOKUP(H213,Equipos!$Q$1:$R$25,2,0)</f>
        <v>21</v>
      </c>
      <c r="H213" s="71" t="str">
        <f>Idiomas!$D$261</f>
        <v>Octavos de final</v>
      </c>
      <c r="I213" s="56"/>
      <c r="J213" s="851"/>
      <c r="K213" s="62" t="str">
        <f>Idiomas!$D$200&amp;"-"&amp;ROWS($L$210:L213)</f>
        <v>Cuartofinalista-4</v>
      </c>
      <c r="L213" s="59"/>
      <c r="M213" s="61" t="str">
        <f ca="1">WORLDCUP!AA134</f>
        <v>Argentina</v>
      </c>
      <c r="N213" s="25"/>
      <c r="O213" s="25"/>
      <c r="P213" s="25"/>
      <c r="Q213" s="25"/>
      <c r="R213" s="116"/>
      <c r="S213" s="80" t="s">
        <v>1256</v>
      </c>
      <c r="T213" s="79">
        <f t="shared" ca="1" si="225"/>
        <v>5</v>
      </c>
      <c r="U213" s="116"/>
      <c r="V213" s="80" t="s">
        <v>1256</v>
      </c>
      <c r="W213" s="79">
        <f t="shared" ca="1" si="226"/>
        <v>5</v>
      </c>
      <c r="X213" s="116"/>
      <c r="Y213" s="80" t="s">
        <v>1256</v>
      </c>
      <c r="Z213" s="79">
        <f t="shared" ca="1" si="227"/>
        <v>5</v>
      </c>
      <c r="AA213" s="116"/>
      <c r="AB213" s="80" t="s">
        <v>1256</v>
      </c>
      <c r="AC213" s="79">
        <f t="shared" ca="1" si="228"/>
        <v>5</v>
      </c>
      <c r="AD213" s="116"/>
      <c r="AE213" s="80" t="s">
        <v>1256</v>
      </c>
      <c r="AF213" s="79">
        <f t="shared" ca="1" si="229"/>
        <v>5</v>
      </c>
      <c r="AG213" s="116"/>
      <c r="AH213" s="116"/>
    </row>
    <row r="214" spans="1:34" x14ac:dyDescent="0.2">
      <c r="A214" s="25"/>
      <c r="B214" s="25"/>
      <c r="C214" s="95"/>
      <c r="D214" s="25"/>
      <c r="E214" s="25"/>
      <c r="F214" s="415">
        <f t="shared" si="230"/>
        <v>5</v>
      </c>
      <c r="G214" s="415">
        <f ca="1">VLOOKUP(H214,Equipos!$Q$1:$R$25,2,0)</f>
        <v>21</v>
      </c>
      <c r="H214" s="71" t="str">
        <f>Idiomas!$D$261</f>
        <v>Octavos de final</v>
      </c>
      <c r="I214" s="56"/>
      <c r="J214" s="851"/>
      <c r="K214" s="62" t="str">
        <f>Idiomas!$D$200&amp;"-"&amp;ROWS($L$210:L214)</f>
        <v>Cuartofinalista-5</v>
      </c>
      <c r="L214" s="59"/>
      <c r="M214" s="61" t="str">
        <f ca="1">WORLDCUP!AF131</f>
        <v>Marruecos</v>
      </c>
      <c r="N214" s="25"/>
      <c r="O214" s="25"/>
      <c r="P214" s="25"/>
      <c r="Q214" s="25"/>
      <c r="R214" s="116"/>
      <c r="S214" s="80" t="s">
        <v>1321</v>
      </c>
      <c r="T214" s="79">
        <f t="shared" ca="1" si="225"/>
        <v>5</v>
      </c>
      <c r="U214" s="116"/>
      <c r="V214" s="80" t="s">
        <v>111</v>
      </c>
      <c r="W214" s="79">
        <f t="shared" ca="1" si="226"/>
        <v>0</v>
      </c>
      <c r="X214" s="116"/>
      <c r="Y214" s="80" t="s">
        <v>111</v>
      </c>
      <c r="Z214" s="79">
        <f t="shared" ca="1" si="227"/>
        <v>0</v>
      </c>
      <c r="AA214" s="116"/>
      <c r="AB214" s="80" t="s">
        <v>111</v>
      </c>
      <c r="AC214" s="79">
        <f t="shared" ca="1" si="228"/>
        <v>0</v>
      </c>
      <c r="AD214" s="116"/>
      <c r="AE214" s="80" t="s">
        <v>111</v>
      </c>
      <c r="AF214" s="79">
        <f t="shared" ca="1" si="229"/>
        <v>0</v>
      </c>
      <c r="AG214" s="116"/>
      <c r="AH214" s="116"/>
    </row>
    <row r="215" spans="1:34" x14ac:dyDescent="0.2">
      <c r="A215" s="25"/>
      <c r="B215" s="25"/>
      <c r="C215" s="95"/>
      <c r="D215" s="25"/>
      <c r="E215" s="25"/>
      <c r="F215" s="415">
        <f t="shared" si="230"/>
        <v>5</v>
      </c>
      <c r="G215" s="415">
        <f ca="1">VLOOKUP(H215,Equipos!$Q$1:$R$25,2,0)</f>
        <v>21</v>
      </c>
      <c r="H215" s="71" t="str">
        <f>Idiomas!$D$261</f>
        <v>Octavos de final</v>
      </c>
      <c r="I215" s="56"/>
      <c r="J215" s="851"/>
      <c r="K215" s="62" t="str">
        <f>Idiomas!$D$200&amp;"-"&amp;ROWS($L$210:L215)</f>
        <v>Cuartofinalista-6</v>
      </c>
      <c r="L215" s="59"/>
      <c r="M215" s="61" t="str">
        <f ca="1">WORLDCUP!AF132</f>
        <v>Bélgica</v>
      </c>
      <c r="N215" s="25"/>
      <c r="O215" s="25"/>
      <c r="P215" s="25"/>
      <c r="Q215" s="25"/>
      <c r="R215" s="116"/>
      <c r="S215" s="80" t="s">
        <v>497</v>
      </c>
      <c r="T215" s="79">
        <f t="shared" ca="1" si="225"/>
        <v>0</v>
      </c>
      <c r="U215" s="116"/>
      <c r="V215" s="80" t="s">
        <v>497</v>
      </c>
      <c r="W215" s="79">
        <f t="shared" ca="1" si="226"/>
        <v>0</v>
      </c>
      <c r="X215" s="116"/>
      <c r="Y215" s="80" t="s">
        <v>110</v>
      </c>
      <c r="Z215" s="79">
        <f t="shared" ca="1" si="227"/>
        <v>5</v>
      </c>
      <c r="AA215" s="116"/>
      <c r="AB215" s="80" t="s">
        <v>497</v>
      </c>
      <c r="AC215" s="79">
        <f t="shared" ca="1" si="228"/>
        <v>0</v>
      </c>
      <c r="AD215" s="116"/>
      <c r="AE215" s="80" t="s">
        <v>110</v>
      </c>
      <c r="AF215" s="79">
        <f t="shared" ca="1" si="229"/>
        <v>5</v>
      </c>
      <c r="AG215" s="116"/>
      <c r="AH215" s="116"/>
    </row>
    <row r="216" spans="1:34" x14ac:dyDescent="0.2">
      <c r="A216" s="25"/>
      <c r="B216" s="25"/>
      <c r="C216" s="25"/>
      <c r="D216" s="25"/>
      <c r="E216" s="25"/>
      <c r="F216" s="415">
        <f t="shared" si="230"/>
        <v>5</v>
      </c>
      <c r="G216" s="415">
        <f ca="1">VLOOKUP(H216,Equipos!$Q$1:$R$25,2,0)</f>
        <v>21</v>
      </c>
      <c r="H216" s="71" t="str">
        <f>Idiomas!$D$261</f>
        <v>Octavos de final</v>
      </c>
      <c r="I216" s="56"/>
      <c r="J216" s="851"/>
      <c r="K216" s="62" t="str">
        <f>Idiomas!$D$200&amp;"-"&amp;ROWS($L$210:L216)</f>
        <v>Cuartofinalista-7</v>
      </c>
      <c r="L216" s="59"/>
      <c r="M216" s="61" t="str">
        <f ca="1">WORLDCUP!AF133</f>
        <v>Inglaterra</v>
      </c>
      <c r="N216" s="25"/>
      <c r="O216" s="25"/>
      <c r="P216" s="25"/>
      <c r="Q216" s="25"/>
      <c r="R216" s="116"/>
      <c r="S216" s="80" t="s">
        <v>76</v>
      </c>
      <c r="T216" s="79">
        <f t="shared" ca="1" si="225"/>
        <v>5</v>
      </c>
      <c r="U216" s="116"/>
      <c r="V216" s="80" t="s">
        <v>76</v>
      </c>
      <c r="W216" s="79">
        <f t="shared" ca="1" si="226"/>
        <v>5</v>
      </c>
      <c r="X216" s="116"/>
      <c r="Y216" s="80" t="s">
        <v>76</v>
      </c>
      <c r="Z216" s="79">
        <f t="shared" ca="1" si="227"/>
        <v>5</v>
      </c>
      <c r="AA216" s="116"/>
      <c r="AB216" s="80" t="s">
        <v>76</v>
      </c>
      <c r="AC216" s="79">
        <f t="shared" ca="1" si="228"/>
        <v>5</v>
      </c>
      <c r="AD216" s="116"/>
      <c r="AE216" s="80" t="s">
        <v>76</v>
      </c>
      <c r="AF216" s="79">
        <f t="shared" ca="1" si="229"/>
        <v>5</v>
      </c>
      <c r="AG216" s="116"/>
      <c r="AH216" s="116"/>
    </row>
    <row r="217" spans="1:34" x14ac:dyDescent="0.2">
      <c r="A217" s="25"/>
      <c r="B217" s="25"/>
      <c r="C217" s="25"/>
      <c r="D217" s="25"/>
      <c r="E217" s="25"/>
      <c r="F217" s="415">
        <f t="shared" si="230"/>
        <v>5</v>
      </c>
      <c r="G217" s="415">
        <f ca="1">VLOOKUP(H217,Equipos!$Q$1:$R$25,2,0)</f>
        <v>21</v>
      </c>
      <c r="H217" s="71" t="str">
        <f>Idiomas!$D$261</f>
        <v>Octavos de final</v>
      </c>
      <c r="I217" s="56"/>
      <c r="J217" s="851"/>
      <c r="K217" s="121" t="str">
        <f>Idiomas!$D$200&amp;"-"&amp;ROWS($L$210:L217)</f>
        <v>Cuartofinalista-8</v>
      </c>
      <c r="L217" s="121"/>
      <c r="M217" s="122" t="str">
        <f ca="1">WORLDCUP!AF134</f>
        <v>Suiza</v>
      </c>
      <c r="N217" s="25"/>
      <c r="O217" s="25"/>
      <c r="P217" s="25"/>
      <c r="Q217" s="25"/>
      <c r="R217" s="116"/>
      <c r="S217" s="86" t="s">
        <v>1320</v>
      </c>
      <c r="T217" s="87">
        <f t="shared" ca="1" si="225"/>
        <v>0</v>
      </c>
      <c r="U217" s="116"/>
      <c r="V217" s="86" t="s">
        <v>75</v>
      </c>
      <c r="W217" s="87">
        <f t="shared" ca="1" si="226"/>
        <v>5</v>
      </c>
      <c r="X217" s="116"/>
      <c r="Y217" s="86" t="s">
        <v>1320</v>
      </c>
      <c r="Z217" s="87">
        <f t="shared" ca="1" si="227"/>
        <v>0</v>
      </c>
      <c r="AA217" s="116"/>
      <c r="AB217" s="86" t="s">
        <v>1320</v>
      </c>
      <c r="AC217" s="87">
        <f t="shared" ca="1" si="228"/>
        <v>0</v>
      </c>
      <c r="AD217" s="116"/>
      <c r="AE217" s="86" t="s">
        <v>75</v>
      </c>
      <c r="AF217" s="87">
        <f t="shared" ca="1" si="229"/>
        <v>5</v>
      </c>
      <c r="AG217" s="116"/>
      <c r="AH217" s="116"/>
    </row>
    <row r="218" spans="1:34" x14ac:dyDescent="0.2">
      <c r="A218" s="25"/>
      <c r="B218" s="25"/>
      <c r="C218" s="25" t="s">
        <v>1930</v>
      </c>
      <c r="D218" s="25"/>
      <c r="E218" s="25"/>
      <c r="F218" s="415"/>
      <c r="G218" s="415"/>
      <c r="H218" s="71"/>
      <c r="I218" s="56"/>
      <c r="J218" s="100"/>
      <c r="K218" s="442" t="str">
        <f>Idiomas!D461</f>
        <v>Equipos 1/4</v>
      </c>
      <c r="L218" s="443"/>
      <c r="M218" s="442" t="str">
        <f ca="1">"Max: "&amp;$D$23*COUNT(T210:T217)</f>
        <v>Max: 40</v>
      </c>
      <c r="N218" s="25"/>
      <c r="O218" s="25"/>
      <c r="P218" s="25"/>
      <c r="Q218" s="25"/>
      <c r="R218" s="55"/>
      <c r="S218" s="90"/>
      <c r="T218" s="77">
        <f ca="1">SUM(T210:T217)</f>
        <v>25</v>
      </c>
      <c r="U218" s="55"/>
      <c r="V218" s="90"/>
      <c r="W218" s="77">
        <f t="shared" ref="W218" ca="1" si="231">SUM(W210:W217)</f>
        <v>20</v>
      </c>
      <c r="X218" s="55"/>
      <c r="Y218" s="90"/>
      <c r="Z218" s="77">
        <f t="shared" ref="Z218" ca="1" si="232">SUM(Z210:Z217)</f>
        <v>25</v>
      </c>
      <c r="AA218" s="55"/>
      <c r="AB218" s="90"/>
      <c r="AC218" s="77">
        <f t="shared" ref="AC218" ca="1" si="233">SUM(AC210:AC217)</f>
        <v>20</v>
      </c>
      <c r="AD218" s="55"/>
      <c r="AE218" s="90"/>
      <c r="AF218" s="77">
        <f t="shared" ref="AF218" ca="1" si="234">SUM(AF210:AF217)</f>
        <v>30</v>
      </c>
      <c r="AG218" s="55"/>
      <c r="AH218" s="55"/>
    </row>
    <row r="219" spans="1:34" x14ac:dyDescent="0.2">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x14ac:dyDescent="0.2">
      <c r="A220" s="25">
        <f>WORLDCUP!AD131</f>
        <v>0</v>
      </c>
      <c r="B220" s="25">
        <f>WORLDCUP!AC131</f>
        <v>2</v>
      </c>
      <c r="C220" s="25" t="str">
        <f ca="1">CONCATENATE(WORLDCUP!AF131,"-",WORLDCUP!AA131)</f>
        <v>Marruecos-Francia</v>
      </c>
      <c r="D220" s="25">
        <f>IF(WORLDCUP!AC131&gt;WORLDCUP!AD131,2,IF(WORLDCUP!AC131&lt;WORLDCUP!AD131,1,IF(AND(WORLDCUP!AC131=WORLDCUP!AD131,WORLDCUP!AC131&lt;&gt;"",WORLDCUP!AD131&lt;&gt;""),0,"PD")))</f>
        <v>2</v>
      </c>
      <c r="E220" s="25" t="str">
        <f>IF(OR(WORLDCUP!AD131="",WORLDCUP!AC131=""),"-",A220&amp;"-"&amp;B220)</f>
        <v>0-2</v>
      </c>
      <c r="F220" s="415">
        <f>SUM($D$24:$D$26)*I220</f>
        <v>15</v>
      </c>
      <c r="G220" s="415">
        <f ca="1">VLOOKUP(H220,Equipos!$Q$1:$R$25,2,0)</f>
        <v>22</v>
      </c>
      <c r="H220" s="71" t="str">
        <f>Idiomas!$D$262</f>
        <v>Cuartos de final</v>
      </c>
      <c r="I220" s="49">
        <v>1</v>
      </c>
      <c r="J220" s="851" t="s">
        <v>34</v>
      </c>
      <c r="K220" s="59" t="str">
        <f ca="1">CONCATENATE(WORLDCUP!AA131,"-",WORLDCUP!AF131)</f>
        <v>Francia-Marruecos</v>
      </c>
      <c r="L220" s="59">
        <f>IF(OR(WORLDCUP!AC131="",WORLDCUP!AD131=""),"PD",IF(WORLDCUP!AC131&gt;WORLDCUP!AD131,1,IF(WORLDCUP!AC131&lt;WORLDCUP!AD131,2,0)))</f>
        <v>1</v>
      </c>
      <c r="M220" s="61" t="str">
        <f t="shared" ref="M220:M223" si="235">IF(L220="PD","-",N220&amp;"-"&amp;O220)</f>
        <v>2-0</v>
      </c>
      <c r="N220" s="25">
        <f>WORLDCUP!AC131</f>
        <v>2</v>
      </c>
      <c r="O220" s="25">
        <f>WORLDCUP!AD131</f>
        <v>0</v>
      </c>
      <c r="P220" s="25">
        <f t="shared" ref="P220:P223" si="236">+N220-O220</f>
        <v>2</v>
      </c>
      <c r="Q220" s="25">
        <f>+A220-B220</f>
        <v>-2</v>
      </c>
      <c r="R220" s="116"/>
      <c r="S220" s="82" t="s">
        <v>1994</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9</v>
      </c>
      <c r="U220" s="116"/>
      <c r="V220" s="82" t="s">
        <v>2023</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
        <v>2042</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
        <v>2059</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
        <v>2075</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x14ac:dyDescent="0.2">
      <c r="A221" s="25">
        <f>WORLDCUP!AD132</f>
        <v>1</v>
      </c>
      <c r="B221" s="25">
        <f>WORLDCUP!AC132</f>
        <v>2</v>
      </c>
      <c r="C221" s="25" t="str">
        <f ca="1">CONCATENATE(WORLDCUP!AF132,"-",WORLDCUP!AA132)</f>
        <v>Bélgica-España</v>
      </c>
      <c r="D221" s="25">
        <f>IF(WORLDCUP!AC132&gt;WORLDCUP!AD132,2,IF(WORLDCUP!AC132&lt;WORLDCUP!AD132,1,IF(AND(WORLDCUP!AC132=WORLDCUP!AD132,WORLDCUP!AC132&lt;&gt;"",WORLDCUP!AD132&lt;&gt;""),0,"PD")))</f>
        <v>2</v>
      </c>
      <c r="E221" s="25" t="str">
        <f>IF(OR(WORLDCUP!AD132="",WORLDCUP!AC132=""),"-",A221&amp;"-"&amp;B221)</f>
        <v>1-2</v>
      </c>
      <c r="F221" s="415">
        <f t="shared" ref="F221:F223" si="241">SUM($D$24:$D$26)*I221</f>
        <v>15</v>
      </c>
      <c r="G221" s="415">
        <f ca="1">VLOOKUP(H221,Equipos!$Q$1:$R$25,2,0)</f>
        <v>22</v>
      </c>
      <c r="H221" s="71" t="str">
        <f>Idiomas!$D$262</f>
        <v>Cuartos de final</v>
      </c>
      <c r="I221" s="49">
        <v>1</v>
      </c>
      <c r="J221" s="851"/>
      <c r="K221" s="62" t="str">
        <f ca="1">CONCATENATE(WORLDCUP!AA132,"-",WORLDCUP!AF132)</f>
        <v>España-Bélgica</v>
      </c>
      <c r="L221" s="59">
        <f>IF(OR(WORLDCUP!AC132="",WORLDCUP!AD132=""),"PD",IF(WORLDCUP!AC132&gt;WORLDCUP!AD132,1,IF(WORLDCUP!AC132&lt;WORLDCUP!AD132,2,0)))</f>
        <v>1</v>
      </c>
      <c r="M221" s="61" t="str">
        <f t="shared" si="235"/>
        <v>2-1</v>
      </c>
      <c r="N221" s="25">
        <f>WORLDCUP!AC132</f>
        <v>2</v>
      </c>
      <c r="O221" s="25">
        <f>WORLDCUP!AD132</f>
        <v>1</v>
      </c>
      <c r="P221" s="25">
        <f t="shared" si="236"/>
        <v>1</v>
      </c>
      <c r="Q221" s="25">
        <f>+A221-B221</f>
        <v>-1</v>
      </c>
      <c r="R221" s="116"/>
      <c r="S221" s="80" t="s">
        <v>1995</v>
      </c>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t="s">
        <v>1995</v>
      </c>
      <c r="W221" s="83">
        <f t="shared" ca="1" si="237"/>
        <v>0</v>
      </c>
      <c r="X221" s="116"/>
      <c r="Y221" s="80" t="s">
        <v>2043</v>
      </c>
      <c r="Z221" s="83">
        <f t="shared" ca="1" si="237"/>
        <v>0</v>
      </c>
      <c r="AA221" s="116"/>
      <c r="AB221" s="80" t="s">
        <v>1995</v>
      </c>
      <c r="AC221" s="83">
        <f t="shared" ca="1" si="237"/>
        <v>0</v>
      </c>
      <c r="AD221" s="116"/>
      <c r="AE221" s="80" t="s">
        <v>2076</v>
      </c>
      <c r="AF221" s="83">
        <f t="shared" ca="1" si="237"/>
        <v>15</v>
      </c>
      <c r="AG221" s="116"/>
      <c r="AH221" s="116"/>
    </row>
    <row r="222" spans="1:34" x14ac:dyDescent="0.2">
      <c r="A222" s="25">
        <f>WORLDCUP!AD133</f>
        <v>2</v>
      </c>
      <c r="B222" s="25">
        <f>WORLDCUP!AC133</f>
        <v>1</v>
      </c>
      <c r="C222" s="25" t="str">
        <f ca="1">CONCATENATE(WORLDCUP!AF133,"-",WORLDCUP!AA133)</f>
        <v>Inglaterra-Noruega</v>
      </c>
      <c r="D222" s="25">
        <f>IF(WORLDCUP!AC133&gt;WORLDCUP!AD133,2,IF(WORLDCUP!AC133&lt;WORLDCUP!AD133,1,IF(AND(WORLDCUP!AC133=WORLDCUP!AD133,WORLDCUP!AC133&lt;&gt;"",WORLDCUP!AD133&lt;&gt;""),0,"PD")))</f>
        <v>1</v>
      </c>
      <c r="E222" s="25" t="str">
        <f>IF(OR(WORLDCUP!AD133="",WORLDCUP!AC133=""),"-",A222&amp;"-"&amp;B222)</f>
        <v>2-1</v>
      </c>
      <c r="F222" s="415">
        <f t="shared" si="241"/>
        <v>15</v>
      </c>
      <c r="G222" s="415">
        <f ca="1">VLOOKUP(H222,Equipos!$Q$1:$R$25,2,0)</f>
        <v>22</v>
      </c>
      <c r="H222" s="71" t="str">
        <f>Idiomas!$D$262</f>
        <v>Cuartos de final</v>
      </c>
      <c r="I222" s="49">
        <v>1</v>
      </c>
      <c r="J222" s="851"/>
      <c r="K222" s="62" t="str">
        <f ca="1">CONCATENATE(WORLDCUP!AA133,"-",WORLDCUP!AF133)</f>
        <v>Noruega-Inglaterra</v>
      </c>
      <c r="L222" s="59">
        <f>IF(OR(WORLDCUP!AC133="",WORLDCUP!AD133=""),"PD",IF(WORLDCUP!AC133&gt;WORLDCUP!AD133,1,IF(WORLDCUP!AC133&lt;WORLDCUP!AD133,2,0)))</f>
        <v>2</v>
      </c>
      <c r="M222" s="61" t="str">
        <f t="shared" si="235"/>
        <v>1-2</v>
      </c>
      <c r="N222" s="25">
        <f>WORLDCUP!AC133</f>
        <v>1</v>
      </c>
      <c r="O222" s="25">
        <f>WORLDCUP!AD133</f>
        <v>2</v>
      </c>
      <c r="P222" s="25">
        <f t="shared" si="236"/>
        <v>-1</v>
      </c>
      <c r="Q222" s="25">
        <f>+A222-B222</f>
        <v>1</v>
      </c>
      <c r="R222" s="116"/>
      <c r="S222" s="80" t="s">
        <v>1996</v>
      </c>
      <c r="T222" s="83">
        <f t="shared" ca="1" si="242"/>
        <v>0</v>
      </c>
      <c r="U222" s="116"/>
      <c r="V222" s="80" t="s">
        <v>2024</v>
      </c>
      <c r="W222" s="83">
        <f t="shared" ca="1" si="237"/>
        <v>0</v>
      </c>
      <c r="X222" s="116"/>
      <c r="Y222" s="80" t="s">
        <v>2044</v>
      </c>
      <c r="Z222" s="83">
        <f t="shared" ca="1" si="237"/>
        <v>0</v>
      </c>
      <c r="AA222" s="116"/>
      <c r="AB222" s="80" t="s">
        <v>1996</v>
      </c>
      <c r="AC222" s="83">
        <f t="shared" ca="1" si="237"/>
        <v>0</v>
      </c>
      <c r="AD222" s="116"/>
      <c r="AE222" s="80" t="s">
        <v>1996</v>
      </c>
      <c r="AF222" s="83">
        <f t="shared" ca="1" si="237"/>
        <v>0</v>
      </c>
      <c r="AG222" s="116"/>
      <c r="AH222" s="116"/>
    </row>
    <row r="223" spans="1:34" x14ac:dyDescent="0.2">
      <c r="A223" s="25">
        <f>WORLDCUP!AD134</f>
        <v>1</v>
      </c>
      <c r="B223" s="25">
        <f>WORLDCUP!AC134</f>
        <v>3</v>
      </c>
      <c r="C223" s="25" t="str">
        <f ca="1">CONCATENATE(WORLDCUP!AF134,"-",WORLDCUP!AA134)</f>
        <v>Suiza-Argentina</v>
      </c>
      <c r="D223" s="25">
        <f>IF(WORLDCUP!AC134&gt;WORLDCUP!AD134,2,IF(WORLDCUP!AC134&lt;WORLDCUP!AD134,1,IF(AND(WORLDCUP!AC134=WORLDCUP!AD134,WORLDCUP!AC134&lt;&gt;"",WORLDCUP!AD134&lt;&gt;""),0,"PD")))</f>
        <v>2</v>
      </c>
      <c r="E223" s="25" t="str">
        <f>IF(OR(WORLDCUP!AD134="",WORLDCUP!AC134=""),"-",A223&amp;"-"&amp;B223)</f>
        <v>1-3</v>
      </c>
      <c r="F223" s="415">
        <f t="shared" si="241"/>
        <v>15</v>
      </c>
      <c r="G223" s="415">
        <f ca="1">VLOOKUP(H223,Equipos!$Q$1:$R$25,2,0)</f>
        <v>22</v>
      </c>
      <c r="H223" s="71" t="str">
        <f>Idiomas!$D$262</f>
        <v>Cuartos de final</v>
      </c>
      <c r="I223" s="49">
        <v>1</v>
      </c>
      <c r="J223" s="851"/>
      <c r="K223" s="121" t="str">
        <f ca="1">CONCATENATE(WORLDCUP!AA134,"-",WORLDCUP!AF134)</f>
        <v>Argentina-Suiza</v>
      </c>
      <c r="L223" s="121">
        <f>IF(OR(WORLDCUP!AC134="",WORLDCUP!AD134=""),"PD",IF(WORLDCUP!AC134&gt;WORLDCUP!AD134,1,IF(WORLDCUP!AC134&lt;WORLDCUP!AD134,2,0)))</f>
        <v>1</v>
      </c>
      <c r="M223" s="122" t="str">
        <f t="shared" si="235"/>
        <v>3-1</v>
      </c>
      <c r="N223" s="25">
        <f>WORLDCUP!AC134</f>
        <v>3</v>
      </c>
      <c r="O223" s="25">
        <f>WORLDCUP!AD134</f>
        <v>1</v>
      </c>
      <c r="P223" s="25">
        <f t="shared" si="236"/>
        <v>2</v>
      </c>
      <c r="Q223" s="25">
        <f>+A223-B223</f>
        <v>-2</v>
      </c>
      <c r="R223" s="116"/>
      <c r="S223" s="86" t="s">
        <v>1997</v>
      </c>
      <c r="T223" s="87">
        <f t="shared" ca="1" si="242"/>
        <v>0</v>
      </c>
      <c r="U223" s="116"/>
      <c r="V223" s="86" t="s">
        <v>2025</v>
      </c>
      <c r="W223" s="87">
        <f t="shared" ca="1" si="237"/>
        <v>5</v>
      </c>
      <c r="X223" s="116"/>
      <c r="Y223" s="86" t="s">
        <v>2045</v>
      </c>
      <c r="Z223" s="87">
        <f t="shared" ca="1" si="237"/>
        <v>0</v>
      </c>
      <c r="AA223" s="116"/>
      <c r="AB223" s="86" t="s">
        <v>1997</v>
      </c>
      <c r="AC223" s="87">
        <f t="shared" ca="1" si="237"/>
        <v>0</v>
      </c>
      <c r="AD223" s="116"/>
      <c r="AE223" s="86" t="s">
        <v>2077</v>
      </c>
      <c r="AF223" s="87">
        <f t="shared" ca="1" si="237"/>
        <v>5</v>
      </c>
      <c r="AG223" s="116"/>
      <c r="AH223" s="116"/>
    </row>
    <row r="224" spans="1:34" x14ac:dyDescent="0.2">
      <c r="A224" s="25"/>
      <c r="B224" s="25"/>
      <c r="C224" s="25"/>
      <c r="D224" s="25"/>
      <c r="E224" s="25"/>
      <c r="F224" s="415"/>
      <c r="G224" s="415"/>
      <c r="H224" s="71"/>
      <c r="I224" s="56"/>
      <c r="J224" s="100"/>
      <c r="K224" s="442" t="str">
        <f>Idiomas!D462</f>
        <v>Partidos 1/4</v>
      </c>
      <c r="L224" s="443"/>
      <c r="M224" s="442" t="str">
        <f>"Max: "&amp;SUM($D$24:$D$26)*SUM($I$220:$I$223)</f>
        <v>Max: 60</v>
      </c>
      <c r="N224" s="25"/>
      <c r="O224" s="25"/>
      <c r="P224" s="25"/>
      <c r="Q224" s="25"/>
      <c r="R224" s="55"/>
      <c r="S224" s="90"/>
      <c r="T224" s="77">
        <f ca="1">SUM(T220:T223)</f>
        <v>9</v>
      </c>
      <c r="U224" s="71"/>
      <c r="V224" s="90"/>
      <c r="W224" s="77">
        <f t="shared" ref="W224" ca="1" si="243">SUM(W220:W223)</f>
        <v>5</v>
      </c>
      <c r="X224" s="71"/>
      <c r="Y224" s="90"/>
      <c r="Z224" s="77">
        <f t="shared" ref="Z224" ca="1" si="244">SUM(Z220:Z223)</f>
        <v>0</v>
      </c>
      <c r="AA224" s="71"/>
      <c r="AB224" s="90"/>
      <c r="AC224" s="77">
        <f t="shared" ref="AC224" ca="1" si="245">SUM(AC220:AC223)</f>
        <v>0</v>
      </c>
      <c r="AD224" s="71"/>
      <c r="AE224" s="90"/>
      <c r="AF224" s="77">
        <f t="shared" ref="AF224" ca="1" si="246">SUM(AF220:AF223)</f>
        <v>20</v>
      </c>
      <c r="AG224" s="71"/>
      <c r="AH224" s="71"/>
    </row>
    <row r="225" spans="1:34" x14ac:dyDescent="0.2">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x14ac:dyDescent="0.2">
      <c r="A226" s="25"/>
      <c r="B226" s="25"/>
      <c r="C226" s="25"/>
      <c r="D226" s="25"/>
      <c r="E226" s="25"/>
      <c r="F226" s="415">
        <f>$D$27</f>
        <v>8</v>
      </c>
      <c r="G226" s="415">
        <f ca="1">VLOOKUP(H226,Equipos!$Q$1:$R$25,2,0)</f>
        <v>22</v>
      </c>
      <c r="H226" s="71" t="str">
        <f>Idiomas!$D$262</f>
        <v>Cuartos de final</v>
      </c>
      <c r="I226" s="56"/>
      <c r="J226" s="851" t="s">
        <v>35</v>
      </c>
      <c r="K226" s="59" t="str">
        <f>Idiomas!$D$201&amp;"-"&amp;ROWS($L$226:L226)</f>
        <v>Semifinalista-1</v>
      </c>
      <c r="L226" s="59"/>
      <c r="M226" s="61" t="str">
        <f ca="1">WORLDCUP!AA138</f>
        <v>Francia</v>
      </c>
      <c r="N226" s="25"/>
      <c r="O226" s="25"/>
      <c r="P226" s="25"/>
      <c r="Q226" s="25"/>
      <c r="R226" s="116"/>
      <c r="S226" s="82" t="s">
        <v>74</v>
      </c>
      <c r="T226" s="83">
        <f ca="1">COUNTIF($M$226:$M$229,S226)*$D$27</f>
        <v>8</v>
      </c>
      <c r="U226" s="70"/>
      <c r="V226" s="82" t="s">
        <v>77</v>
      </c>
      <c r="W226" s="83">
        <f t="shared" ref="W226" ca="1" si="247">COUNTIF($M$226:$M$229,V226)*$D$27</f>
        <v>0</v>
      </c>
      <c r="X226" s="70"/>
      <c r="Y226" s="82" t="s">
        <v>74</v>
      </c>
      <c r="Z226" s="83">
        <f t="shared" ref="Z226" ca="1" si="248">COUNTIF($M$226:$M$229,Y226)*$D$27</f>
        <v>8</v>
      </c>
      <c r="AA226" s="70"/>
      <c r="AB226" s="82" t="s">
        <v>74</v>
      </c>
      <c r="AC226" s="83">
        <f t="shared" ref="AC226" ca="1" si="249">COUNTIF($M$226:$M$229,AB226)*$D$27</f>
        <v>8</v>
      </c>
      <c r="AD226" s="70"/>
      <c r="AE226" s="82" t="s">
        <v>74</v>
      </c>
      <c r="AF226" s="83">
        <f t="shared" ref="AF226" ca="1" si="250">COUNTIF($M$226:$M$229,AE226)*$D$27</f>
        <v>8</v>
      </c>
      <c r="AG226" s="70"/>
      <c r="AH226" s="70"/>
    </row>
    <row r="227" spans="1:34" x14ac:dyDescent="0.2">
      <c r="A227" s="25"/>
      <c r="B227" s="25"/>
      <c r="C227" s="25"/>
      <c r="D227" s="25"/>
      <c r="E227" s="25"/>
      <c r="F227" s="415">
        <f t="shared" ref="F227:F229" si="251">$D$27</f>
        <v>8</v>
      </c>
      <c r="G227" s="415">
        <f ca="1">VLOOKUP(H227,Equipos!$Q$1:$R$25,2,0)</f>
        <v>22</v>
      </c>
      <c r="H227" s="71" t="str">
        <f>Idiomas!$D$262</f>
        <v>Cuartos de final</v>
      </c>
      <c r="I227" s="56"/>
      <c r="J227" s="851"/>
      <c r="K227" s="62" t="str">
        <f>Idiomas!$D$201&amp;"-"&amp;ROWS($L$226:L227)</f>
        <v>Semifinalista-2</v>
      </c>
      <c r="L227" s="59"/>
      <c r="M227" s="61" t="str">
        <f ca="1">WORLDCUP!AA139</f>
        <v>Inglaterra</v>
      </c>
      <c r="N227" s="25"/>
      <c r="O227" s="25"/>
      <c r="P227" s="25"/>
      <c r="Q227" s="25"/>
      <c r="R227" s="116"/>
      <c r="S227" s="80" t="s">
        <v>76</v>
      </c>
      <c r="T227" s="79">
        <f ca="1">COUNTIF($M$226:$M$229,S227)*$D$27</f>
        <v>8</v>
      </c>
      <c r="U227" s="70"/>
      <c r="V227" s="80" t="s">
        <v>76</v>
      </c>
      <c r="W227" s="79">
        <f t="shared" ref="W227" ca="1" si="252">COUNTIF($M$226:$M$229,V227)*$D$27</f>
        <v>8</v>
      </c>
      <c r="X227" s="70"/>
      <c r="Y227" s="80" t="s">
        <v>1258</v>
      </c>
      <c r="Z227" s="79">
        <f t="shared" ref="Z227" ca="1" si="253">COUNTIF($M$226:$M$229,Y227)*$D$27</f>
        <v>0</v>
      </c>
      <c r="AA227" s="70"/>
      <c r="AB227" s="80" t="s">
        <v>76</v>
      </c>
      <c r="AC227" s="79">
        <f t="shared" ref="AC227" ca="1" si="254">COUNTIF($M$226:$M$229,AB227)*$D$27</f>
        <v>8</v>
      </c>
      <c r="AD227" s="70"/>
      <c r="AE227" s="80" t="s">
        <v>76</v>
      </c>
      <c r="AF227" s="79">
        <f t="shared" ref="AF227" ca="1" si="255">COUNTIF($M$226:$M$229,AE227)*$D$27</f>
        <v>8</v>
      </c>
      <c r="AG227" s="70"/>
      <c r="AH227" s="70"/>
    </row>
    <row r="228" spans="1:34" x14ac:dyDescent="0.2">
      <c r="A228" s="25"/>
      <c r="B228" s="25"/>
      <c r="C228" s="25"/>
      <c r="D228" s="25"/>
      <c r="E228" s="25"/>
      <c r="F228" s="415">
        <f t="shared" si="251"/>
        <v>8</v>
      </c>
      <c r="G228" s="415">
        <f ca="1">VLOOKUP(H228,Equipos!$Q$1:$R$25,2,0)</f>
        <v>22</v>
      </c>
      <c r="H228" s="71" t="str">
        <f>Idiomas!$D$262</f>
        <v>Cuartos de final</v>
      </c>
      <c r="I228" s="56"/>
      <c r="J228" s="851"/>
      <c r="K228" s="62" t="str">
        <f>Idiomas!$D$201&amp;"-"&amp;ROWS($L$226:L228)</f>
        <v>Semifinalista-3</v>
      </c>
      <c r="L228" s="59"/>
      <c r="M228" s="61" t="str">
        <f ca="1">WORLDCUP!AF138</f>
        <v>España</v>
      </c>
      <c r="N228" s="25"/>
      <c r="O228" s="25"/>
      <c r="P228" s="25"/>
      <c r="Q228" s="25"/>
      <c r="R228" s="116"/>
      <c r="S228" s="80" t="s">
        <v>38</v>
      </c>
      <c r="T228" s="79">
        <f ca="1">COUNTIF($M$226:$M$229,S228)*$D$27</f>
        <v>8</v>
      </c>
      <c r="U228" s="70"/>
      <c r="V228" s="80" t="s">
        <v>38</v>
      </c>
      <c r="W228" s="79">
        <f t="shared" ref="W228" ca="1" si="256">COUNTIF($M$226:$M$229,V228)*$D$27</f>
        <v>8</v>
      </c>
      <c r="X228" s="70"/>
      <c r="Y228" s="80" t="s">
        <v>38</v>
      </c>
      <c r="Z228" s="79">
        <f t="shared" ref="Z228" ca="1" si="257">COUNTIF($M$226:$M$229,Y228)*$D$27</f>
        <v>8</v>
      </c>
      <c r="AA228" s="70"/>
      <c r="AB228" s="80" t="s">
        <v>38</v>
      </c>
      <c r="AC228" s="79">
        <f t="shared" ref="AC228" ca="1" si="258">COUNTIF($M$226:$M$229,AB228)*$D$27</f>
        <v>8</v>
      </c>
      <c r="AD228" s="70"/>
      <c r="AE228" s="80" t="s">
        <v>38</v>
      </c>
      <c r="AF228" s="79">
        <f t="shared" ref="AF228" ca="1" si="259">COUNTIF($M$226:$M$229,AE228)*$D$27</f>
        <v>8</v>
      </c>
      <c r="AG228" s="70"/>
      <c r="AH228" s="70"/>
    </row>
    <row r="229" spans="1:34" x14ac:dyDescent="0.2">
      <c r="A229" s="25"/>
      <c r="B229" s="25"/>
      <c r="C229" s="25"/>
      <c r="D229" s="25"/>
      <c r="E229" s="25"/>
      <c r="F229" s="415">
        <f t="shared" si="251"/>
        <v>8</v>
      </c>
      <c r="G229" s="415">
        <f ca="1">VLOOKUP(H229,Equipos!$Q$1:$R$25,2,0)</f>
        <v>22</v>
      </c>
      <c r="H229" s="71" t="str">
        <f>Idiomas!$D$262</f>
        <v>Cuartos de final</v>
      </c>
      <c r="I229" s="56"/>
      <c r="J229" s="851"/>
      <c r="K229" s="62" t="str">
        <f>Idiomas!$D$201&amp;"-"&amp;ROWS($L$226:L229)</f>
        <v>Semifinalista-4</v>
      </c>
      <c r="L229" s="59"/>
      <c r="M229" s="61" t="str">
        <f ca="1">WORLDCUP!AF139</f>
        <v>Argentina</v>
      </c>
      <c r="N229" s="25"/>
      <c r="O229" s="25"/>
      <c r="P229" s="25"/>
      <c r="Q229" s="25"/>
      <c r="R229" s="116"/>
      <c r="S229" s="86" t="s">
        <v>1256</v>
      </c>
      <c r="T229" s="87">
        <f ca="1">COUNTIF($M$226:$M$229,S229)*$D$27</f>
        <v>8</v>
      </c>
      <c r="U229" s="70"/>
      <c r="V229" s="86" t="s">
        <v>1256</v>
      </c>
      <c r="W229" s="87">
        <f t="shared" ref="W229" ca="1" si="260">COUNTIF($M$226:$M$229,V229)*$D$27</f>
        <v>8</v>
      </c>
      <c r="X229" s="70"/>
      <c r="Y229" s="86" t="s">
        <v>1256</v>
      </c>
      <c r="Z229" s="87">
        <f t="shared" ref="Z229" ca="1" si="261">COUNTIF($M$226:$M$229,Y229)*$D$27</f>
        <v>8</v>
      </c>
      <c r="AA229" s="70"/>
      <c r="AB229" s="86" t="s">
        <v>1256</v>
      </c>
      <c r="AC229" s="87">
        <f t="shared" ref="AC229" ca="1" si="262">COUNTIF($M$226:$M$229,AB229)*$D$27</f>
        <v>8</v>
      </c>
      <c r="AD229" s="70"/>
      <c r="AE229" s="86" t="s">
        <v>1256</v>
      </c>
      <c r="AF229" s="87">
        <f t="shared" ref="AF229" ca="1" si="263">COUNTIF($M$226:$M$229,AE229)*$D$27</f>
        <v>8</v>
      </c>
      <c r="AG229" s="70"/>
      <c r="AH229" s="70"/>
    </row>
    <row r="230" spans="1:34" x14ac:dyDescent="0.2">
      <c r="A230" s="25"/>
      <c r="B230" s="25"/>
      <c r="C230" s="25"/>
      <c r="D230" s="25"/>
      <c r="E230" s="25"/>
      <c r="F230" s="415"/>
      <c r="G230" s="415"/>
      <c r="H230" s="71"/>
      <c r="I230" s="56"/>
      <c r="J230" s="100"/>
      <c r="K230" s="442" t="str">
        <f>Idiomas!D463</f>
        <v>Equipos 1/2</v>
      </c>
      <c r="L230" s="443"/>
      <c r="M230" s="442" t="str">
        <f ca="1">"Max: "&amp;$D$27*COUNT(T226:T229)</f>
        <v>Max: 32</v>
      </c>
      <c r="N230" s="25"/>
      <c r="O230" s="25"/>
      <c r="P230" s="25"/>
      <c r="Q230" s="25"/>
      <c r="R230" s="55"/>
      <c r="S230" s="90"/>
      <c r="T230" s="77">
        <f ca="1">SUM(T226:T229)</f>
        <v>32</v>
      </c>
      <c r="U230" s="71"/>
      <c r="V230" s="90"/>
      <c r="W230" s="77">
        <f t="shared" ref="W230" ca="1" si="264">SUM(W226:W229)</f>
        <v>24</v>
      </c>
      <c r="X230" s="71"/>
      <c r="Y230" s="90"/>
      <c r="Z230" s="77">
        <f t="shared" ref="Z230" ca="1" si="265">SUM(Z226:Z229)</f>
        <v>24</v>
      </c>
      <c r="AA230" s="71"/>
      <c r="AB230" s="90"/>
      <c r="AC230" s="77">
        <f t="shared" ref="AC230" ca="1" si="266">SUM(AC226:AC229)</f>
        <v>32</v>
      </c>
      <c r="AD230" s="71"/>
      <c r="AE230" s="90"/>
      <c r="AF230" s="77">
        <f t="shared" ref="AF230" ca="1" si="267">SUM(AF226:AF229)</f>
        <v>32</v>
      </c>
      <c r="AG230" s="71"/>
      <c r="AH230" s="71"/>
    </row>
    <row r="231" spans="1:34" x14ac:dyDescent="0.2">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x14ac:dyDescent="0.2">
      <c r="A232" s="25">
        <f>WORLDCUP!AD138</f>
        <v>2</v>
      </c>
      <c r="B232" s="25">
        <f>WORLDCUP!AC138</f>
        <v>1</v>
      </c>
      <c r="C232" s="25" t="str">
        <f ca="1">CONCATENATE(WORLDCUP!AF138,"-",WORLDCUP!AA138)</f>
        <v>España-Francia</v>
      </c>
      <c r="D232" s="25">
        <f>IF(WORLDCUP!AC138&gt;WORLDCUP!AD138,2,IF(WORLDCUP!AC138&lt;WORLDCUP!AD138,1,IF(AND(WORLDCUP!AC138=WORLDCUP!AD138,WORLDCUP!AC138&lt;&gt;"",WORLDCUP!AD138&lt;&gt;""),0,"PD")))</f>
        <v>1</v>
      </c>
      <c r="E232" s="25" t="str">
        <f>IF(OR(WORLDCUP!AD138="",WORLDCUP!AC138=""),"-",A232&amp;"-"&amp;B232)</f>
        <v>2-1</v>
      </c>
      <c r="F232" s="415">
        <f>SUM($D$28:$D$30)*I232</f>
        <v>19</v>
      </c>
      <c r="G232" s="415">
        <f ca="1">VLOOKUP(H232,Equipos!$Q$1:$R$25,2,0)</f>
        <v>23</v>
      </c>
      <c r="H232" s="71" t="str">
        <f>Idiomas!$D$263</f>
        <v>Semifinales</v>
      </c>
      <c r="I232" s="49">
        <v>1</v>
      </c>
      <c r="J232" s="852" t="s">
        <v>35</v>
      </c>
      <c r="K232" s="59" t="str">
        <f ca="1">CONCATENATE(WORLDCUP!AA138,"-",WORLDCUP!AF138)</f>
        <v>Francia-España</v>
      </c>
      <c r="L232" s="59">
        <f>IF(OR(WORLDCUP!AC138="",WORLDCUP!AD138=""),"PD",IF(WORLDCUP!AC138&gt;WORLDCUP!AD138,1,IF(WORLDCUP!AC138&lt;WORLDCUP!AD138,2,0)))</f>
        <v>2</v>
      </c>
      <c r="M232" s="61" t="str">
        <f t="shared" ref="M232:M233" si="268">IF(L232="PD","-",N232&amp;"-"&amp;O232)</f>
        <v>1-2</v>
      </c>
      <c r="N232" s="25">
        <f>WORLDCUP!AC138</f>
        <v>1</v>
      </c>
      <c r="O232" s="25">
        <f>WORLDCUP!AD138</f>
        <v>2</v>
      </c>
      <c r="P232" s="25">
        <f>+N232-O232</f>
        <v>-1</v>
      </c>
      <c r="Q232" s="25">
        <f>+A232-B232</f>
        <v>1</v>
      </c>
      <c r="R232" s="116"/>
      <c r="S232" s="82" t="s">
        <v>1998</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
        <v>2026</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
        <v>2046</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
        <v>1998</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
        <v>2078</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x14ac:dyDescent="0.2">
      <c r="A233" s="25">
        <f>WORLDCUP!AD139</f>
        <v>2</v>
      </c>
      <c r="B233" s="25">
        <f>WORLDCUP!AC139</f>
        <v>1</v>
      </c>
      <c r="C233" s="25" t="str">
        <f ca="1">CONCATENATE(WORLDCUP!AF139,"-",WORLDCUP!AA139)</f>
        <v>Argentina-Inglaterra</v>
      </c>
      <c r="D233" s="25">
        <f>IF(WORLDCUP!AC139&gt;WORLDCUP!AD139,2,IF(WORLDCUP!AC139&lt;WORLDCUP!AD139,1,IF(AND(WORLDCUP!AC139=WORLDCUP!AD139,WORLDCUP!AC139&lt;&gt;"",WORLDCUP!AD139&lt;&gt;""),0,"PD")))</f>
        <v>1</v>
      </c>
      <c r="E233" s="25" t="str">
        <f>IF(OR(WORLDCUP!AD139="",WORLDCUP!AC139=""),"-",A233&amp;"-"&amp;B233)</f>
        <v>2-1</v>
      </c>
      <c r="F233" s="415">
        <f>SUM($D$28:$D$30)*I233</f>
        <v>19</v>
      </c>
      <c r="G233" s="415">
        <f ca="1">VLOOKUP(H233,Equipos!$Q$1:$R$25,2,0)</f>
        <v>23</v>
      </c>
      <c r="H233" s="71" t="str">
        <f>Idiomas!$D$263</f>
        <v>Semifinales</v>
      </c>
      <c r="I233" s="49">
        <v>1</v>
      </c>
      <c r="J233" s="852"/>
      <c r="K233" s="62" t="str">
        <f ca="1">CONCATENATE(WORLDCUP!AA139,"-",WORLDCUP!AF139)</f>
        <v>Inglaterra-Argentina</v>
      </c>
      <c r="L233" s="59">
        <f>IF(OR(WORLDCUP!AC139="",WORLDCUP!AD139=""),"PD",IF(WORLDCUP!AC139&gt;WORLDCUP!AD139,1,IF(WORLDCUP!AC139&lt;WORLDCUP!AD139,2,0)))</f>
        <v>2</v>
      </c>
      <c r="M233" s="61" t="str">
        <f t="shared" si="268"/>
        <v>1-2</v>
      </c>
      <c r="N233" s="25">
        <f>WORLDCUP!AC139</f>
        <v>1</v>
      </c>
      <c r="O233" s="25">
        <f>WORLDCUP!AD139</f>
        <v>2</v>
      </c>
      <c r="P233" s="25">
        <f>+N233-O233</f>
        <v>-1</v>
      </c>
      <c r="Q233" s="25">
        <f>+A233-B233</f>
        <v>1</v>
      </c>
      <c r="R233" s="116"/>
      <c r="S233" s="86" t="s">
        <v>1999</v>
      </c>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t="s">
        <v>2027</v>
      </c>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t="s">
        <v>2047</v>
      </c>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t="s">
        <v>2060</v>
      </c>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19</v>
      </c>
      <c r="AD233" s="116"/>
      <c r="AE233" s="86" t="s">
        <v>1999</v>
      </c>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x14ac:dyDescent="0.2">
      <c r="A234" s="25"/>
      <c r="B234" s="25"/>
      <c r="C234" s="25"/>
      <c r="D234" s="25"/>
      <c r="E234" s="25"/>
      <c r="F234" s="415"/>
      <c r="G234" s="415"/>
      <c r="H234" s="71"/>
      <c r="I234" s="56"/>
      <c r="J234" s="100"/>
      <c r="K234" s="442" t="str">
        <f>Idiomas!D464</f>
        <v>Partidos 1/2</v>
      </c>
      <c r="L234" s="443"/>
      <c r="M234" s="442" t="str">
        <f>"Max: "&amp;SUM($D$28:$D$30)*SUM($I$232:$I$233)</f>
        <v>Max: 38</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19</v>
      </c>
      <c r="AD234" s="117"/>
      <c r="AE234" s="90"/>
      <c r="AF234" s="77">
        <f t="shared" ref="AF234" ca="1" si="280">SUM(AF232:AF233)</f>
        <v>0</v>
      </c>
      <c r="AG234" s="55"/>
      <c r="AH234" s="55"/>
    </row>
    <row r="235" spans="1:34" x14ac:dyDescent="0.2">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x14ac:dyDescent="0.2">
      <c r="A236" s="25"/>
      <c r="B236" s="25"/>
      <c r="C236" s="25"/>
      <c r="D236" s="25"/>
      <c r="E236" s="25"/>
      <c r="F236" s="415">
        <f>$D$31</f>
        <v>8</v>
      </c>
      <c r="G236" s="415">
        <f ca="1">VLOOKUP(H236,Equipos!$Q$1:$R$25,2,0)</f>
        <v>23</v>
      </c>
      <c r="H236" s="71" t="str">
        <f>Idiomas!$D$263</f>
        <v>Semifinales</v>
      </c>
      <c r="I236" s="56"/>
      <c r="J236" s="852" t="s">
        <v>493</v>
      </c>
      <c r="K236" s="59" t="str">
        <f>Idiomas!D202&amp;"-"&amp;ROWS($L$236:L236)</f>
        <v>3º y 4º puesto-1</v>
      </c>
      <c r="L236" s="59"/>
      <c r="M236" s="61" t="str">
        <f ca="1">WORLDCUP!AA143</f>
        <v>Francia</v>
      </c>
      <c r="N236" s="25"/>
      <c r="O236" s="25"/>
      <c r="P236" s="25"/>
      <c r="Q236" s="25"/>
      <c r="R236" s="17"/>
      <c r="S236" s="82" t="s">
        <v>38</v>
      </c>
      <c r="T236" s="83">
        <f ca="1">COUNTIF($M$236:$M$237,S236)*$D$31</f>
        <v>0</v>
      </c>
      <c r="U236" s="116"/>
      <c r="V236" s="82" t="s">
        <v>77</v>
      </c>
      <c r="W236" s="83">
        <f t="shared" ref="W236" ca="1" si="281">COUNTIF($M$236:$M$237,V236)*$D$31</f>
        <v>0</v>
      </c>
      <c r="X236" s="116"/>
      <c r="Y236" s="82" t="s">
        <v>38</v>
      </c>
      <c r="Z236" s="83">
        <f t="shared" ref="Z236" ca="1" si="282">COUNTIF($M$236:$M$237,Y236)*$D$31</f>
        <v>0</v>
      </c>
      <c r="AA236" s="116"/>
      <c r="AB236" s="82" t="s">
        <v>38</v>
      </c>
      <c r="AC236" s="83">
        <f t="shared" ref="AC236" ca="1" si="283">COUNTIF($M$236:$M$237,AB236)*$D$31</f>
        <v>0</v>
      </c>
      <c r="AD236" s="116"/>
      <c r="AE236" s="82" t="s">
        <v>38</v>
      </c>
      <c r="AF236" s="83">
        <f t="shared" ref="AF236" ca="1" si="284">COUNTIF($M$236:$M$237,AE236)*$D$31</f>
        <v>0</v>
      </c>
      <c r="AG236" s="116"/>
      <c r="AH236" s="116"/>
    </row>
    <row r="237" spans="1:34" x14ac:dyDescent="0.2">
      <c r="A237" s="25"/>
      <c r="B237" s="25"/>
      <c r="C237" s="25"/>
      <c r="D237" s="25"/>
      <c r="E237" s="25"/>
      <c r="F237" s="415">
        <f>$D$31</f>
        <v>8</v>
      </c>
      <c r="G237" s="415">
        <f ca="1">VLOOKUP(H237,Equipos!$Q$1:$R$25,2,0)</f>
        <v>23</v>
      </c>
      <c r="H237" s="71" t="str">
        <f>Idiomas!$D$263</f>
        <v>Semifinales</v>
      </c>
      <c r="I237" s="56"/>
      <c r="J237" s="852"/>
      <c r="K237" s="121" t="str">
        <f>Idiomas!D203&amp;"-"&amp;ROWS($L$236:L237)</f>
        <v>Finalista-2</v>
      </c>
      <c r="L237" s="121"/>
      <c r="M237" s="122" t="str">
        <f ca="1">WORLDCUP!AF143</f>
        <v>Inglaterra</v>
      </c>
      <c r="N237" s="25"/>
      <c r="O237" s="25"/>
      <c r="P237" s="25"/>
      <c r="Q237" s="25"/>
      <c r="R237" s="17"/>
      <c r="S237" s="86" t="s">
        <v>1256</v>
      </c>
      <c r="T237" s="87">
        <f ca="1">COUNTIF($M$236:$M$237,S237)*$D$31</f>
        <v>0</v>
      </c>
      <c r="U237" s="116"/>
      <c r="V237" s="86" t="s">
        <v>1256</v>
      </c>
      <c r="W237" s="87">
        <f t="shared" ref="W237" ca="1" si="285">COUNTIF($M$236:$M$237,V237)*$D$31</f>
        <v>0</v>
      </c>
      <c r="X237" s="116"/>
      <c r="Y237" s="86" t="s">
        <v>1258</v>
      </c>
      <c r="Z237" s="87">
        <f t="shared" ref="Z237" ca="1" si="286">COUNTIF($M$236:$M$237,Y237)*$D$31</f>
        <v>0</v>
      </c>
      <c r="AA237" s="116"/>
      <c r="AB237" s="86" t="s">
        <v>76</v>
      </c>
      <c r="AC237" s="87">
        <f t="shared" ref="AC237" ca="1" si="287">COUNTIF($M$236:$M$237,AB237)*$D$31</f>
        <v>8</v>
      </c>
      <c r="AD237" s="116"/>
      <c r="AE237" s="86" t="s">
        <v>1256</v>
      </c>
      <c r="AF237" s="87">
        <f t="shared" ref="AF237" ca="1" si="288">COUNTIF($M$236:$M$237,AE237)*$D$31</f>
        <v>0</v>
      </c>
      <c r="AG237" s="116"/>
      <c r="AH237" s="116"/>
    </row>
    <row r="238" spans="1:34" x14ac:dyDescent="0.2">
      <c r="A238" s="25"/>
      <c r="B238" s="25"/>
      <c r="C238" s="25"/>
      <c r="D238" s="25"/>
      <c r="E238" s="25"/>
      <c r="F238" s="415"/>
      <c r="G238" s="415"/>
      <c r="H238" s="71"/>
      <c r="I238" s="56"/>
      <c r="J238" s="100"/>
      <c r="K238" s="442" t="str">
        <f>Idiomas!D465</f>
        <v>Equipos 3-4</v>
      </c>
      <c r="L238" s="443"/>
      <c r="M238" s="442" t="str">
        <f ca="1">"Max: "&amp;$D$31*COUNT(T236:T237)</f>
        <v>Max: 16</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8</v>
      </c>
      <c r="AD238" s="55"/>
      <c r="AE238" s="90"/>
      <c r="AF238" s="77">
        <f t="shared" ref="AF238" ca="1" si="292">SUM(AF236:AF237)</f>
        <v>0</v>
      </c>
      <c r="AG238" s="55"/>
      <c r="AH238" s="55"/>
    </row>
    <row r="239" spans="1:34" x14ac:dyDescent="0.2">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x14ac:dyDescent="0.2">
      <c r="A240" s="25"/>
      <c r="B240" s="25"/>
      <c r="C240" s="25"/>
      <c r="D240" s="25"/>
      <c r="E240" s="25"/>
      <c r="F240" s="415">
        <f>$D$32</f>
        <v>12</v>
      </c>
      <c r="G240" s="415">
        <f ca="1">VLOOKUP(H240,Equipos!$Q$1:$R$25,2,0)</f>
        <v>23</v>
      </c>
      <c r="H240" s="71" t="str">
        <f>Idiomas!$D$263</f>
        <v>Semifinales</v>
      </c>
      <c r="I240" s="56"/>
      <c r="J240" s="852" t="s">
        <v>4</v>
      </c>
      <c r="K240" s="59" t="str">
        <f>Idiomas!$D$203&amp;"-"&amp;ROWS($L$240:L240)</f>
        <v>Finalista-1</v>
      </c>
      <c r="L240" s="59"/>
      <c r="M240" s="61" t="str">
        <f ca="1">WORLDCUP!AA147</f>
        <v>España</v>
      </c>
      <c r="N240" s="25"/>
      <c r="O240" s="25"/>
      <c r="P240" s="25"/>
      <c r="Q240" s="25"/>
      <c r="R240" s="17"/>
      <c r="S240" s="82" t="s">
        <v>74</v>
      </c>
      <c r="T240" s="83">
        <f ca="1">COUNTIF($M$240:$M$241,S240)*$D$32</f>
        <v>0</v>
      </c>
      <c r="U240" s="116"/>
      <c r="V240" s="82" t="s">
        <v>38</v>
      </c>
      <c r="W240" s="83">
        <f t="shared" ref="W240" ca="1" si="293">COUNTIF($M$240:$M$241,V240)*$D$32</f>
        <v>12</v>
      </c>
      <c r="X240" s="116"/>
      <c r="Y240" s="82" t="s">
        <v>74</v>
      </c>
      <c r="Z240" s="83">
        <f t="shared" ref="Z240" ca="1" si="294">COUNTIF($M$240:$M$241,Y240)*$D$32</f>
        <v>0</v>
      </c>
      <c r="AA240" s="116"/>
      <c r="AB240" s="82" t="s">
        <v>74</v>
      </c>
      <c r="AC240" s="83">
        <f t="shared" ref="AC240" ca="1" si="295">COUNTIF($M$240:$M$241,AB240)*$D$32</f>
        <v>0</v>
      </c>
      <c r="AD240" s="116"/>
      <c r="AE240" s="82" t="s">
        <v>74</v>
      </c>
      <c r="AF240" s="83">
        <f t="shared" ref="AF240" ca="1" si="296">COUNTIF($M$240:$M$241,AE240)*$D$32</f>
        <v>0</v>
      </c>
      <c r="AG240" s="116"/>
      <c r="AH240" s="116"/>
    </row>
    <row r="241" spans="1:34" x14ac:dyDescent="0.2">
      <c r="A241" s="25"/>
      <c r="B241" s="25"/>
      <c r="C241" s="25"/>
      <c r="D241" s="25"/>
      <c r="E241" s="25"/>
      <c r="F241" s="415">
        <f>$D$32</f>
        <v>12</v>
      </c>
      <c r="G241" s="415">
        <f ca="1">VLOOKUP(H241,Equipos!$Q$1:$R$25,2,0)</f>
        <v>23</v>
      </c>
      <c r="H241" s="71" t="str">
        <f>Idiomas!$D$263</f>
        <v>Semifinales</v>
      </c>
      <c r="I241" s="56"/>
      <c r="J241" s="852"/>
      <c r="K241" s="121" t="str">
        <f>Idiomas!$D$203&amp;"-"&amp;ROWS($L$240:L241)</f>
        <v>Finalista-2</v>
      </c>
      <c r="L241" s="121"/>
      <c r="M241" s="122" t="str">
        <f ca="1">WORLDCUP!AF147</f>
        <v>Argentina</v>
      </c>
      <c r="N241" s="25"/>
      <c r="O241" s="25"/>
      <c r="P241" s="25"/>
      <c r="Q241" s="25"/>
      <c r="R241" s="17"/>
      <c r="S241" s="86" t="s">
        <v>76</v>
      </c>
      <c r="T241" s="87">
        <f ca="1">COUNTIF($M$240:$M$241,S241)*$D$32</f>
        <v>0</v>
      </c>
      <c r="U241" s="116"/>
      <c r="V241" s="86" t="s">
        <v>76</v>
      </c>
      <c r="W241" s="87">
        <f t="shared" ref="W241" ca="1" si="297">COUNTIF($M$240:$M$241,V241)*$D$32</f>
        <v>0</v>
      </c>
      <c r="X241" s="116"/>
      <c r="Y241" s="86" t="s">
        <v>1256</v>
      </c>
      <c r="Z241" s="87">
        <f t="shared" ref="Z241" ca="1" si="298">COUNTIF($M$240:$M$241,Y241)*$D$32</f>
        <v>12</v>
      </c>
      <c r="AA241" s="116"/>
      <c r="AB241" s="86" t="s">
        <v>1256</v>
      </c>
      <c r="AC241" s="87">
        <f t="shared" ref="AC241" ca="1" si="299">COUNTIF($M$240:$M$241,AB241)*$D$32</f>
        <v>12</v>
      </c>
      <c r="AD241" s="116"/>
      <c r="AE241" s="86" t="s">
        <v>76</v>
      </c>
      <c r="AF241" s="87">
        <f t="shared" ref="AF241" ca="1" si="300">COUNTIF($M$240:$M$241,AE241)*$D$32</f>
        <v>0</v>
      </c>
      <c r="AG241" s="116"/>
      <c r="AH241" s="116"/>
    </row>
    <row r="242" spans="1:34" x14ac:dyDescent="0.2">
      <c r="A242" s="25"/>
      <c r="B242" s="25"/>
      <c r="C242" s="25"/>
      <c r="D242" s="25"/>
      <c r="E242" s="25"/>
      <c r="F242" s="415"/>
      <c r="G242" s="415"/>
      <c r="H242" s="71"/>
      <c r="I242" s="56"/>
      <c r="J242" s="100"/>
      <c r="K242" s="442" t="str">
        <f>Idiomas!D466</f>
        <v>Equipos Final</v>
      </c>
      <c r="L242" s="443"/>
      <c r="M242" s="442" t="str">
        <f ca="1">"Max: "&amp;$D$32*COUNT(T240:T241)</f>
        <v>Max: 24</v>
      </c>
      <c r="N242" s="25"/>
      <c r="O242" s="25"/>
      <c r="P242" s="25"/>
      <c r="Q242" s="25"/>
      <c r="R242" s="17"/>
      <c r="S242" s="90"/>
      <c r="T242" s="77">
        <f ca="1">SUM(T240:T241)</f>
        <v>0</v>
      </c>
      <c r="U242" s="55"/>
      <c r="V242" s="90"/>
      <c r="W242" s="77">
        <f t="shared" ref="W242" ca="1" si="301">SUM(W240:W241)</f>
        <v>12</v>
      </c>
      <c r="X242" s="55"/>
      <c r="Y242" s="90"/>
      <c r="Z242" s="77">
        <f t="shared" ref="Z242" ca="1" si="302">SUM(Z240:Z241)</f>
        <v>12</v>
      </c>
      <c r="AA242" s="55"/>
      <c r="AB242" s="90"/>
      <c r="AC242" s="77">
        <f t="shared" ref="AC242" ca="1" si="303">SUM(AC240:AC241)</f>
        <v>12</v>
      </c>
      <c r="AD242" s="55"/>
      <c r="AE242" s="90"/>
      <c r="AF242" s="77">
        <f t="shared" ref="AF242" ca="1" si="304">SUM(AF240:AF241)</f>
        <v>0</v>
      </c>
      <c r="AG242" s="55"/>
      <c r="AH242" s="55"/>
    </row>
    <row r="243" spans="1:34" x14ac:dyDescent="0.2">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1" x14ac:dyDescent="0.2">
      <c r="A244" s="25">
        <f>WORLDCUP!AD143</f>
        <v>6</v>
      </c>
      <c r="B244" s="25">
        <f>WORLDCUP!AC143</f>
        <v>4</v>
      </c>
      <c r="C244" s="25" t="str">
        <f ca="1">CONCATENATE(WORLDCUP!AF143,"-",WORLDCUP!AA143)</f>
        <v>Inglaterra-Francia</v>
      </c>
      <c r="D244" s="25">
        <f>IF(WORLDCUP!AC143&gt;WORLDCUP!AD143,2,IF(WORLDCUP!AC143&lt;WORLDCUP!AD143,1,IF(AND(WORLDCUP!AC143=WORLDCUP!AD143,WORLDCUP!AC143&lt;&gt;"",WORLDCUP!AD143&lt;&gt;""),0,"PD")))</f>
        <v>1</v>
      </c>
      <c r="E244" s="25" t="str">
        <f>IF(OR(WORLDCUP!AD143="",WORLDCUP!AC143=""),"-",A244&amp;"-"&amp;B244)</f>
        <v>6-4</v>
      </c>
      <c r="F244" s="415">
        <f>SUM($D$33:$D$35)*$I$244</f>
        <v>19</v>
      </c>
      <c r="G244" s="415">
        <f ca="1">VLOOKUP(H244,Equipos!$Q$1:$R$25,2,0)</f>
        <v>24</v>
      </c>
      <c r="H244" s="71" t="str">
        <f>Idiomas!$D$264</f>
        <v>3-4 &amp; Final</v>
      </c>
      <c r="I244" s="49">
        <v>1</v>
      </c>
      <c r="J244" s="104" t="s">
        <v>493</v>
      </c>
      <c r="K244" s="120" t="str">
        <f ca="1">CONCATENATE(WORLDCUP!AA143,"-",WORLDCUP!AF143)</f>
        <v>Francia-Inglaterra</v>
      </c>
      <c r="L244" s="120">
        <f>IF(OR(WORLDCUP!AC143="",WORLDCUP!AD143=""),"PD",IF(WORLDCUP!AC143&gt;WORLDCUP!AD143,1,IF(WORLDCUP!AC143&lt;WORLDCUP!AD143,2,0)))</f>
        <v>2</v>
      </c>
      <c r="M244" s="123" t="str">
        <f>IF(L244="PD","-",N244&amp;"-"&amp;O244)</f>
        <v>4-6</v>
      </c>
      <c r="N244" s="25">
        <f>WORLDCUP!AC143</f>
        <v>4</v>
      </c>
      <c r="O244" s="25">
        <f>WORLDCUP!AD143</f>
        <v>6</v>
      </c>
      <c r="P244" s="25">
        <f>+N244-O244</f>
        <v>-2</v>
      </c>
      <c r="Q244" s="25">
        <f>+A244-B244</f>
        <v>2</v>
      </c>
      <c r="R244" s="17"/>
      <c r="S244" s="72" t="s">
        <v>2000</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
        <v>2028</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
        <v>2048</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
        <v>2061</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
        <v>2000</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x14ac:dyDescent="0.2">
      <c r="A245" s="25"/>
      <c r="B245" s="25"/>
      <c r="C245" s="25"/>
      <c r="D245" s="25"/>
      <c r="E245" s="25"/>
      <c r="F245" s="415"/>
      <c r="G245" s="415"/>
      <c r="H245" s="71"/>
      <c r="I245" s="56"/>
      <c r="J245" s="105"/>
      <c r="K245" s="442" t="str">
        <f>Idiomas!D467</f>
        <v>Partido 3-4</v>
      </c>
      <c r="L245" s="443"/>
      <c r="M245" s="442" t="str">
        <f>"Max: "&amp;SUM($D$33:$D$35)*$I$244</f>
        <v>Max: 19</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x14ac:dyDescent="0.2">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1" x14ac:dyDescent="0.2">
      <c r="A247" s="25">
        <f>WORLDCUP!AD147</f>
        <v>0</v>
      </c>
      <c r="B247" s="25">
        <f>WORLDCUP!AC147</f>
        <v>1</v>
      </c>
      <c r="C247" s="25" t="str">
        <f ca="1">CONCATENATE(WORLDCUP!AF147,"-",WORLDCUP!AA147)</f>
        <v>Argentina-España</v>
      </c>
      <c r="D247" s="25">
        <f>IF(WORLDCUP!AC147&gt;WORLDCUP!AD147,2,IF(WORLDCUP!AC147&lt;WORLDCUP!AD147,1,IF(AND(WORLDCUP!AC147=WORLDCUP!AD147,WORLDCUP!AC147&lt;&gt;"",WORLDCUP!AD147&lt;&gt;""),0,"PD")))</f>
        <v>2</v>
      </c>
      <c r="E247" s="25" t="str">
        <f>IF(OR(WORLDCUP!AD147="",WORLDCUP!AC147=""),"-",A247&amp;"-"&amp;B247)</f>
        <v>0-1</v>
      </c>
      <c r="F247" s="415">
        <f>SUM($D$36:$D$38)*$I$247</f>
        <v>26</v>
      </c>
      <c r="G247" s="415">
        <f ca="1">VLOOKUP(H247,Equipos!$Q$1:$R$25,2,0)</f>
        <v>24</v>
      </c>
      <c r="H247" s="71" t="str">
        <f>Idiomas!$D$264</f>
        <v>3-4 &amp; Final</v>
      </c>
      <c r="I247" s="49">
        <v>1</v>
      </c>
      <c r="J247" s="104" t="s">
        <v>4</v>
      </c>
      <c r="K247" s="120" t="str">
        <f ca="1">CONCATENATE(WORLDCUP!AA147,"-",WORLDCUP!AF147)</f>
        <v>España-Argentina</v>
      </c>
      <c r="L247" s="120">
        <f>IF(OR(WORLDCUP!AC147="",WORLDCUP!AD147=""),"PD",IF(WORLDCUP!AC147&gt;WORLDCUP!AD147,1,IF(WORLDCUP!AC147&lt;WORLDCUP!AD147,2,0)))</f>
        <v>1</v>
      </c>
      <c r="M247" s="123" t="str">
        <f>IF(L247="PD","-",N247&amp;"-"&amp;O247)</f>
        <v>1-0</v>
      </c>
      <c r="N247" s="25">
        <f>WORLDCUP!AC147</f>
        <v>1</v>
      </c>
      <c r="O247" s="25">
        <f>WORLDCUP!AD147</f>
        <v>0</v>
      </c>
      <c r="P247" s="25">
        <f>+N247-O247</f>
        <v>1</v>
      </c>
      <c r="Q247" s="25">
        <f>+A247-B247</f>
        <v>-1</v>
      </c>
      <c r="R247" s="17"/>
      <c r="S247" s="72" t="s">
        <v>2001</v>
      </c>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t="s">
        <v>2029</v>
      </c>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t="s">
        <v>2049</v>
      </c>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t="s">
        <v>2062</v>
      </c>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t="s">
        <v>2079</v>
      </c>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x14ac:dyDescent="0.2">
      <c r="A248" s="25"/>
      <c r="B248" s="25"/>
      <c r="C248" s="25"/>
      <c r="D248" s="25"/>
      <c r="E248" s="25"/>
      <c r="F248" s="415"/>
      <c r="G248" s="415"/>
      <c r="H248" s="71"/>
      <c r="I248" s="56"/>
      <c r="J248" s="100"/>
      <c r="K248" s="442" t="str">
        <f>Idiomas!D468</f>
        <v>Partido Final</v>
      </c>
      <c r="L248" s="443"/>
      <c r="M248" s="442" t="str">
        <f>"Max: "&amp;SUM($D$36:$D$38)*$I$247</f>
        <v>Max: 26</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x14ac:dyDescent="0.2">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 customHeight="1" x14ac:dyDescent="0.2">
      <c r="A250" s="17"/>
      <c r="B250" s="17"/>
      <c r="C250" s="17"/>
      <c r="D250" s="17"/>
      <c r="E250" s="95"/>
      <c r="F250" s="415">
        <f t="shared" ref="F250:F258" si="320">D39</f>
        <v>25</v>
      </c>
      <c r="G250" s="415">
        <f ca="1">VLOOKUP(H250,Equipos!$Q$1:$R$25,2,0)</f>
        <v>24</v>
      </c>
      <c r="H250" s="71" t="str">
        <f>Idiomas!$D$264</f>
        <v>3-4 &amp; Final</v>
      </c>
      <c r="I250" s="56"/>
      <c r="J250" s="106"/>
      <c r="K250" s="59" t="str">
        <f>WORLDCUP!W150</f>
        <v>🥇Campeón</v>
      </c>
      <c r="L250" s="59"/>
      <c r="M250" s="61" t="str">
        <f ca="1">WORLDCUP!AA150</f>
        <v>España</v>
      </c>
      <c r="N250" s="25"/>
      <c r="O250" s="25"/>
      <c r="P250" s="25"/>
      <c r="Q250" s="25"/>
      <c r="R250" s="17"/>
      <c r="S250" s="82" t="s">
        <v>74</v>
      </c>
      <c r="T250" s="83">
        <f ca="1">COUNTIF($M$250,S250)*$D$39</f>
        <v>0</v>
      </c>
      <c r="U250" s="70"/>
      <c r="V250" s="82" t="s">
        <v>38</v>
      </c>
      <c r="W250" s="83">
        <f t="shared" ref="W250" ca="1" si="321">COUNTIF($M$250,V250)*$D$39</f>
        <v>25</v>
      </c>
      <c r="X250" s="70"/>
      <c r="Y250" s="82" t="s">
        <v>74</v>
      </c>
      <c r="Z250" s="83">
        <f t="shared" ref="Z250" ca="1" si="322">COUNTIF($M$250,Y250)*$D$39</f>
        <v>0</v>
      </c>
      <c r="AA250" s="70"/>
      <c r="AB250" s="82" t="s">
        <v>74</v>
      </c>
      <c r="AC250" s="83">
        <f t="shared" ref="AC250" ca="1" si="323">COUNTIF($M$250,AB250)*$D$39</f>
        <v>0</v>
      </c>
      <c r="AD250" s="70"/>
      <c r="AE250" s="82" t="s">
        <v>74</v>
      </c>
      <c r="AF250" s="83">
        <f t="shared" ref="AF250" ca="1" si="324">COUNTIF($M$250,AE250)*$D$39</f>
        <v>0</v>
      </c>
      <c r="AG250" s="70"/>
      <c r="AH250" s="70"/>
    </row>
    <row r="251" spans="1:34" ht="16" customHeight="1" x14ac:dyDescent="0.2">
      <c r="A251" s="17"/>
      <c r="B251" s="17"/>
      <c r="C251" s="17"/>
      <c r="D251" s="17"/>
      <c r="E251" s="95"/>
      <c r="F251" s="415">
        <f t="shared" si="320"/>
        <v>18</v>
      </c>
      <c r="G251" s="415">
        <f ca="1">VLOOKUP(H251,Equipos!$Q$1:$R$25,2,0)</f>
        <v>24</v>
      </c>
      <c r="H251" s="71" t="str">
        <f>Idiomas!$D$264</f>
        <v>3-4 &amp; Final</v>
      </c>
      <c r="I251" s="56"/>
      <c r="J251" s="107"/>
      <c r="K251" s="62" t="str">
        <f>WORLDCUP!W151</f>
        <v>🥈Subcampeón</v>
      </c>
      <c r="L251" s="59"/>
      <c r="M251" s="61" t="str">
        <f ca="1">WORLDCUP!AA151</f>
        <v>Argentina</v>
      </c>
      <c r="N251" s="25"/>
      <c r="O251" s="25"/>
      <c r="P251" s="25"/>
      <c r="Q251" s="25"/>
      <c r="R251" s="17"/>
      <c r="S251" s="80" t="s">
        <v>76</v>
      </c>
      <c r="T251" s="79">
        <f ca="1">COUNTIF($M$251,S251)*$D$40</f>
        <v>0</v>
      </c>
      <c r="U251" s="70"/>
      <c r="V251" s="80" t="s">
        <v>76</v>
      </c>
      <c r="W251" s="79">
        <f t="shared" ref="W251" ca="1" si="325">COUNTIF($M$251,V251)*$D$40</f>
        <v>0</v>
      </c>
      <c r="X251" s="70"/>
      <c r="Y251" s="80" t="s">
        <v>1256</v>
      </c>
      <c r="Z251" s="79">
        <f t="shared" ref="Z251" ca="1" si="326">COUNTIF($M$251,Y251)*$D$40</f>
        <v>18</v>
      </c>
      <c r="AA251" s="70"/>
      <c r="AB251" s="80" t="s">
        <v>1256</v>
      </c>
      <c r="AC251" s="79">
        <f t="shared" ref="AC251" ca="1" si="327">COUNTIF($M$251,AB251)*$D$40</f>
        <v>18</v>
      </c>
      <c r="AD251" s="70"/>
      <c r="AE251" s="80" t="s">
        <v>76</v>
      </c>
      <c r="AF251" s="79">
        <f t="shared" ref="AF251" ca="1" si="328">COUNTIF($M$251,AE251)*$D$40</f>
        <v>0</v>
      </c>
      <c r="AG251" s="70"/>
      <c r="AH251" s="70"/>
    </row>
    <row r="252" spans="1:34" ht="16" customHeight="1" x14ac:dyDescent="0.2">
      <c r="A252" s="17"/>
      <c r="B252" s="17"/>
      <c r="C252" s="17"/>
      <c r="D252" s="17"/>
      <c r="E252" s="95"/>
      <c r="F252" s="415">
        <f t="shared" si="320"/>
        <v>12</v>
      </c>
      <c r="G252" s="415">
        <f ca="1">VLOOKUP(H252,Equipos!$Q$1:$R$25,2,0)</f>
        <v>24</v>
      </c>
      <c r="H252" s="71" t="str">
        <f>Idiomas!$D$264</f>
        <v>3-4 &amp; Final</v>
      </c>
      <c r="I252" s="56"/>
      <c r="J252" s="107"/>
      <c r="K252" s="62" t="str">
        <f>WORLDCUP!W152</f>
        <v>🥉3º puesto</v>
      </c>
      <c r="L252" s="59"/>
      <c r="M252" s="61" t="str">
        <f ca="1">WORLDCUP!AA152</f>
        <v>Inglaterra</v>
      </c>
      <c r="N252" s="25"/>
      <c r="O252" s="25"/>
      <c r="P252" s="25"/>
      <c r="Q252" s="25"/>
      <c r="R252" s="17"/>
      <c r="S252" s="80" t="s">
        <v>38</v>
      </c>
      <c r="T252" s="79">
        <f ca="1">COUNTIF($M$252,S252)*$D$41</f>
        <v>0</v>
      </c>
      <c r="U252" s="70"/>
      <c r="V252" s="80" t="s">
        <v>77</v>
      </c>
      <c r="W252" s="79">
        <f t="shared" ref="W252" ca="1" si="329">COUNTIF($M$252,V252)*$D$41</f>
        <v>0</v>
      </c>
      <c r="X252" s="70"/>
      <c r="Y252" s="80" t="s">
        <v>38</v>
      </c>
      <c r="Z252" s="79">
        <f t="shared" ref="Z252" ca="1" si="330">COUNTIF($M$252,Y252)*$D$41</f>
        <v>0</v>
      </c>
      <c r="AA252" s="70"/>
      <c r="AB252" s="80" t="s">
        <v>38</v>
      </c>
      <c r="AC252" s="79">
        <f t="shared" ref="AC252" ca="1" si="331">COUNTIF($M$252,AB252)*$D$41</f>
        <v>0</v>
      </c>
      <c r="AD252" s="70"/>
      <c r="AE252" s="80" t="s">
        <v>38</v>
      </c>
      <c r="AF252" s="79">
        <f t="shared" ref="AF252" ca="1" si="332">COUNTIF($M$252,AE252)*$D$41</f>
        <v>0</v>
      </c>
      <c r="AG252" s="70"/>
      <c r="AH252" s="70"/>
    </row>
    <row r="253" spans="1:34" ht="16" customHeight="1" x14ac:dyDescent="0.2">
      <c r="A253" s="17"/>
      <c r="B253" s="17"/>
      <c r="C253" s="17"/>
      <c r="D253" s="17"/>
      <c r="E253" s="95"/>
      <c r="F253" s="415">
        <f t="shared" si="320"/>
        <v>20</v>
      </c>
      <c r="G253" s="415">
        <f ca="1">VLOOKUP(H253,Equipos!$Q$1:$R$25,2,0)</f>
        <v>24</v>
      </c>
      <c r="H253" s="71" t="str">
        <f>Idiomas!$D$264</f>
        <v>3-4 &amp; Final</v>
      </c>
      <c r="I253" s="56"/>
      <c r="J253" s="108"/>
      <c r="K253" s="62" t="str">
        <f>WORLDCUP!W154</f>
        <v>Bota de Oro  (máximo goleador)</v>
      </c>
      <c r="L253" s="59"/>
      <c r="M253" s="61" t="str">
        <f>WORLDCUP!AA154</f>
        <v>Mbappé</v>
      </c>
      <c r="N253" s="25"/>
      <c r="O253" s="25"/>
      <c r="P253" s="25"/>
      <c r="Q253" s="25"/>
      <c r="R253" s="17"/>
      <c r="S253" s="80" t="s">
        <v>2094</v>
      </c>
      <c r="T253" s="79">
        <f>COUNTIF($M$253,S253)*$D$42</f>
        <v>20</v>
      </c>
      <c r="U253" s="70"/>
      <c r="V253" s="80" t="s">
        <v>2094</v>
      </c>
      <c r="W253" s="79">
        <f t="shared" ref="W253" si="333">COUNTIF($M$253,V253)*$D$42</f>
        <v>20</v>
      </c>
      <c r="X253" s="70"/>
      <c r="Y253" s="80" t="s">
        <v>2089</v>
      </c>
      <c r="Z253" s="79">
        <f t="shared" ref="Z253" si="334">COUNTIF($M$253,Y253)*$D$42</f>
        <v>0</v>
      </c>
      <c r="AA253" s="70"/>
      <c r="AB253" s="80" t="s">
        <v>2094</v>
      </c>
      <c r="AC253" s="79">
        <f t="shared" ref="AC253" si="335">COUNTIF($M$253,AB253)*$D$42</f>
        <v>20</v>
      </c>
      <c r="AD253" s="70"/>
      <c r="AE253" s="80" t="s">
        <v>2094</v>
      </c>
      <c r="AF253" s="79">
        <f t="shared" ref="AF253" si="336">COUNTIF($M$253,AE253)*$D$42</f>
        <v>20</v>
      </c>
      <c r="AG253" s="70"/>
      <c r="AH253" s="70"/>
    </row>
    <row r="254" spans="1:34" ht="16" customHeight="1" x14ac:dyDescent="0.2">
      <c r="A254" s="17"/>
      <c r="B254" s="17"/>
      <c r="C254" s="17"/>
      <c r="D254" s="17"/>
      <c r="E254" s="95"/>
      <c r="F254" s="415">
        <f t="shared" si="320"/>
        <v>12</v>
      </c>
      <c r="G254" s="415">
        <f ca="1">VLOOKUP(H254,Equipos!$Q$1:$R$25,2,0)</f>
        <v>24</v>
      </c>
      <c r="H254" s="71" t="str">
        <f>Idiomas!$D$264</f>
        <v>3-4 &amp; Final</v>
      </c>
      <c r="I254" s="56"/>
      <c r="J254" s="109"/>
      <c r="K254" s="62" t="str">
        <f>WORLDCUP!W155</f>
        <v>Bota de Plata (2º máximo goleador)</v>
      </c>
      <c r="L254" s="59"/>
      <c r="M254" s="61" t="str">
        <f>WORLDCUP!AA155</f>
        <v>Messi</v>
      </c>
      <c r="N254" s="25"/>
      <c r="O254" s="25"/>
      <c r="P254" s="25"/>
      <c r="Q254" s="25"/>
      <c r="R254" s="17"/>
      <c r="S254" s="80" t="s">
        <v>2081</v>
      </c>
      <c r="T254" s="79">
        <f>COUNTIF($M$254,S254)*$D$43</f>
        <v>0</v>
      </c>
      <c r="U254" s="70"/>
      <c r="V254" s="80" t="s">
        <v>2093</v>
      </c>
      <c r="W254" s="79">
        <f t="shared" ref="W254" si="337">COUNTIF($M$254,V254)*$D$43</f>
        <v>0</v>
      </c>
      <c r="X254" s="70"/>
      <c r="Y254" s="80" t="s">
        <v>2094</v>
      </c>
      <c r="Z254" s="79">
        <f t="shared" ref="Z254" si="338">COUNTIF($M$254,Y254)*$D$43</f>
        <v>0</v>
      </c>
      <c r="AA254" s="70"/>
      <c r="AB254" s="80" t="s">
        <v>2092</v>
      </c>
      <c r="AC254" s="79">
        <f t="shared" ref="AC254" si="339">COUNTIF($M$254,AB254)*$D$43</f>
        <v>0</v>
      </c>
      <c r="AD254" s="70"/>
      <c r="AE254" s="80" t="s">
        <v>2092</v>
      </c>
      <c r="AF254" s="79">
        <f t="shared" ref="AF254" si="340">COUNTIF($M$254,AE254)*$D$43</f>
        <v>0</v>
      </c>
      <c r="AG254" s="70"/>
      <c r="AH254" s="70"/>
    </row>
    <row r="255" spans="1:34" ht="16" customHeight="1" x14ac:dyDescent="0.2">
      <c r="A255" s="17"/>
      <c r="B255" s="17"/>
      <c r="C255" s="17"/>
      <c r="D255" s="17"/>
      <c r="E255" s="95"/>
      <c r="F255" s="415">
        <f t="shared" si="320"/>
        <v>8</v>
      </c>
      <c r="G255" s="415">
        <f ca="1">VLOOKUP(H255,Equipos!$Q$1:$R$25,2,0)</f>
        <v>24</v>
      </c>
      <c r="H255" s="71" t="str">
        <f>Idiomas!$D$264</f>
        <v>3-4 &amp; Final</v>
      </c>
      <c r="I255" s="56"/>
      <c r="J255" s="109"/>
      <c r="K255" s="62" t="str">
        <f>WORLDCUP!W156</f>
        <v>Bota de Bronce (3º máximo goleador)</v>
      </c>
      <c r="L255" s="59"/>
      <c r="M255" s="61" t="str">
        <f>WORLDCUP!AA156</f>
        <v>Bellingham</v>
      </c>
      <c r="N255" s="25"/>
      <c r="O255" s="25"/>
      <c r="P255" s="25"/>
      <c r="Q255" s="25"/>
      <c r="R255" s="17"/>
      <c r="S255" s="80" t="s">
        <v>2082</v>
      </c>
      <c r="T255" s="79">
        <f>COUNTIF($M$255,S255)*$D$44</f>
        <v>0</v>
      </c>
      <c r="U255" s="70"/>
      <c r="V255" s="80" t="s">
        <v>2086</v>
      </c>
      <c r="W255" s="79">
        <f t="shared" ref="W255" si="341">COUNTIF($M$255,V255)*$D$44</f>
        <v>0</v>
      </c>
      <c r="X255" s="70"/>
      <c r="Y255" s="80" t="s">
        <v>2090</v>
      </c>
      <c r="Z255" s="79">
        <f t="shared" ref="Z255" si="342">COUNTIF($M$255,Y255)*$D$44</f>
        <v>0</v>
      </c>
      <c r="AA255" s="70"/>
      <c r="AB255" s="80" t="s">
        <v>2090</v>
      </c>
      <c r="AC255" s="79">
        <f t="shared" ref="AC255" si="343">COUNTIF($M$255,AB255)*$D$44</f>
        <v>0</v>
      </c>
      <c r="AD255" s="70"/>
      <c r="AE255" s="80" t="s">
        <v>2093</v>
      </c>
      <c r="AF255" s="79">
        <f t="shared" ref="AF255" si="344">COUNTIF($M$255,AE255)*$D$44</f>
        <v>0</v>
      </c>
      <c r="AG255" s="70"/>
      <c r="AH255" s="70"/>
    </row>
    <row r="256" spans="1:34" ht="16" customHeight="1" x14ac:dyDescent="0.2">
      <c r="A256" s="17"/>
      <c r="B256" s="17"/>
      <c r="C256" s="17"/>
      <c r="D256" s="17"/>
      <c r="E256" s="95"/>
      <c r="F256" s="415">
        <f t="shared" si="320"/>
        <v>20</v>
      </c>
      <c r="G256" s="415">
        <f ca="1">VLOOKUP(H256,Equipos!$Q$1:$R$25,2,0)</f>
        <v>24</v>
      </c>
      <c r="H256" s="71" t="str">
        <f>Idiomas!$D$264</f>
        <v>3-4 &amp; Final</v>
      </c>
      <c r="I256" s="56"/>
      <c r="J256" s="106"/>
      <c r="K256" s="62" t="str">
        <f>WORLDCUP!W158</f>
        <v>Balón de Oro  (mejor jugador)</v>
      </c>
      <c r="L256" s="59"/>
      <c r="M256" s="61" t="str">
        <f>WORLDCUP!AA158</f>
        <v>Rodri</v>
      </c>
      <c r="N256" s="25"/>
      <c r="O256" s="25"/>
      <c r="P256" s="25"/>
      <c r="Q256" s="25"/>
      <c r="R256" s="17"/>
      <c r="S256" s="80" t="s">
        <v>2083</v>
      </c>
      <c r="T256" s="79">
        <f>COUNTIF($M$256,S256)*$D$45</f>
        <v>0</v>
      </c>
      <c r="U256" s="70"/>
      <c r="V256" s="80" t="s">
        <v>2087</v>
      </c>
      <c r="W256" s="79">
        <f t="shared" ref="W256" si="345">COUNTIF($M$256,V256)*$D$45</f>
        <v>0</v>
      </c>
      <c r="X256" s="70"/>
      <c r="Y256" s="80" t="s">
        <v>2087</v>
      </c>
      <c r="Z256" s="79">
        <f t="shared" ref="Z256" si="346">COUNTIF($M$256,Y256)*$D$45</f>
        <v>0</v>
      </c>
      <c r="AA256" s="70"/>
      <c r="AB256" s="80" t="s">
        <v>2087</v>
      </c>
      <c r="AC256" s="79">
        <f t="shared" ref="AC256" si="347">COUNTIF($M$256,AB256)*$D$45</f>
        <v>0</v>
      </c>
      <c r="AD256" s="70"/>
      <c r="AE256" s="80" t="s">
        <v>2080</v>
      </c>
      <c r="AF256" s="79">
        <f t="shared" ref="AF256" si="348">COUNTIF($M$256,AE256)*$D$45</f>
        <v>0</v>
      </c>
      <c r="AG256" s="70"/>
      <c r="AH256" s="70"/>
    </row>
    <row r="257" spans="1:34" ht="16" customHeight="1" x14ac:dyDescent="0.2">
      <c r="A257" s="17"/>
      <c r="B257" s="17"/>
      <c r="C257" s="17"/>
      <c r="D257" s="17"/>
      <c r="E257" s="95"/>
      <c r="F257" s="415">
        <f t="shared" si="320"/>
        <v>12</v>
      </c>
      <c r="G257" s="415">
        <f ca="1">VLOOKUP(H257,Equipos!$Q$1:$R$25,2,0)</f>
        <v>24</v>
      </c>
      <c r="H257" s="71" t="str">
        <f>Idiomas!$D$264</f>
        <v>3-4 &amp; Final</v>
      </c>
      <c r="I257" s="56"/>
      <c r="J257" s="107"/>
      <c r="K257" s="62" t="str">
        <f>WORLDCUP!W159</f>
        <v>Balón de Plata (2º mejor jugador)</v>
      </c>
      <c r="L257" s="59"/>
      <c r="M257" s="61" t="str">
        <f>WORLDCUP!AA159</f>
        <v>Messi</v>
      </c>
      <c r="N257" s="25"/>
      <c r="O257" s="25"/>
      <c r="P257" s="25"/>
      <c r="Q257" s="25"/>
      <c r="R257" s="17"/>
      <c r="S257" s="80" t="s">
        <v>2084</v>
      </c>
      <c r="T257" s="79">
        <f>COUNTIF($M$257,S257)*$D$46</f>
        <v>0</v>
      </c>
      <c r="U257" s="70"/>
      <c r="V257" s="80" t="s">
        <v>2083</v>
      </c>
      <c r="W257" s="79">
        <f t="shared" ref="W257" si="349">COUNTIF($M$257,V257)*$D$46</f>
        <v>0</v>
      </c>
      <c r="X257" s="70"/>
      <c r="Y257" s="80" t="s">
        <v>2080</v>
      </c>
      <c r="Z257" s="79">
        <f t="shared" ref="Z257" si="350">COUNTIF($M$257,Y257)*$D$46</f>
        <v>0</v>
      </c>
      <c r="AA257" s="70"/>
      <c r="AB257" s="80" t="s">
        <v>2092</v>
      </c>
      <c r="AC257" s="79">
        <f t="shared" ref="AC257" si="351">COUNTIF($M$257,AB257)*$D$46</f>
        <v>0</v>
      </c>
      <c r="AD257" s="70"/>
      <c r="AE257" s="80" t="s">
        <v>2087</v>
      </c>
      <c r="AF257" s="79">
        <f t="shared" ref="AF257" si="352">COUNTIF($M$257,AE257)*$D$46</f>
        <v>0</v>
      </c>
      <c r="AG257" s="70"/>
      <c r="AH257" s="70"/>
    </row>
    <row r="258" spans="1:34" ht="16" customHeight="1" x14ac:dyDescent="0.2">
      <c r="A258" s="17"/>
      <c r="B258" s="17"/>
      <c r="C258" s="17"/>
      <c r="D258" s="17"/>
      <c r="E258" s="95"/>
      <c r="F258" s="415">
        <f t="shared" si="320"/>
        <v>8</v>
      </c>
      <c r="G258" s="415">
        <f ca="1">VLOOKUP(H258,Equipos!$Q$1:$R$25,2,0)</f>
        <v>24</v>
      </c>
      <c r="H258" s="71" t="str">
        <f>Idiomas!$D$264</f>
        <v>3-4 &amp; Final</v>
      </c>
      <c r="I258" s="56"/>
      <c r="J258" s="107"/>
      <c r="K258" s="121" t="str">
        <f>WORLDCUP!W160</f>
        <v>Balón de Bronce (3º mejor jugador)</v>
      </c>
      <c r="L258" s="121"/>
      <c r="M258" s="122" t="str">
        <f>WORLDCUP!AA160</f>
        <v>Mbappé</v>
      </c>
      <c r="N258" s="25"/>
      <c r="O258" s="25"/>
      <c r="P258" s="25"/>
      <c r="Q258" s="25"/>
      <c r="R258" s="17"/>
      <c r="S258" s="86" t="s">
        <v>2085</v>
      </c>
      <c r="T258" s="87">
        <f>COUNTIF($M$258,S258)*$D$47</f>
        <v>0</v>
      </c>
      <c r="U258" s="70"/>
      <c r="V258" s="86" t="s">
        <v>2088</v>
      </c>
      <c r="W258" s="87">
        <f t="shared" ref="W258" si="353">COUNTIF($M$258,V258)*$D$47</f>
        <v>0</v>
      </c>
      <c r="X258" s="70"/>
      <c r="Y258" s="86" t="s">
        <v>2091</v>
      </c>
      <c r="Z258" s="87">
        <f t="shared" ref="Z258" si="354">COUNTIF($M$258,Y258)*$D$47</f>
        <v>0</v>
      </c>
      <c r="AA258" s="70"/>
      <c r="AB258" s="86" t="s">
        <v>2094</v>
      </c>
      <c r="AC258" s="87">
        <f t="shared" ref="AC258" si="355">COUNTIF($M$258,AB258)*$D$47</f>
        <v>8</v>
      </c>
      <c r="AD258" s="70"/>
      <c r="AE258" s="86" t="s">
        <v>2092</v>
      </c>
      <c r="AF258" s="87">
        <f t="shared" ref="AF258" si="356">COUNTIF($M$258,AE258)*$D$47</f>
        <v>0</v>
      </c>
      <c r="AG258" s="70"/>
      <c r="AH258" s="70"/>
    </row>
    <row r="259" spans="1:34" x14ac:dyDescent="0.2">
      <c r="A259" s="55"/>
      <c r="B259" s="55"/>
      <c r="C259" s="55"/>
      <c r="D259" s="55"/>
      <c r="E259" s="117"/>
      <c r="F259" s="742"/>
      <c r="G259" s="743"/>
      <c r="H259" s="55"/>
      <c r="I259" s="56"/>
      <c r="J259" s="100"/>
      <c r="K259" s="442" t="str">
        <f>Idiomas!D469</f>
        <v xml:space="preserve">Cuadro de Honor </v>
      </c>
      <c r="L259" s="443"/>
      <c r="M259" s="442" t="str">
        <f>"Max: "&amp;SUM($D$39:$D$47)</f>
        <v>Max: 135</v>
      </c>
      <c r="N259" s="19"/>
      <c r="O259" s="19"/>
      <c r="P259" s="19"/>
      <c r="Q259" s="19"/>
      <c r="R259" s="303"/>
      <c r="S259" s="77"/>
      <c r="T259" s="77">
        <f ca="1">SUM(T250:T258)</f>
        <v>20</v>
      </c>
      <c r="U259" s="71"/>
      <c r="V259" s="77"/>
      <c r="W259" s="77">
        <f t="shared" ref="W259" ca="1" si="357">SUM(W250:W258)</f>
        <v>45</v>
      </c>
      <c r="X259" s="71"/>
      <c r="Y259" s="77"/>
      <c r="Z259" s="77">
        <f t="shared" ref="Z259" ca="1" si="358">SUM(Z250:Z258)</f>
        <v>18</v>
      </c>
      <c r="AA259" s="71"/>
      <c r="AB259" s="77"/>
      <c r="AC259" s="77">
        <f t="shared" ref="AC259" ca="1" si="359">SUM(AC250:AC258)</f>
        <v>46</v>
      </c>
      <c r="AD259" s="71"/>
      <c r="AE259" s="77"/>
      <c r="AF259" s="77">
        <f t="shared" ref="AF259" ca="1" si="360">SUM(AF250:AF258)</f>
        <v>20</v>
      </c>
      <c r="AG259" s="71"/>
      <c r="AH259" s="71"/>
    </row>
    <row r="260" spans="1:34" x14ac:dyDescent="0.2">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x14ac:dyDescent="0.2">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x14ac:dyDescent="0.2">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x14ac:dyDescent="0.2">
      <c r="A263" s="17"/>
      <c r="B263" s="17"/>
      <c r="C263" s="17"/>
      <c r="D263" s="17"/>
      <c r="E263" s="95"/>
      <c r="F263" s="741"/>
      <c r="G263" s="741"/>
      <c r="H263" s="741"/>
      <c r="I263" s="17"/>
      <c r="J263" s="25"/>
      <c r="K263" s="25"/>
      <c r="L263" s="25"/>
      <c r="M263" s="25" t="s">
        <v>1707</v>
      </c>
      <c r="N263" s="25"/>
      <c r="O263" s="25"/>
      <c r="P263" s="25"/>
      <c r="Q263" s="25"/>
      <c r="R263" s="25"/>
      <c r="S263" s="25">
        <f ca="1">RANK(S264,OFFSET($S$264,0,0,1,$D$5*3),0)</f>
        <v>2</v>
      </c>
      <c r="T263" s="25"/>
      <c r="U263" s="25"/>
      <c r="V263" s="25">
        <f ca="1">RANK(V264,OFFSET($S$264,0,0,1,$D$5*3),0)</f>
        <v>3</v>
      </c>
      <c r="W263" s="25"/>
      <c r="X263" s="25"/>
      <c r="Y263" s="25">
        <f ca="1">RANK(Y264,OFFSET($S$264,0,0,1,$D$5*3),0)</f>
        <v>4</v>
      </c>
      <c r="Z263" s="25"/>
      <c r="AA263" s="25"/>
      <c r="AB263" s="25">
        <f ca="1">RANK(AB264,OFFSET($S$264,0,0,1,$D$5*3),0)</f>
        <v>5</v>
      </c>
      <c r="AC263" s="25"/>
      <c r="AD263" s="25"/>
      <c r="AE263" s="25">
        <f ca="1">RANK(AE264,OFFSET($S$264,0,0,1,$D$5*3),0)</f>
        <v>1</v>
      </c>
      <c r="AF263" s="25"/>
      <c r="AG263" s="25"/>
      <c r="AH263" s="17"/>
    </row>
    <row r="264" spans="1:34" customFormat="1" x14ac:dyDescent="0.2">
      <c r="A264" s="17"/>
      <c r="B264" s="17"/>
      <c r="C264" s="17"/>
      <c r="D264" s="17"/>
      <c r="E264" s="95"/>
      <c r="F264" s="741"/>
      <c r="G264" s="741"/>
      <c r="H264" s="741"/>
      <c r="I264" s="17"/>
      <c r="J264" s="25"/>
      <c r="K264" s="25"/>
      <c r="L264" s="25"/>
      <c r="M264" s="25" t="s">
        <v>1709</v>
      </c>
      <c r="N264" s="25"/>
      <c r="O264" s="25"/>
      <c r="P264" s="25"/>
      <c r="Q264" s="25"/>
      <c r="R264" s="25"/>
      <c r="S264" s="25">
        <f ca="1">S266-(COLUMN()/10000)</f>
        <v>1.9981</v>
      </c>
      <c r="T264" s="25"/>
      <c r="U264" s="25"/>
      <c r="V264" s="25">
        <f t="shared" ref="V264" ca="1" si="361">V266-(COLUMN()/10000)</f>
        <v>1.9978</v>
      </c>
      <c r="W264" s="25"/>
      <c r="X264" s="25"/>
      <c r="Y264" s="25">
        <f t="shared" ref="Y264" ca="1" si="362">Y266-(COLUMN()/10000)</f>
        <v>1.9975000000000001</v>
      </c>
      <c r="Z264" s="25"/>
      <c r="AA264" s="25"/>
      <c r="AB264" s="25">
        <f t="shared" ref="AB264" ca="1" si="363">AB266-(COLUMN()/10000)</f>
        <v>1.9972000000000001</v>
      </c>
      <c r="AC264" s="25"/>
      <c r="AD264" s="25"/>
      <c r="AE264" s="25">
        <f t="shared" ref="AE264" ca="1" si="364">AE266-(COLUMN()/10000)</f>
        <v>5.9969000000000001</v>
      </c>
      <c r="AF264" s="25"/>
      <c r="AG264" s="25"/>
      <c r="AH264" s="17"/>
    </row>
    <row r="265" spans="1:34" customFormat="1" x14ac:dyDescent="0.2">
      <c r="A265" s="17"/>
      <c r="B265" s="17"/>
      <c r="C265" s="17"/>
      <c r="D265" s="17"/>
      <c r="E265" s="95"/>
      <c r="F265" s="741"/>
      <c r="G265" s="741"/>
      <c r="H265" s="741"/>
      <c r="I265" s="17"/>
      <c r="J265" s="25"/>
      <c r="K265" s="25"/>
      <c r="L265" s="25"/>
      <c r="M265" s="25" t="s">
        <v>1708</v>
      </c>
      <c r="N265" s="25"/>
      <c r="O265" s="25"/>
      <c r="P265" s="25"/>
      <c r="Q265" s="25"/>
      <c r="R265" s="25"/>
      <c r="S265" s="25">
        <f ca="1">RANK(S266,OFFSET($S$266,0,0,1,$D$5*3),0)</f>
        <v>2</v>
      </c>
      <c r="T265" s="25"/>
      <c r="U265" s="25"/>
      <c r="V265" s="25">
        <f ca="1">RANK(V266,OFFSET($S$266,0,0,1,$D$5*3),0)</f>
        <v>2</v>
      </c>
      <c r="W265" s="25"/>
      <c r="X265" s="25"/>
      <c r="Y265" s="25">
        <f ca="1">RANK(Y266,OFFSET($S$266,0,0,1,$D$5*3),0)</f>
        <v>2</v>
      </c>
      <c r="Z265" s="25"/>
      <c r="AA265" s="25"/>
      <c r="AB265" s="25">
        <f ca="1">RANK(AB266,OFFSET($S$266,0,0,1,$D$5*3),0)</f>
        <v>2</v>
      </c>
      <c r="AC265" s="25"/>
      <c r="AD265" s="25"/>
      <c r="AE265" s="25">
        <f ca="1">RANK(AE266,OFFSET($S$266,0,0,1,$D$5*3),0)</f>
        <v>1</v>
      </c>
      <c r="AF265" s="25"/>
      <c r="AG265" s="25"/>
      <c r="AH265" s="17"/>
    </row>
    <row r="266" spans="1:34" customFormat="1" x14ac:dyDescent="0.2">
      <c r="A266" s="17"/>
      <c r="B266" s="17"/>
      <c r="C266" s="17"/>
      <c r="D266" s="17"/>
      <c r="E266" s="95"/>
      <c r="F266" s="741"/>
      <c r="G266" s="741"/>
      <c r="H266" s="741"/>
      <c r="I266" s="17"/>
      <c r="J266" s="25"/>
      <c r="K266" s="25"/>
      <c r="L266" s="25"/>
      <c r="M266" s="25" t="s">
        <v>614</v>
      </c>
      <c r="N266" s="25"/>
      <c r="O266" s="25"/>
      <c r="P266" s="25"/>
      <c r="Q266" s="25"/>
      <c r="R266" s="25"/>
      <c r="S266" s="25">
        <f ca="1">SUMIFS((T6:T259),$H$6:$H$259,$M$262)</f>
        <v>2</v>
      </c>
      <c r="T266" s="25"/>
      <c r="U266" s="25"/>
      <c r="V266" s="25">
        <f ca="1">SUMIFS((W6:W259),$H$6:$H$259,$M$262)</f>
        <v>2</v>
      </c>
      <c r="W266" s="25"/>
      <c r="X266" s="25"/>
      <c r="Y266" s="25">
        <f ca="1">SUMIFS((Z6:Z259),$H$6:$H$259,$M$262)</f>
        <v>2</v>
      </c>
      <c r="Z266" s="25"/>
      <c r="AA266" s="25"/>
      <c r="AB266" s="25">
        <f ca="1">SUMIFS((AC6:AC259),$H$6:$H$259,$M$262)</f>
        <v>2</v>
      </c>
      <c r="AC266" s="25"/>
      <c r="AD266" s="25"/>
      <c r="AE266" s="25">
        <f ca="1">SUMIFS((AF6:AF259),$H$6:$H$259,$M$262)</f>
        <v>6</v>
      </c>
      <c r="AF266" s="25"/>
      <c r="AG266" s="25"/>
      <c r="AH266" s="17"/>
    </row>
    <row r="267" spans="1:34" customFormat="1" x14ac:dyDescent="0.2">
      <c r="A267" s="17"/>
      <c r="B267" s="17"/>
      <c r="C267" s="17"/>
      <c r="D267" s="17"/>
      <c r="E267" s="95"/>
      <c r="F267" s="741"/>
      <c r="G267" s="741"/>
      <c r="H267" s="741"/>
      <c r="I267" s="17"/>
      <c r="J267" s="25"/>
      <c r="K267" s="25"/>
      <c r="L267" s="25"/>
      <c r="M267" s="25" t="s">
        <v>268</v>
      </c>
      <c r="N267" s="25"/>
      <c r="O267" s="25"/>
      <c r="P267" s="25"/>
      <c r="Q267" s="25"/>
      <c r="R267" s="25"/>
      <c r="S267" s="25" t="str">
        <f>S5</f>
        <v>JUANCHO</v>
      </c>
      <c r="T267" s="25"/>
      <c r="U267" s="25"/>
      <c r="V267" s="25" t="str">
        <f t="shared" ref="V267" si="365">V5</f>
        <v>LARRY</v>
      </c>
      <c r="W267" s="25"/>
      <c r="X267" s="25"/>
      <c r="Y267" s="25" t="str">
        <f t="shared" ref="Y267" si="366">Y5</f>
        <v>LUIS/VIR</v>
      </c>
      <c r="Z267" s="25"/>
      <c r="AA267" s="25"/>
      <c r="AB267" s="25" t="str">
        <f t="shared" ref="AB267" si="367">AB5</f>
        <v>MEDINA</v>
      </c>
      <c r="AC267" s="25"/>
      <c r="AD267" s="25"/>
      <c r="AE267" s="25" t="str">
        <f t="shared" ref="AE267" si="368">AE5</f>
        <v>VICTOR</v>
      </c>
      <c r="AF267" s="25"/>
      <c r="AG267" s="25"/>
      <c r="AH267" s="17"/>
    </row>
    <row r="268" spans="1:34" customFormat="1" x14ac:dyDescent="0.2">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x14ac:dyDescent="0.2">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cU5ibwQKu4gq+RISPqZLCXANOPFEgRI4oUUnlXyz5b4ynVNktEaBOPA/jyhp1SzZ/VO0Zy1vooeyVfX0WB5jmA==" saltValue="Ot1RiypUrVhmxKt/xcVCzg=="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tabSelected="1" zoomScaleNormal="100" workbookViewId="0">
      <selection activeCell="H22" sqref="H22"/>
    </sheetView>
  </sheetViews>
  <sheetFormatPr baseColWidth="10" defaultColWidth="0" defaultRowHeight="15" x14ac:dyDescent="0.2"/>
  <cols>
    <col min="1" max="1" width="4.6640625" style="7" customWidth="1"/>
    <col min="2" max="2" width="4.6640625" style="1" bestFit="1" customWidth="1"/>
    <col min="3" max="3" width="22.6640625" style="1" customWidth="1"/>
    <col min="4" max="21" width="10.83203125" style="1" customWidth="1"/>
    <col min="22" max="16384" width="10.83203125" style="1" hidden="1"/>
  </cols>
  <sheetData>
    <row r="1" spans="1:21" ht="46" thickBot="1" x14ac:dyDescent="0.25">
      <c r="A1" s="96"/>
      <c r="B1" s="792" t="str">
        <f>Idiomas!D451&amp;" "&amp;Home!C10</f>
        <v>CLASIFICACIÓN MUNDIAL 2026 LOS NANOS 1</v>
      </c>
      <c r="C1" s="793"/>
      <c r="D1" s="793"/>
      <c r="E1" s="793"/>
      <c r="F1" s="793"/>
      <c r="G1" s="793"/>
      <c r="H1" s="793"/>
      <c r="I1" s="793"/>
      <c r="J1" s="793"/>
      <c r="K1" s="793"/>
      <c r="L1" s="793"/>
      <c r="M1" s="793"/>
      <c r="N1" s="793"/>
      <c r="O1" s="793"/>
      <c r="P1" s="793"/>
      <c r="Q1" s="793"/>
      <c r="R1" s="793"/>
      <c r="S1" s="793"/>
      <c r="T1" s="303"/>
      <c r="U1" s="303"/>
    </row>
    <row r="2" spans="1:21" ht="9" customHeight="1" x14ac:dyDescent="0.2">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x14ac:dyDescent="0.25">
      <c r="A3" s="96"/>
      <c r="B3" s="111"/>
      <c r="C3" s="111"/>
      <c r="D3" s="111"/>
      <c r="E3" s="112" t="str">
        <f ca="1">+INDEX(ADMIN!$M$5:$M$259,MATCH(CLAS!E4,ADMIN!$K$5:$K$259,0))</f>
        <v>Max: 432</v>
      </c>
      <c r="F3" s="112" t="str">
        <f ca="1">+INDEX(ADMIN!$M$5:$M$259,MATCH(CLAS!F4,ADMIN!$K$5:$K$259,0))</f>
        <v>Max: 120</v>
      </c>
      <c r="G3" s="112" t="str">
        <f ca="1">+INDEX(ADMIN!$M$5:$M$259,MATCH(CLAS!G4,ADMIN!$K$5:$K$259,0))</f>
        <v>Max: 64</v>
      </c>
      <c r="H3" s="112" t="str">
        <f ca="1">+INDEX(ADMIN!$M$5:$M$259,MATCH(CLAS!H4,ADMIN!$K$5:$K$259,0))</f>
        <v>Max: 144</v>
      </c>
      <c r="I3" s="112" t="str">
        <f ca="1">+INDEX(ADMIN!$M$5:$M$259,MATCH(CLAS!I4,ADMIN!$K$5:$K$259,0))</f>
        <v>Max: 48</v>
      </c>
      <c r="J3" s="112" t="str">
        <f ca="1">+INDEX(ADMIN!$M$5:$M$259,MATCH(CLAS!J4,ADMIN!$K$5:$K$259,0))</f>
        <v>Max: 96</v>
      </c>
      <c r="K3" s="112" t="str">
        <f ca="1">+INDEX(ADMIN!$M$5:$M$259,MATCH(CLAS!K4,ADMIN!$K$5:$K$259,0))</f>
        <v>Max: 40</v>
      </c>
      <c r="L3" s="112" t="str">
        <f ca="1">+INDEX(ADMIN!$M$5:$M$259,MATCH(CLAS!L4,ADMIN!$K$5:$K$259,0))</f>
        <v>Max: 60</v>
      </c>
      <c r="M3" s="112" t="str">
        <f ca="1">+INDEX(ADMIN!$M$5:$M$259,MATCH(CLAS!M4,ADMIN!$K$5:$K$259,0))</f>
        <v>Max: 32</v>
      </c>
      <c r="N3" s="112" t="str">
        <f ca="1">+INDEX(ADMIN!$M$5:$M$259,MATCH(CLAS!N4,ADMIN!$K$5:$K$259,0))</f>
        <v>Max: 38</v>
      </c>
      <c r="O3" s="112" t="str">
        <f ca="1">+INDEX(ADMIN!$M$5:$M$259,MATCH(CLAS!O4,ADMIN!$K$5:$K$259,0))</f>
        <v>Max: 16</v>
      </c>
      <c r="P3" s="112" t="str">
        <f ca="1">+INDEX(ADMIN!$M$5:$M$259,MATCH(CLAS!P4,ADMIN!$K$5:$K$259,0))</f>
        <v>Max: 24</v>
      </c>
      <c r="Q3" s="112" t="str">
        <f ca="1">+INDEX(ADMIN!$M$5:$M$259,MATCH(CLAS!Q4,ADMIN!$K$5:$K$259,0))</f>
        <v>Max: 19</v>
      </c>
      <c r="R3" s="112" t="str">
        <f ca="1">+INDEX(ADMIN!$M$5:$M$259,MATCH(CLAS!R4,ADMIN!$K$5:$K$259,0))</f>
        <v>Max: 26</v>
      </c>
      <c r="S3" s="112" t="str">
        <f ca="1">+INDEX(ADMIN!$M$5:$M$259,MATCH(CLAS!S4,ADMIN!$K$5:$K$259,0))</f>
        <v>Max: 135</v>
      </c>
      <c r="T3" s="303"/>
      <c r="U3" s="303"/>
    </row>
    <row r="4" spans="1:21" ht="32" thickTop="1" thickBot="1" x14ac:dyDescent="0.25">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6" thickTop="1" x14ac:dyDescent="0.2">
      <c r="A5" s="19">
        <f>ROW()-4</f>
        <v>1</v>
      </c>
      <c r="B5" s="22">
        <f ca="1">IFERROR(HLOOKUP(A5,Rango_Admin_Clas,3,FALSE),"-")</f>
        <v>1</v>
      </c>
      <c r="C5" s="18" t="str">
        <f ca="1">IFERROR(HLOOKUP(A5,Rango_Admin_Clas,5,FALSE),"-")</f>
        <v>MEDINA</v>
      </c>
      <c r="D5" s="97">
        <f ca="1">IFERROR(HLOOKUP(A5,Rango_Admin_Clas,4,FALSE),"-")</f>
        <v>554</v>
      </c>
      <c r="E5" s="98" cm="1">
        <f t="array" aca="1" ref="E5" ca="1">IFERROR(INDEX(Rango_Admin_Clas_Total,E$2,MATCH($A5,Rango_Admin_Clas_Primera,0)+1),"-")</f>
        <v>130</v>
      </c>
      <c r="F5" s="98" cm="1">
        <f t="array" aca="1" ref="F5" ca="1">IFERROR(INDEX(Rango_Admin_Clas_Total,F$2,MATCH($A5,Rango_Admin_Clas_Primera,0)+1),"-")</f>
        <v>89</v>
      </c>
      <c r="G5" s="98" cm="1">
        <f t="array" aca="1" ref="G5" ca="1">IFERROR(INDEX(Rango_Admin_Clas_Total,G$2,MATCH($A5,Rango_Admin_Clas_Primera,0)+1),"-")</f>
        <v>64</v>
      </c>
      <c r="H5" s="98" cm="1">
        <f t="array" aca="1" ref="H5" ca="1">IFERROR(INDEX(Rango_Admin_Clas_Total,H$2,MATCH($A5,Rango_Admin_Clas_Primera,0)+1),"-")</f>
        <v>74</v>
      </c>
      <c r="I5" s="98" cm="1">
        <f t="array" aca="1" ref="I5" ca="1">IFERROR(INDEX(Rango_Admin_Clas_Total,I$2,MATCH($A5,Rango_Admin_Clas_Primera,0)+1),"-")</f>
        <v>42</v>
      </c>
      <c r="J5" s="98" cm="1">
        <f t="array" aca="1" ref="J5" ca="1">IFERROR(INDEX(Rango_Admin_Clas_Total,J$2,MATCH($A5,Rango_Admin_Clas_Primera,0)+1),"-")</f>
        <v>18</v>
      </c>
      <c r="K5" s="98" cm="1">
        <f t="array" aca="1" ref="K5" ca="1">IFERROR(INDEX(Rango_Admin_Clas_Total,K$2,MATCH($A5,Rango_Admin_Clas_Primera,0)+1),"-")</f>
        <v>20</v>
      </c>
      <c r="L5" s="98" cm="1">
        <f t="array" aca="1" ref="L5" ca="1">IFERROR(INDEX(Rango_Admin_Clas_Total,L$2,MATCH($A5,Rango_Admin_Clas_Primera,0)+1),"-")</f>
        <v>0</v>
      </c>
      <c r="M5" s="98" cm="1">
        <f t="array" aca="1" ref="M5" ca="1">IFERROR(INDEX(Rango_Admin_Clas_Total,M$2,MATCH($A5,Rango_Admin_Clas_Primera,0)+1),"-")</f>
        <v>32</v>
      </c>
      <c r="N5" s="98" cm="1">
        <f t="array" aca="1" ref="N5" ca="1">IFERROR(INDEX(Rango_Admin_Clas_Total,N$2,MATCH($A5,Rango_Admin_Clas_Primera,0)+1),"-")</f>
        <v>19</v>
      </c>
      <c r="O5" s="98" cm="1">
        <f t="array" aca="1" ref="O5" ca="1">IFERROR(INDEX(Rango_Admin_Clas_Total,O$2,MATCH($A5,Rango_Admin_Clas_Primera,0)+1),"-")</f>
        <v>8</v>
      </c>
      <c r="P5" s="98" cm="1">
        <f t="array" aca="1" ref="P5" ca="1">IFERROR(INDEX(Rango_Admin_Clas_Total,P$2,MATCH($A5,Rango_Admin_Clas_Primera,0)+1),"-")</f>
        <v>12</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46</v>
      </c>
      <c r="T5" s="303"/>
      <c r="U5" s="303"/>
    </row>
    <row r="6" spans="1:21" x14ac:dyDescent="0.2">
      <c r="A6" s="19">
        <f t="shared" ref="A6:A9" si="0">ROW()-4</f>
        <v>2</v>
      </c>
      <c r="B6" s="22">
        <f ca="1">IFERROR(HLOOKUP(A6,Rango_Admin_Clas,3,FALSE),"-")</f>
        <v>2</v>
      </c>
      <c r="C6" s="18" t="str">
        <f ca="1">IFERROR(HLOOKUP(A6,Rango_Admin_Clas,5,FALSE),"-")</f>
        <v>VICTOR</v>
      </c>
      <c r="D6" s="97">
        <f ca="1">IFERROR(HLOOKUP(A6,Rango_Admin_Clas,4,FALSE),"-")</f>
        <v>485</v>
      </c>
      <c r="E6" s="98" cm="1">
        <f t="array" aca="1" ref="E6" ca="1">IFERROR(INDEX(Rango_Admin_Clas_Total,E$2,MATCH($A6,Rango_Admin_Clas_Primera,0)+1),"-")</f>
        <v>134</v>
      </c>
      <c r="F6" s="98" cm="1">
        <f t="array" aca="1" ref="F6" ca="1">IFERROR(INDEX(Rango_Admin_Clas_Total,F$2,MATCH($A6,Rango_Admin_Clas_Primera,0)+1),"-")</f>
        <v>75</v>
      </c>
      <c r="G6" s="98" cm="1">
        <f t="array" aca="1" ref="G6" ca="1">IFERROR(INDEX(Rango_Admin_Clas_Total,G$2,MATCH($A6,Rango_Admin_Clas_Primera,0)+1),"-")</f>
        <v>64</v>
      </c>
      <c r="H6" s="98" cm="1">
        <f t="array" aca="1" ref="H6" ca="1">IFERROR(INDEX(Rango_Admin_Clas_Total,H$2,MATCH($A6,Rango_Admin_Clas_Primera,0)+1),"-")</f>
        <v>63</v>
      </c>
      <c r="I6" s="98" cm="1">
        <f t="array" aca="1" ref="I6" ca="1">IFERROR(INDEX(Rango_Admin_Clas_Total,I$2,MATCH($A6,Rango_Admin_Clas_Primera,0)+1),"-")</f>
        <v>39</v>
      </c>
      <c r="J6" s="98" cm="1">
        <f t="array" aca="1" ref="J6" ca="1">IFERROR(INDEX(Rango_Admin_Clas_Total,J$2,MATCH($A6,Rango_Admin_Clas_Primera,0)+1),"-")</f>
        <v>8</v>
      </c>
      <c r="K6" s="98" cm="1">
        <f t="array" aca="1" ref="K6" ca="1">IFERROR(INDEX(Rango_Admin_Clas_Total,K$2,MATCH($A6,Rango_Admin_Clas_Primera,0)+1),"-")</f>
        <v>30</v>
      </c>
      <c r="L6" s="98" cm="1">
        <f t="array" aca="1" ref="L6" ca="1">IFERROR(INDEX(Rango_Admin_Clas_Total,L$2,MATCH($A6,Rango_Admin_Clas_Primera,0)+1),"-")</f>
        <v>20</v>
      </c>
      <c r="M6" s="98" cm="1">
        <f t="array" aca="1" ref="M6" ca="1">IFERROR(INDEX(Rango_Admin_Clas_Total,M$2,MATCH($A6,Rango_Admin_Clas_Primera,0)+1),"-")</f>
        <v>32</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20</v>
      </c>
      <c r="T6" s="303"/>
      <c r="U6" s="303"/>
    </row>
    <row r="7" spans="1:21" x14ac:dyDescent="0.2">
      <c r="A7" s="19">
        <f t="shared" si="0"/>
        <v>3</v>
      </c>
      <c r="B7" s="22">
        <f ca="1">IFERROR(HLOOKUP(A7,Rango_Admin_Clas,3,FALSE),"-")</f>
        <v>3</v>
      </c>
      <c r="C7" s="18" t="str">
        <f ca="1">IFERROR(HLOOKUP(A7,Rango_Admin_Clas,5,FALSE),"-")</f>
        <v>JUANCHO</v>
      </c>
      <c r="D7" s="97">
        <f ca="1">IFERROR(HLOOKUP(A7,Rango_Admin_Clas,4,FALSE),"-")</f>
        <v>476</v>
      </c>
      <c r="E7" s="98" cm="1">
        <f t="array" aca="1" ref="E7" ca="1">IFERROR(INDEX(Rango_Admin_Clas_Total,E$2,MATCH($A7,Rango_Admin_Clas_Primera,0)+1),"-")</f>
        <v>121</v>
      </c>
      <c r="F7" s="98" cm="1">
        <f t="array" aca="1" ref="F7" ca="1">IFERROR(INDEX(Rango_Admin_Clas_Total,F$2,MATCH($A7,Rango_Admin_Clas_Primera,0)+1),"-")</f>
        <v>85</v>
      </c>
      <c r="G7" s="98" cm="1">
        <f t="array" aca="1" ref="G7" ca="1">IFERROR(INDEX(Rango_Admin_Clas_Total,G$2,MATCH($A7,Rango_Admin_Clas_Primera,0)+1),"-")</f>
        <v>64</v>
      </c>
      <c r="H7" s="98" cm="1">
        <f t="array" aca="1" ref="H7" ca="1">IFERROR(INDEX(Rango_Admin_Clas_Total,H$2,MATCH($A7,Rango_Admin_Clas_Primera,0)+1),"-")</f>
        <v>53</v>
      </c>
      <c r="I7" s="98" cm="1">
        <f t="array" aca="1" ref="I7" ca="1">IFERROR(INDEX(Rango_Admin_Clas_Total,I$2,MATCH($A7,Rango_Admin_Clas_Primera,0)+1),"-")</f>
        <v>45</v>
      </c>
      <c r="J7" s="98" cm="1">
        <f t="array" aca="1" ref="J7" ca="1">IFERROR(INDEX(Rango_Admin_Clas_Total,J$2,MATCH($A7,Rango_Admin_Clas_Primera,0)+1),"-")</f>
        <v>22</v>
      </c>
      <c r="K7" s="98" cm="1">
        <f t="array" aca="1" ref="K7" ca="1">IFERROR(INDEX(Rango_Admin_Clas_Total,K$2,MATCH($A7,Rango_Admin_Clas_Primera,0)+1),"-")</f>
        <v>25</v>
      </c>
      <c r="L7" s="98" cm="1">
        <f t="array" aca="1" ref="L7" ca="1">IFERROR(INDEX(Rango_Admin_Clas_Total,L$2,MATCH($A7,Rango_Admin_Clas_Primera,0)+1),"-")</f>
        <v>9</v>
      </c>
      <c r="M7" s="98" cm="1">
        <f t="array" aca="1" ref="M7" ca="1">IFERROR(INDEX(Rango_Admin_Clas_Total,M$2,MATCH($A7,Rango_Admin_Clas_Primera,0)+1),"-")</f>
        <v>32</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20</v>
      </c>
      <c r="T7" s="303"/>
      <c r="U7" s="303"/>
    </row>
    <row r="8" spans="1:21" x14ac:dyDescent="0.2">
      <c r="A8" s="19">
        <f t="shared" si="0"/>
        <v>4</v>
      </c>
      <c r="B8" s="22">
        <f ca="1">IFERROR(HLOOKUP(A8,Rango_Admin_Clas,3,FALSE),"-")</f>
        <v>4</v>
      </c>
      <c r="C8" s="18" t="str">
        <f ca="1">IFERROR(HLOOKUP(A8,Rango_Admin_Clas,5,FALSE),"-")</f>
        <v>LARRY</v>
      </c>
      <c r="D8" s="97">
        <f ca="1">IFERROR(HLOOKUP(A8,Rango_Admin_Clas,4,FALSE),"-")</f>
        <v>439</v>
      </c>
      <c r="E8" s="98" cm="1">
        <f t="array" aca="1" ref="E8" ca="1">IFERROR(INDEX(Rango_Admin_Clas_Total,E$2,MATCH($A8,Rango_Admin_Clas_Primera,0)+1),"-")</f>
        <v>105</v>
      </c>
      <c r="F8" s="98" cm="1">
        <f t="array" aca="1" ref="F8" ca="1">IFERROR(INDEX(Rango_Admin_Clas_Total,F$2,MATCH($A8,Rango_Admin_Clas_Primera,0)+1),"-")</f>
        <v>67</v>
      </c>
      <c r="G8" s="98" cm="1">
        <f t="array" aca="1" ref="G8" ca="1">IFERROR(INDEX(Rango_Admin_Clas_Total,G$2,MATCH($A8,Rango_Admin_Clas_Primera,0)+1),"-")</f>
        <v>64</v>
      </c>
      <c r="H8" s="98" cm="1">
        <f t="array" aca="1" ref="H8" ca="1">IFERROR(INDEX(Rango_Admin_Clas_Total,H$2,MATCH($A8,Rango_Admin_Clas_Primera,0)+1),"-")</f>
        <v>60</v>
      </c>
      <c r="I8" s="98" cm="1">
        <f t="array" aca="1" ref="I8" ca="1">IFERROR(INDEX(Rango_Admin_Clas_Total,I$2,MATCH($A8,Rango_Admin_Clas_Primera,0)+1),"-")</f>
        <v>30</v>
      </c>
      <c r="J8" s="98" cm="1">
        <f t="array" aca="1" ref="J8" ca="1">IFERROR(INDEX(Rango_Admin_Clas_Total,J$2,MATCH($A8,Rango_Admin_Clas_Primera,0)+1),"-")</f>
        <v>7</v>
      </c>
      <c r="K8" s="98" cm="1">
        <f t="array" aca="1" ref="K8" ca="1">IFERROR(INDEX(Rango_Admin_Clas_Total,K$2,MATCH($A8,Rango_Admin_Clas_Primera,0)+1),"-")</f>
        <v>20</v>
      </c>
      <c r="L8" s="98" cm="1">
        <f t="array" aca="1" ref="L8" ca="1">IFERROR(INDEX(Rango_Admin_Clas_Total,L$2,MATCH($A8,Rango_Admin_Clas_Primera,0)+1),"-")</f>
        <v>5</v>
      </c>
      <c r="M8" s="98" cm="1">
        <f t="array" aca="1" ref="M8" ca="1">IFERROR(INDEX(Rango_Admin_Clas_Total,M$2,MATCH($A8,Rango_Admin_Clas_Primera,0)+1),"-")</f>
        <v>24</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12</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45</v>
      </c>
      <c r="T8" s="303"/>
      <c r="U8" s="303"/>
    </row>
    <row r="9" spans="1:21" x14ac:dyDescent="0.2">
      <c r="A9" s="19">
        <f t="shared" si="0"/>
        <v>5</v>
      </c>
      <c r="B9" s="22">
        <f ca="1">IFERROR(HLOOKUP(A9,Rango_Admin_Clas,3,FALSE),"-")</f>
        <v>5</v>
      </c>
      <c r="C9" s="18" t="str">
        <f ca="1">IFERROR(HLOOKUP(A9,Rango_Admin_Clas,5,FALSE),"-")</f>
        <v>LUIS/VIR</v>
      </c>
      <c r="D9" s="97">
        <f ca="1">IFERROR(HLOOKUP(A9,Rango_Admin_Clas,4,FALSE),"-")</f>
        <v>435</v>
      </c>
      <c r="E9" s="98" cm="1">
        <f t="array" aca="1" ref="E9" ca="1">IFERROR(INDEX(Rango_Admin_Clas_Total,E$2,MATCH($A9,Rango_Admin_Clas_Primera,0)+1),"-")</f>
        <v>101</v>
      </c>
      <c r="F9" s="98" cm="1">
        <f t="array" aca="1" ref="F9" ca="1">IFERROR(INDEX(Rango_Admin_Clas_Total,F$2,MATCH($A9,Rango_Admin_Clas_Primera,0)+1),"-")</f>
        <v>77</v>
      </c>
      <c r="G9" s="98" cm="1">
        <f t="array" aca="1" ref="G9" ca="1">IFERROR(INDEX(Rango_Admin_Clas_Total,G$2,MATCH($A9,Rango_Admin_Clas_Primera,0)+1),"-")</f>
        <v>64</v>
      </c>
      <c r="H9" s="98" cm="1">
        <f t="array" aca="1" ref="H9" ca="1">IFERROR(INDEX(Rango_Admin_Clas_Total,H$2,MATCH($A9,Rango_Admin_Clas_Primera,0)+1),"-")</f>
        <v>57</v>
      </c>
      <c r="I9" s="98" cm="1">
        <f t="array" aca="1" ref="I9" ca="1">IFERROR(INDEX(Rango_Admin_Clas_Total,I$2,MATCH($A9,Rango_Admin_Clas_Primera,0)+1),"-")</f>
        <v>42</v>
      </c>
      <c r="J9" s="98" cm="1">
        <f t="array" aca="1" ref="J9" ca="1">IFERROR(INDEX(Rango_Admin_Clas_Total,J$2,MATCH($A9,Rango_Admin_Clas_Primera,0)+1),"-")</f>
        <v>15</v>
      </c>
      <c r="K9" s="98" cm="1">
        <f t="array" aca="1" ref="K9" ca="1">IFERROR(INDEX(Rango_Admin_Clas_Total,K$2,MATCH($A9,Rango_Admin_Clas_Primera,0)+1),"-")</f>
        <v>25</v>
      </c>
      <c r="L9" s="98" cm="1">
        <f t="array" aca="1" ref="L9" ca="1">IFERROR(INDEX(Rango_Admin_Clas_Total,L$2,MATCH($A9,Rango_Admin_Clas_Primera,0)+1),"-")</f>
        <v>0</v>
      </c>
      <c r="M9" s="98" cm="1">
        <f t="array" aca="1" ref="M9" ca="1">IFERROR(INDEX(Rango_Admin_Clas_Total,M$2,MATCH($A9,Rango_Admin_Clas_Primera,0)+1),"-")</f>
        <v>24</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12</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18</v>
      </c>
      <c r="T9" s="303"/>
      <c r="U9" s="303"/>
    </row>
    <row r="10" spans="1:21" x14ac:dyDescent="0.2">
      <c r="A10" s="96"/>
      <c r="B10" s="303"/>
      <c r="C10" s="303"/>
      <c r="D10" s="303"/>
      <c r="E10" s="303"/>
      <c r="F10" s="303"/>
      <c r="G10" s="303"/>
      <c r="H10" s="303"/>
      <c r="I10" s="303"/>
      <c r="J10" s="303"/>
      <c r="K10" s="303"/>
      <c r="L10" s="303"/>
      <c r="M10" s="303"/>
      <c r="N10" s="303"/>
      <c r="O10" s="303"/>
      <c r="P10" s="303"/>
      <c r="Q10" s="303"/>
      <c r="R10" s="303"/>
      <c r="S10" s="303"/>
      <c r="T10" s="303"/>
      <c r="U10" s="303"/>
    </row>
    <row r="11" spans="1:21" x14ac:dyDescent="0.2">
      <c r="A11" s="96"/>
      <c r="B11" s="303"/>
      <c r="C11" s="303"/>
      <c r="D11" s="303"/>
      <c r="E11" s="303"/>
      <c r="F11" s="303"/>
      <c r="G11" s="303"/>
      <c r="H11" s="303"/>
      <c r="I11" s="303"/>
      <c r="J11" s="303"/>
      <c r="K11" s="303"/>
      <c r="L11" s="303"/>
      <c r="M11" s="303"/>
      <c r="N11" s="303"/>
      <c r="O11" s="303"/>
      <c r="P11" s="303"/>
      <c r="Q11" s="303"/>
      <c r="R11" s="303"/>
      <c r="S11" s="303"/>
      <c r="T11" s="303"/>
      <c r="U11" s="303"/>
    </row>
    <row r="12" spans="1:21" x14ac:dyDescent="0.2">
      <c r="A12" s="96"/>
      <c r="B12" s="303"/>
      <c r="C12" s="303"/>
      <c r="D12" s="303"/>
      <c r="E12" s="303"/>
      <c r="F12" s="303"/>
      <c r="G12" s="303"/>
      <c r="H12" s="303"/>
      <c r="I12" s="303"/>
      <c r="J12" s="303"/>
      <c r="K12" s="303"/>
      <c r="L12" s="303"/>
      <c r="M12" s="303"/>
      <c r="N12" s="303"/>
      <c r="O12" s="303"/>
      <c r="P12" s="303"/>
      <c r="Q12" s="303"/>
      <c r="R12" s="303"/>
      <c r="S12" s="303"/>
      <c r="T12" s="303"/>
      <c r="U12" s="303"/>
    </row>
    <row r="13" spans="1:21" ht="16" thickBot="1" x14ac:dyDescent="0.25">
      <c r="A13" s="96"/>
      <c r="B13" s="303"/>
      <c r="C13" s="303"/>
      <c r="D13" s="303"/>
      <c r="E13" s="303"/>
      <c r="F13" s="303"/>
      <c r="G13" s="303"/>
      <c r="H13" s="303"/>
      <c r="I13" s="303"/>
      <c r="J13" s="303"/>
      <c r="K13" s="303"/>
      <c r="L13" s="303"/>
      <c r="M13" s="303"/>
      <c r="N13" s="303"/>
      <c r="O13" s="303"/>
      <c r="P13" s="303"/>
      <c r="Q13" s="303"/>
      <c r="R13" s="303"/>
      <c r="S13" s="303"/>
      <c r="T13" s="303"/>
      <c r="U13" s="303"/>
    </row>
    <row r="14" spans="1:21" x14ac:dyDescent="0.2">
      <c r="A14" s="96"/>
      <c r="B14" s="303"/>
      <c r="C14" s="794"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x14ac:dyDescent="0.2">
      <c r="A15" s="96"/>
      <c r="B15" s="303"/>
      <c r="C15" s="795"/>
      <c r="D15" s="303"/>
      <c r="E15" s="303"/>
      <c r="F15" s="303"/>
      <c r="G15" s="303"/>
      <c r="H15" s="303"/>
      <c r="I15" s="303"/>
      <c r="J15" s="303"/>
      <c r="K15" s="303"/>
      <c r="L15" s="303"/>
      <c r="M15" s="303"/>
      <c r="N15" s="303"/>
      <c r="O15" s="303"/>
      <c r="P15" s="303"/>
      <c r="Q15" s="303"/>
      <c r="R15" s="303"/>
      <c r="S15" s="303"/>
      <c r="T15" s="303"/>
      <c r="U15" s="303"/>
    </row>
    <row r="16" spans="1:21" x14ac:dyDescent="0.2">
      <c r="A16" s="96"/>
      <c r="B16" s="303"/>
      <c r="C16" s="303"/>
      <c r="D16" s="303"/>
      <c r="E16" s="303"/>
      <c r="F16" s="303"/>
      <c r="G16" s="303"/>
      <c r="H16" s="303"/>
      <c r="I16" s="303"/>
      <c r="J16" s="303"/>
      <c r="K16" s="303"/>
      <c r="L16" s="303"/>
      <c r="M16" s="303"/>
      <c r="N16" s="303"/>
      <c r="O16" s="303"/>
      <c r="P16" s="303"/>
      <c r="Q16" s="303"/>
      <c r="R16" s="303"/>
      <c r="S16" s="303"/>
      <c r="T16" s="303"/>
      <c r="U16" s="303"/>
    </row>
    <row r="17" spans="1:21" x14ac:dyDescent="0.2">
      <c r="A17" s="96"/>
      <c r="B17" s="303"/>
      <c r="C17" s="303"/>
      <c r="D17" s="303"/>
      <c r="E17" s="303"/>
      <c r="F17" s="303"/>
      <c r="G17" s="303"/>
      <c r="H17" s="303"/>
      <c r="I17" s="303"/>
      <c r="J17" s="303"/>
      <c r="K17" s="303"/>
      <c r="L17" s="303"/>
      <c r="M17" s="303"/>
      <c r="N17" s="303"/>
      <c r="O17" s="303"/>
      <c r="P17" s="303"/>
      <c r="Q17" s="303"/>
      <c r="R17" s="303"/>
      <c r="S17" s="303"/>
      <c r="T17" s="303"/>
      <c r="U17" s="303"/>
    </row>
    <row r="18" spans="1:21" x14ac:dyDescent="0.2">
      <c r="A18" s="96"/>
      <c r="B18" s="303"/>
      <c r="C18" s="303"/>
      <c r="D18" s="303"/>
      <c r="E18" s="303"/>
      <c r="F18" s="303"/>
      <c r="G18" s="303"/>
      <c r="H18" s="303"/>
      <c r="I18" s="303"/>
      <c r="J18" s="303"/>
      <c r="K18" s="303"/>
      <c r="L18" s="303"/>
      <c r="M18" s="303"/>
      <c r="N18" s="303"/>
      <c r="O18" s="303"/>
      <c r="P18" s="303"/>
      <c r="Q18" s="303"/>
      <c r="R18" s="303"/>
      <c r="S18" s="303"/>
      <c r="T18" s="303"/>
      <c r="U18" s="303"/>
    </row>
    <row r="19" spans="1:21" x14ac:dyDescent="0.2">
      <c r="A19" s="96"/>
      <c r="B19" s="303"/>
      <c r="C19" s="303"/>
      <c r="D19" s="303"/>
      <c r="E19" s="303"/>
      <c r="F19" s="303"/>
      <c r="G19" s="303"/>
      <c r="H19" s="303"/>
      <c r="I19" s="303"/>
      <c r="J19" s="303"/>
      <c r="K19" s="303"/>
      <c r="L19" s="303"/>
      <c r="M19" s="303"/>
      <c r="N19" s="303"/>
      <c r="O19" s="303"/>
      <c r="P19" s="303"/>
      <c r="Q19" s="303"/>
      <c r="R19" s="303"/>
      <c r="S19" s="303"/>
      <c r="T19" s="303"/>
      <c r="U19" s="303"/>
    </row>
    <row r="20" spans="1:21" x14ac:dyDescent="0.2">
      <c r="A20" s="96"/>
      <c r="B20" s="303"/>
      <c r="C20" s="303"/>
      <c r="D20" s="303"/>
      <c r="E20" s="303"/>
      <c r="F20" s="303"/>
      <c r="G20" s="303"/>
      <c r="H20" s="303"/>
      <c r="I20" s="303"/>
      <c r="J20" s="303"/>
      <c r="K20" s="303"/>
      <c r="L20" s="303"/>
      <c r="M20" s="303"/>
      <c r="N20" s="303"/>
      <c r="O20" s="303"/>
      <c r="P20" s="303"/>
      <c r="Q20" s="303"/>
      <c r="R20" s="303"/>
      <c r="S20" s="303"/>
      <c r="T20" s="303"/>
      <c r="U20" s="303"/>
    </row>
    <row r="21" spans="1:21" x14ac:dyDescent="0.2">
      <c r="A21" s="96"/>
      <c r="B21" s="303"/>
      <c r="C21" s="303"/>
      <c r="D21" s="303"/>
      <c r="E21" s="303"/>
      <c r="F21" s="303"/>
      <c r="G21" s="303"/>
      <c r="H21" s="303"/>
      <c r="I21" s="303"/>
      <c r="J21" s="303"/>
      <c r="K21" s="303"/>
      <c r="L21" s="303"/>
      <c r="M21" s="303"/>
      <c r="N21" s="303"/>
      <c r="O21" s="303"/>
      <c r="P21" s="303"/>
      <c r="Q21" s="303"/>
      <c r="R21" s="303"/>
      <c r="S21" s="303"/>
      <c r="T21" s="303"/>
      <c r="U21" s="303"/>
    </row>
    <row r="22" spans="1:21" x14ac:dyDescent="0.2">
      <c r="A22" s="96"/>
      <c r="B22" s="303"/>
      <c r="C22" s="303"/>
      <c r="D22" s="303"/>
      <c r="E22" s="303"/>
      <c r="F22" s="303"/>
      <c r="G22" s="303"/>
      <c r="H22" s="303"/>
      <c r="I22" s="303"/>
      <c r="J22" s="303"/>
      <c r="K22" s="303"/>
      <c r="L22" s="303"/>
      <c r="M22" s="303"/>
      <c r="N22" s="303"/>
      <c r="O22" s="303"/>
      <c r="P22" s="303"/>
      <c r="Q22" s="303"/>
      <c r="R22" s="303"/>
      <c r="S22" s="303"/>
      <c r="T22" s="303"/>
      <c r="U22" s="303"/>
    </row>
    <row r="23" spans="1:21" x14ac:dyDescent="0.2">
      <c r="A23" s="96"/>
      <c r="B23" s="303"/>
      <c r="C23" s="303"/>
      <c r="D23" s="303"/>
      <c r="E23" s="303"/>
      <c r="F23" s="303"/>
      <c r="G23" s="303"/>
      <c r="H23" s="303"/>
      <c r="I23" s="303"/>
      <c r="J23" s="303"/>
      <c r="K23" s="303"/>
      <c r="L23" s="303"/>
      <c r="M23" s="303"/>
      <c r="N23" s="303"/>
      <c r="O23" s="303"/>
      <c r="P23" s="303"/>
      <c r="Q23" s="303"/>
      <c r="R23" s="303"/>
      <c r="S23" s="303"/>
      <c r="T23" s="303"/>
      <c r="U23" s="303"/>
    </row>
    <row r="24" spans="1:21" x14ac:dyDescent="0.2">
      <c r="A24" s="96"/>
      <c r="B24" s="303"/>
      <c r="C24" s="303"/>
      <c r="D24" s="303"/>
      <c r="E24" s="303"/>
      <c r="F24" s="303"/>
      <c r="G24" s="303"/>
      <c r="H24" s="303"/>
      <c r="I24" s="303"/>
      <c r="J24" s="303"/>
      <c r="K24" s="303"/>
      <c r="L24" s="303"/>
      <c r="M24" s="303"/>
      <c r="N24" s="303"/>
      <c r="O24" s="303"/>
      <c r="P24" s="303"/>
      <c r="Q24" s="303"/>
      <c r="R24" s="303"/>
      <c r="S24" s="303"/>
      <c r="T24" s="303"/>
      <c r="U24" s="303"/>
    </row>
    <row r="25" spans="1:21" x14ac:dyDescent="0.2">
      <c r="A25" s="96"/>
      <c r="B25" s="303"/>
      <c r="C25" s="303"/>
      <c r="D25" s="303"/>
      <c r="E25" s="303"/>
      <c r="F25" s="303"/>
      <c r="G25" s="303"/>
      <c r="H25" s="303"/>
      <c r="I25" s="303"/>
      <c r="J25" s="303"/>
      <c r="K25" s="303"/>
      <c r="L25" s="303"/>
      <c r="M25" s="303"/>
      <c r="N25" s="303"/>
      <c r="O25" s="303"/>
      <c r="P25" s="303"/>
      <c r="Q25" s="303"/>
      <c r="R25" s="303"/>
      <c r="S25" s="303"/>
      <c r="T25" s="303"/>
      <c r="U25" s="303"/>
    </row>
    <row r="26" spans="1:21" x14ac:dyDescent="0.2">
      <c r="A26" s="96"/>
      <c r="B26" s="303"/>
      <c r="C26" s="303"/>
      <c r="D26" s="303"/>
      <c r="E26" s="303"/>
      <c r="F26" s="303"/>
      <c r="G26" s="303"/>
      <c r="H26" s="303"/>
      <c r="I26" s="303"/>
      <c r="J26" s="303"/>
      <c r="K26" s="303"/>
      <c r="L26" s="303"/>
      <c r="M26" s="303"/>
      <c r="N26" s="303"/>
      <c r="O26" s="303"/>
      <c r="P26" s="303"/>
      <c r="Q26" s="303"/>
      <c r="R26" s="303"/>
      <c r="S26" s="303"/>
      <c r="T26" s="303"/>
      <c r="U26" s="303"/>
    </row>
    <row r="27" spans="1:21" x14ac:dyDescent="0.2">
      <c r="A27" s="96"/>
      <c r="B27" s="303"/>
      <c r="C27" s="303"/>
      <c r="D27" s="303"/>
      <c r="E27" s="303"/>
      <c r="F27" s="303"/>
      <c r="G27" s="303"/>
      <c r="H27" s="303"/>
      <c r="I27" s="303"/>
      <c r="J27" s="303"/>
      <c r="K27" s="303"/>
      <c r="L27" s="303"/>
      <c r="M27" s="303"/>
      <c r="N27" s="303"/>
      <c r="O27" s="303"/>
      <c r="P27" s="303"/>
      <c r="Q27" s="303"/>
      <c r="R27" s="303"/>
      <c r="S27" s="303"/>
      <c r="T27" s="303"/>
      <c r="U27" s="303"/>
    </row>
    <row r="28" spans="1:21" x14ac:dyDescent="0.2">
      <c r="A28" s="96"/>
      <c r="B28" s="303"/>
      <c r="C28" s="303"/>
      <c r="D28" s="303"/>
      <c r="E28" s="303"/>
      <c r="F28" s="303"/>
      <c r="G28" s="303"/>
      <c r="H28" s="303"/>
      <c r="I28" s="303"/>
      <c r="J28" s="303"/>
      <c r="K28" s="303"/>
      <c r="L28" s="303"/>
      <c r="M28" s="303"/>
      <c r="N28" s="303"/>
      <c r="O28" s="303"/>
      <c r="P28" s="303"/>
      <c r="Q28" s="303"/>
      <c r="R28" s="303"/>
      <c r="S28" s="303"/>
      <c r="T28" s="303"/>
      <c r="U28" s="303"/>
    </row>
    <row r="29" spans="1:21" x14ac:dyDescent="0.2">
      <c r="A29" s="96"/>
      <c r="B29" s="303"/>
      <c r="C29" s="303"/>
      <c r="D29" s="303"/>
      <c r="E29" s="303"/>
      <c r="F29" s="303"/>
      <c r="G29" s="303"/>
      <c r="H29" s="303"/>
      <c r="I29" s="303"/>
      <c r="J29" s="303"/>
      <c r="K29" s="303"/>
      <c r="L29" s="303"/>
      <c r="M29" s="303"/>
      <c r="N29" s="303"/>
      <c r="O29" s="303"/>
      <c r="P29" s="303"/>
      <c r="Q29" s="303"/>
      <c r="R29" s="303"/>
      <c r="S29" s="303"/>
      <c r="T29" s="303"/>
      <c r="U29" s="303"/>
    </row>
    <row r="30" spans="1:21" x14ac:dyDescent="0.2">
      <c r="A30" s="96"/>
      <c r="B30" s="303"/>
      <c r="C30" s="303"/>
      <c r="D30" s="303"/>
      <c r="E30" s="303"/>
      <c r="F30" s="303"/>
      <c r="G30" s="303"/>
      <c r="H30" s="303"/>
      <c r="I30" s="303"/>
      <c r="J30" s="303"/>
      <c r="K30" s="303"/>
      <c r="L30" s="303"/>
      <c r="M30" s="303"/>
      <c r="N30" s="303"/>
      <c r="O30" s="303"/>
      <c r="P30" s="303"/>
      <c r="Q30" s="303"/>
      <c r="R30" s="303"/>
      <c r="S30" s="303"/>
      <c r="T30" s="303"/>
      <c r="U30" s="303"/>
    </row>
    <row r="31" spans="1:21" x14ac:dyDescent="0.2">
      <c r="A31" s="96"/>
      <c r="B31" s="303"/>
      <c r="C31" s="303"/>
      <c r="D31" s="303"/>
      <c r="E31" s="303"/>
      <c r="F31" s="303"/>
      <c r="G31" s="303"/>
      <c r="H31" s="303"/>
      <c r="I31" s="303"/>
      <c r="J31" s="303"/>
      <c r="K31" s="303"/>
      <c r="L31" s="303"/>
      <c r="M31" s="303"/>
      <c r="N31" s="303"/>
      <c r="O31" s="303"/>
      <c r="P31" s="303"/>
      <c r="Q31" s="303"/>
      <c r="R31" s="303"/>
      <c r="S31" s="303"/>
      <c r="T31" s="303"/>
      <c r="U31" s="303"/>
    </row>
    <row r="32" spans="1:21" x14ac:dyDescent="0.2">
      <c r="A32" s="96"/>
      <c r="B32" s="303"/>
      <c r="C32" s="303"/>
      <c r="D32" s="303"/>
      <c r="E32" s="303"/>
      <c r="F32" s="303"/>
      <c r="G32" s="303"/>
      <c r="H32" s="303"/>
      <c r="I32" s="303"/>
      <c r="J32" s="303"/>
      <c r="K32" s="303"/>
      <c r="L32" s="303"/>
      <c r="M32" s="303"/>
      <c r="N32" s="303"/>
      <c r="O32" s="303"/>
      <c r="P32" s="303"/>
      <c r="Q32" s="303"/>
      <c r="R32" s="303"/>
      <c r="S32" s="303"/>
      <c r="T32" s="303"/>
      <c r="U32" s="303"/>
    </row>
    <row r="33" spans="1:21" x14ac:dyDescent="0.2">
      <c r="A33" s="96"/>
      <c r="B33" s="303"/>
      <c r="C33" s="303"/>
      <c r="D33" s="303"/>
      <c r="E33" s="303"/>
      <c r="F33" s="303"/>
      <c r="G33" s="303"/>
      <c r="H33" s="303"/>
      <c r="I33" s="303"/>
      <c r="J33" s="303"/>
      <c r="K33" s="303"/>
      <c r="L33" s="303"/>
      <c r="M33" s="303"/>
      <c r="N33" s="303"/>
      <c r="O33" s="303"/>
      <c r="P33" s="303"/>
      <c r="Q33" s="303"/>
      <c r="R33" s="303"/>
      <c r="S33" s="303"/>
      <c r="T33" s="303"/>
      <c r="U33" s="303"/>
    </row>
    <row r="34" spans="1:21" x14ac:dyDescent="0.2">
      <c r="A34" s="96"/>
      <c r="B34" s="303"/>
      <c r="C34" s="303"/>
      <c r="D34" s="303"/>
      <c r="E34" s="303"/>
      <c r="F34" s="303"/>
      <c r="G34" s="303"/>
      <c r="H34" s="303"/>
      <c r="I34" s="303"/>
      <c r="J34" s="303"/>
      <c r="K34" s="303"/>
      <c r="L34" s="303"/>
      <c r="M34" s="303"/>
      <c r="N34" s="303"/>
      <c r="O34" s="303"/>
      <c r="P34" s="303"/>
      <c r="Q34" s="303"/>
      <c r="R34" s="303"/>
      <c r="S34" s="303"/>
      <c r="T34" s="303"/>
      <c r="U34" s="303"/>
    </row>
    <row r="35" spans="1:21" x14ac:dyDescent="0.2">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5" x14ac:dyDescent="0.2"/>
  <cols>
    <col min="1" max="1" width="27.33203125" style="5" hidden="1" customWidth="1"/>
    <col min="2" max="2" width="38" style="5" hidden="1" customWidth="1"/>
    <col min="3" max="4" width="10.83203125" style="5" hidden="1" customWidth="1"/>
    <col min="5" max="5" width="2.5" style="20" customWidth="1"/>
    <col min="6" max="6" width="25.1640625" style="1" customWidth="1"/>
    <col min="7" max="38" width="25.83203125" style="1" customWidth="1"/>
    <col min="39" max="41" width="10.83203125" style="1" customWidth="1"/>
    <col min="42" max="16384" width="10.83203125" style="1" hidden="1"/>
  </cols>
  <sheetData>
    <row r="1" spans="1:41" ht="40" customHeight="1" thickBot="1" x14ac:dyDescent="0.25">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x14ac:dyDescent="0.2">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 customHeight="1" thickBot="1" x14ac:dyDescent="0.25">
      <c r="E3" s="19"/>
      <c r="F3" s="457" t="str">
        <f>Idiomas!D475</f>
        <v>Nombre</v>
      </c>
      <c r="G3" s="457" t="str" cm="1">
        <f t="array" aca="1" ref="G3:AL3" ca="1">TRANSPOSE($B$4:$B$35)</f>
        <v>México-Sudáfrica
 (1|2-0)</v>
      </c>
      <c r="H3" s="457" t="str">
        <f ca="1"/>
        <v xml:space="preserve">
</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6" thickTop="1" x14ac:dyDescent="0.2">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ref="F4">IFERROR(INDEX(Rango_Admin_DailyPred_Primera,1,E4),"-")</f>
        <v>JUANCHO</v>
      </c>
      <c r="G4" s="437" t="str">
        <f ca="1">IFERROR(VLOOKUP(G$2,Rango_Admin_DailyPred,MATCH($F4,Rango_Admin_DailyPred_Primera,0),0),"-")</f>
        <v>1|2-1</v>
      </c>
      <c r="H4" s="437" t="str">
        <f ca="1">IFERROR(VLOOKUP(H$2,Rango_Admin_DailyPred,MATCH($F4,Rango_Admin_DailyPred_Primera,0),0),"-")</f>
        <v>-</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x14ac:dyDescent="0.2">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14" t="str" cm="1">
        <f t="array" ref="F5">IFERROR(INDEX(Rango_Admin_DailyPred_Primera,1,E5),"-")</f>
        <v>LARRY</v>
      </c>
      <c r="G5" s="437" t="str">
        <f ca="1">IFERROR(VLOOKUP(G$2,Rango_Admin_DailyPred,MATCH($F5,Rango_Admin_DailyPred_Primera,0),0),"-")</f>
        <v>1|1-0</v>
      </c>
      <c r="H5" s="437" t="str">
        <f ca="1">IFERROR(VLOOKUP(H$2,Rango_Admin_DailyPred,MATCH($F5,Rango_Admin_DailyPred_Primera,0),0),"-")</f>
        <v>-</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x14ac:dyDescent="0.2">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LUIS/VIR</v>
      </c>
      <c r="G6" s="437" t="str">
        <f ca="1">IFERROR(VLOOKUP(G$2,Rango_Admin_DailyPred,MATCH($F6,Rango_Admin_DailyPred_Primera,0),0),"-")</f>
        <v>1|2-1</v>
      </c>
      <c r="H6" s="437" t="str">
        <f ca="1">IFERROR(VLOOKUP(H$2,Rango_Admin_DailyPred,MATCH($F6,Rango_Admin_DailyPred_Primera,0),0),"-")</f>
        <v>-</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x14ac:dyDescent="0.2">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MEDINA</v>
      </c>
      <c r="G7" s="437" t="str">
        <f ca="1">IFERROR(VLOOKUP(G$2,Rango_Admin_DailyPred,MATCH($F7,Rango_Admin_DailyPred_Primera,0),0),"-")</f>
        <v>1|2-1</v>
      </c>
      <c r="H7" s="437" t="str">
        <f ca="1">IFERROR(VLOOKUP(H$2,Rango_Admin_DailyPred,MATCH($F7,Rango_Admin_DailyPred_Primera,0),0),"-")</f>
        <v>-</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x14ac:dyDescent="0.2">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VICTOR</v>
      </c>
      <c r="G8" s="437" t="str">
        <f ca="1">IFERROR(VLOOKUP(G$2,Rango_Admin_DailyPred,MATCH($F8,Rango_Admin_DailyPred_Primera,0),0),"-")</f>
        <v>1|2-0</v>
      </c>
      <c r="H8" s="437" t="str">
        <f ca="1">IFERROR(VLOOKUP(H$2,Rango_Admin_DailyPred,MATCH($F8,Rango_Admin_DailyPred_Primera,0),0),"-")</f>
        <v>-</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x14ac:dyDescent="0.2">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x14ac:dyDescent="0.2">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x14ac:dyDescent="0.2">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x14ac:dyDescent="0.2">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x14ac:dyDescent="0.2">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x14ac:dyDescent="0.2">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x14ac:dyDescent="0.2">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x14ac:dyDescent="0.2">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x14ac:dyDescent="0.2">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x14ac:dyDescent="0.2">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x14ac:dyDescent="0.2">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x14ac:dyDescent="0.2">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x14ac:dyDescent="0.2">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x14ac:dyDescent="0.2">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x14ac:dyDescent="0.2">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x14ac:dyDescent="0.2">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x14ac:dyDescent="0.2">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x14ac:dyDescent="0.2">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x14ac:dyDescent="0.2">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x14ac:dyDescent="0.2">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x14ac:dyDescent="0.2">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x14ac:dyDescent="0.2">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x14ac:dyDescent="0.2">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x14ac:dyDescent="0.2">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x14ac:dyDescent="0.2">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x14ac:dyDescent="0.2">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x14ac:dyDescent="0.2">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5" x14ac:dyDescent="0.2"/>
  <cols>
    <col min="1" max="1" width="25.33203125" style="5" hidden="1" customWidth="1"/>
    <col min="2" max="2" width="35.33203125" style="5" hidden="1" customWidth="1"/>
    <col min="3" max="3" width="10.83203125" style="5" hidden="1" customWidth="1"/>
    <col min="4" max="4" width="3.5" style="20" customWidth="1"/>
    <col min="5" max="5" width="4.1640625" style="1" bestFit="1" customWidth="1"/>
    <col min="6" max="6" width="24.6640625" style="1" customWidth="1"/>
    <col min="7" max="39" width="25.83203125" style="1" customWidth="1"/>
    <col min="40" max="40" width="10.83203125" style="1" customWidth="1"/>
    <col min="41" max="16384" width="10.83203125" style="1" hidden="1"/>
  </cols>
  <sheetData>
    <row r="1" spans="1:40" ht="40" customHeight="1" thickBot="1" x14ac:dyDescent="0.25">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x14ac:dyDescent="0.2">
      <c r="D2" s="19"/>
      <c r="E2" s="303"/>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 customHeight="1" thickBot="1" x14ac:dyDescent="0.25">
      <c r="D3" s="19"/>
      <c r="E3" s="457" t="str">
        <f>Idiomas!D479</f>
        <v>Pos</v>
      </c>
      <c r="F3" s="457" t="str">
        <f>Idiomas!D480</f>
        <v>Nombre</v>
      </c>
      <c r="G3" s="457" t="str">
        <f>Idiomas!D481</f>
        <v>Puntos Día / Eliminatoria</v>
      </c>
      <c r="H3" s="457" t="str" cm="1">
        <f t="array" aca="1" ref="H3:AM3" ca="1">TRANSPOSE($B$4:$B$35)</f>
        <v>México-Sudáfrica
 (1|2-0)</v>
      </c>
      <c r="I3" s="457" t="str">
        <f ca="1"/>
        <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6" thickTop="1" x14ac:dyDescent="0.2">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VICTOR</v>
      </c>
      <c r="G4" s="22">
        <f ca="1">IFERROR(HLOOKUP(C4,Rango_Admin_DailyClas,4,FALSE),"-")</f>
        <v>6</v>
      </c>
      <c r="H4" s="437">
        <f ca="1">IFERROR(VLOOKUP(H$2,Rango_Admin_DailyPred,MATCH($F4,Rango_Admin_DailyPred_Primera,0)+1,0),"-")</f>
        <v>6</v>
      </c>
      <c r="I4" s="437" t="str">
        <f ca="1">IFERROR(VLOOKUP(I$2,Rango_Admin_DailyPred,MATCH($F4,Rango_Admin_DailyPred_Primera,0)+1,0),"-")</f>
        <v>-</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x14ac:dyDescent="0.2">
      <c r="A5" s="5" t="str" cm="1">
        <f t="array" aca="1" ref="A5" ca="1">IFERROR(INDEX(ADMIN!$K$6:$K$258,SMALL(IF(ADMIN!$G$6:$G$258=$K$1,ROW(ADMIN!$G$6:$G$258)-ROW(ADMIN!$G$6)+1),ROWS($A$1:A2))),"")</f>
        <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5">
        <v>2</v>
      </c>
      <c r="D5" s="96"/>
      <c r="E5" s="417">
        <f ca="1">IFERROR(HLOOKUP(C5,Rango_Admin_DailyClas,3,FALSE),"-")</f>
        <v>2</v>
      </c>
      <c r="F5" s="456" t="str">
        <f ca="1">IFERROR(HLOOKUP(C5,Rango_Admin_DailyClas,5,FALSE),"-")</f>
        <v>JUANCHO</v>
      </c>
      <c r="G5" s="22">
        <f ca="1">IFERROR(HLOOKUP(C5,Rango_Admin_DailyClas,4,FALSE),"-")</f>
        <v>2</v>
      </c>
      <c r="H5" s="437">
        <f ca="1">IFERROR(VLOOKUP(H$2,Rango_Admin_DailyPred,MATCH($F5,Rango_Admin_DailyPred_Primera,0)+1,0),"-")</f>
        <v>2</v>
      </c>
      <c r="I5" s="437" t="str">
        <f ca="1">IFERROR(VLOOKUP(I$2,Rango_Admin_DailyPred,MATCH($F5,Rango_Admin_DailyPred_Primera,0)+1,0),"-")</f>
        <v>-</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x14ac:dyDescent="0.2">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2</v>
      </c>
      <c r="F6" s="456" t="str">
        <f ca="1">IFERROR(HLOOKUP(C6,Rango_Admin_DailyClas,5,FALSE),"-")</f>
        <v>LARRY</v>
      </c>
      <c r="G6" s="22">
        <f ca="1">IFERROR(HLOOKUP(C6,Rango_Admin_DailyClas,4,FALSE),"-")</f>
        <v>2</v>
      </c>
      <c r="H6" s="437">
        <f ca="1">IFERROR(VLOOKUP(H$2,Rango_Admin_DailyPred,MATCH($F6,Rango_Admin_DailyPred_Primera,0)+1,0),"-")</f>
        <v>2</v>
      </c>
      <c r="I6" s="437" t="str">
        <f ca="1">IFERROR(VLOOKUP(I$2,Rango_Admin_DailyPred,MATCH($F6,Rango_Admin_DailyPred_Primera,0)+1,0),"-")</f>
        <v>-</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x14ac:dyDescent="0.2">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2</v>
      </c>
      <c r="F7" s="456" t="str">
        <f ca="1">IFERROR(HLOOKUP(C7,Rango_Admin_DailyClas,5,FALSE),"-")</f>
        <v>LUIS/VIR</v>
      </c>
      <c r="G7" s="22">
        <f ca="1">IFERROR(HLOOKUP(C7,Rango_Admin_DailyClas,4,FALSE),"-")</f>
        <v>2</v>
      </c>
      <c r="H7" s="437">
        <f ca="1">IFERROR(VLOOKUP(H$2,Rango_Admin_DailyPred,MATCH($F7,Rango_Admin_DailyPred_Primera,0)+1,0),"-")</f>
        <v>2</v>
      </c>
      <c r="I7" s="437" t="str">
        <f ca="1">IFERROR(VLOOKUP(I$2,Rango_Admin_DailyPred,MATCH($F7,Rango_Admin_DailyPred_Primera,0)+1,0),"-")</f>
        <v>-</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x14ac:dyDescent="0.2">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2</v>
      </c>
      <c r="F8" s="456" t="str">
        <f ca="1">IFERROR(HLOOKUP(C8,Rango_Admin_DailyClas,5,FALSE),"-")</f>
        <v>MEDINA</v>
      </c>
      <c r="G8" s="22">
        <f ca="1">IFERROR(HLOOKUP(C8,Rango_Admin_DailyClas,4,FALSE),"-")</f>
        <v>2</v>
      </c>
      <c r="H8" s="437">
        <f ca="1">IFERROR(VLOOKUP(H$2,Rango_Admin_DailyPred,MATCH($F8,Rango_Admin_DailyPred_Primera,0)+1,0),"-")</f>
        <v>2</v>
      </c>
      <c r="I8" s="437" t="str">
        <f ca="1">IFERROR(VLOOKUP(I$2,Rango_Admin_DailyPred,MATCH($F8,Rango_Admin_DailyPred_Primera,0)+1,0),"-")</f>
        <v>-</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x14ac:dyDescent="0.2">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x14ac:dyDescent="0.2">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x14ac:dyDescent="0.2">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x14ac:dyDescent="0.2">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x14ac:dyDescent="0.2">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x14ac:dyDescent="0.2">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x14ac:dyDescent="0.2">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x14ac:dyDescent="0.2">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x14ac:dyDescent="0.2">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x14ac:dyDescent="0.2">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x14ac:dyDescent="0.2">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x14ac:dyDescent="0.2">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x14ac:dyDescent="0.2">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x14ac:dyDescent="0.2">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x14ac:dyDescent="0.2">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x14ac:dyDescent="0.2">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x14ac:dyDescent="0.2">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x14ac:dyDescent="0.2">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x14ac:dyDescent="0.2">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x14ac:dyDescent="0.2">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x14ac:dyDescent="0.2">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x14ac:dyDescent="0.2">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x14ac:dyDescent="0.2">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x14ac:dyDescent="0.2">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x14ac:dyDescent="0.2">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x14ac:dyDescent="0.2">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x14ac:dyDescent="0.2">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5" x14ac:dyDescent="0.2"/>
  <cols>
    <col min="4" max="4" width="19.6640625" customWidth="1"/>
    <col min="7" max="7" width="17.33203125" style="9" bestFit="1" customWidth="1"/>
    <col min="8" max="8" width="13" style="9" bestFit="1" customWidth="1"/>
    <col min="9" max="10" width="13" bestFit="1" customWidth="1"/>
    <col min="11" max="12" width="12.33203125" bestFit="1" customWidth="1"/>
  </cols>
  <sheetData>
    <row r="1" spans="1:12" x14ac:dyDescent="0.2">
      <c r="A1" s="11"/>
      <c r="B1" s="11"/>
      <c r="C1" s="11"/>
      <c r="D1" s="11"/>
      <c r="E1" s="11"/>
      <c r="F1" s="11"/>
      <c r="G1" s="11"/>
      <c r="H1" s="11"/>
      <c r="I1" s="11"/>
    </row>
    <row r="2" spans="1:12" x14ac:dyDescent="0.2">
      <c r="A2" s="11" t="s">
        <v>216</v>
      </c>
      <c r="B2" s="11">
        <f>IF(Home!$C$6=Idiomas!A2,1,0)</f>
        <v>1</v>
      </c>
      <c r="C2" s="11"/>
      <c r="D2" s="11"/>
      <c r="E2" s="11"/>
      <c r="F2" s="11"/>
      <c r="G2" s="11"/>
      <c r="H2" s="11"/>
      <c r="I2" s="11"/>
    </row>
    <row r="3" spans="1:12" x14ac:dyDescent="0.2">
      <c r="A3" s="11" t="s">
        <v>348</v>
      </c>
      <c r="B3" s="11">
        <f>IF(Home!$C$6=Idiomas!A3,1,0)</f>
        <v>0</v>
      </c>
      <c r="C3" s="11"/>
      <c r="D3" s="11"/>
      <c r="E3" s="11" t="s">
        <v>174</v>
      </c>
      <c r="F3" s="11" t="s">
        <v>176</v>
      </c>
      <c r="G3" s="11" t="s">
        <v>216</v>
      </c>
      <c r="H3" s="11" t="s">
        <v>184</v>
      </c>
      <c r="I3" s="11"/>
    </row>
    <row r="4" spans="1:12" x14ac:dyDescent="0.2">
      <c r="A4" s="11"/>
      <c r="B4" s="11"/>
      <c r="C4" s="11"/>
      <c r="D4" s="11" t="str">
        <f>IF($B$2,G4,H4)</f>
        <v>Introducir resultados</v>
      </c>
      <c r="E4" s="11" t="s">
        <v>21</v>
      </c>
      <c r="F4" s="11" t="s">
        <v>177</v>
      </c>
      <c r="G4" s="11" t="s">
        <v>175</v>
      </c>
      <c r="H4" s="11" t="s">
        <v>187</v>
      </c>
      <c r="I4" s="11"/>
    </row>
    <row r="5" spans="1:12" x14ac:dyDescent="0.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x14ac:dyDescent="0.2">
      <c r="A6" s="11"/>
      <c r="B6" s="777"/>
      <c r="C6" s="11"/>
      <c r="D6" s="11" t="str">
        <f t="shared" si="0"/>
        <v>Predictor Equipos</v>
      </c>
      <c r="E6" s="11"/>
      <c r="F6" s="11"/>
      <c r="G6" s="696" t="s">
        <v>1297</v>
      </c>
      <c r="H6" s="696" t="s">
        <v>1298</v>
      </c>
      <c r="I6" s="11"/>
    </row>
    <row r="7" spans="1:12" x14ac:dyDescent="0.2">
      <c r="A7" s="11"/>
      <c r="B7" s="11"/>
      <c r="C7" s="11"/>
      <c r="D7" s="11" t="str">
        <f t="shared" si="0"/>
        <v>Selecciona idioma</v>
      </c>
      <c r="E7" s="11" t="s">
        <v>21</v>
      </c>
      <c r="F7" s="11" t="s">
        <v>347</v>
      </c>
      <c r="G7" s="11" t="s">
        <v>1308</v>
      </c>
      <c r="H7" s="11" t="s">
        <v>1309</v>
      </c>
      <c r="I7" s="11"/>
    </row>
    <row r="8" spans="1:12" x14ac:dyDescent="0.2">
      <c r="A8" s="11"/>
      <c r="B8" s="11"/>
      <c r="C8" s="11"/>
      <c r="D8" s="11" t="str">
        <f t="shared" si="0"/>
        <v>XXIII Mundial USA/MEX/CAN 2026</v>
      </c>
      <c r="E8" s="11" t="s">
        <v>21</v>
      </c>
      <c r="F8" s="11" t="s">
        <v>349</v>
      </c>
      <c r="G8" s="11" t="s">
        <v>494</v>
      </c>
      <c r="H8" s="11" t="s">
        <v>495</v>
      </c>
      <c r="I8" s="11"/>
    </row>
    <row r="9" spans="1:12" x14ac:dyDescent="0.2">
      <c r="A9" s="11"/>
      <c r="B9" s="11"/>
      <c r="C9" s="11"/>
      <c r="D9" s="11" t="str">
        <f t="shared" si="0"/>
        <v>Versiones para más participantes</v>
      </c>
      <c r="E9" s="11" t="s">
        <v>21</v>
      </c>
      <c r="F9" s="11" t="s">
        <v>350</v>
      </c>
      <c r="G9" s="11" t="s">
        <v>1575</v>
      </c>
      <c r="H9" s="11" t="s">
        <v>1576</v>
      </c>
      <c r="I9" s="11"/>
    </row>
    <row r="10" spans="1:12" x14ac:dyDescent="0.2">
      <c r="A10" s="11"/>
      <c r="B10" s="11"/>
      <c r="C10" s="11"/>
      <c r="D10" s="11" t="str">
        <f t="shared" si="0"/>
        <v>https://matejero.es/administrador-excel-mundial-2026/</v>
      </c>
      <c r="E10" s="11" t="s">
        <v>21</v>
      </c>
      <c r="F10" s="11" t="s">
        <v>434</v>
      </c>
      <c r="G10" s="11" t="s">
        <v>1921</v>
      </c>
      <c r="H10" s="11" t="s">
        <v>1922</v>
      </c>
      <c r="I10" s="11"/>
    </row>
    <row r="11" spans="1:12" x14ac:dyDescent="0.2">
      <c r="A11" s="11"/>
      <c r="B11" s="11"/>
      <c r="C11" s="11"/>
      <c r="D11" s="11" t="str">
        <f t="shared" si="0"/>
        <v>Si en la hoja WorldCup no ves las banderas, puedes usar el otro archivo que venia en el .zip</v>
      </c>
      <c r="E11" s="11"/>
      <c r="F11" s="11"/>
      <c r="G11" s="11" t="s">
        <v>1338</v>
      </c>
      <c r="H11" s="11" t="s">
        <v>1337</v>
      </c>
      <c r="I11" s="11"/>
    </row>
    <row r="12" spans="1:12" x14ac:dyDescent="0.2">
      <c r="A12" s="11"/>
      <c r="B12" s="11"/>
      <c r="C12" s="11"/>
      <c r="D12" s="11" t="str">
        <f t="shared" si="0"/>
        <v>Donar</v>
      </c>
      <c r="E12" s="11"/>
      <c r="F12" s="11"/>
      <c r="G12" s="11" t="s">
        <v>1313</v>
      </c>
      <c r="H12" s="11" t="s">
        <v>1312</v>
      </c>
      <c r="I12" s="11"/>
    </row>
    <row r="13" spans="1:12" x14ac:dyDescent="0.2">
      <c r="A13" s="11"/>
      <c r="B13" s="11"/>
      <c r="C13" s="11"/>
      <c r="D13" s="11" t="str">
        <f t="shared" si="0"/>
        <v>https://matejero.es/faq-porra-mundial-2026-excel/</v>
      </c>
      <c r="E13" s="11"/>
      <c r="F13" s="11"/>
      <c r="G13" s="11" t="s">
        <v>1920</v>
      </c>
      <c r="H13" s="11" t="s">
        <v>1919</v>
      </c>
      <c r="I13" s="11"/>
    </row>
    <row r="14" spans="1:12" x14ac:dyDescent="0.2">
      <c r="A14" s="11"/>
      <c r="B14" s="777"/>
      <c r="C14" s="11"/>
      <c r="D14" s="11"/>
      <c r="E14" s="11"/>
      <c r="F14" s="11"/>
      <c r="G14" s="11"/>
      <c r="H14" s="11"/>
      <c r="I14" s="11"/>
    </row>
    <row r="15" spans="1:12" x14ac:dyDescent="0.2">
      <c r="A15" s="11"/>
      <c r="B15" s="11"/>
      <c r="C15" s="11"/>
      <c r="D15" s="11" t="str">
        <f t="shared" ref="D15:D68" si="1">IF($B$2,G15,H15)</f>
        <v>Selecciona horario</v>
      </c>
      <c r="E15" s="11" t="s">
        <v>480</v>
      </c>
      <c r="F15" s="11" t="s">
        <v>116</v>
      </c>
      <c r="G15" s="11" t="s">
        <v>1307</v>
      </c>
      <c r="H15" s="11" t="s">
        <v>1306</v>
      </c>
      <c r="I15" s="11"/>
    </row>
    <row r="16" spans="1:12" x14ac:dyDescent="0.2">
      <c r="A16" s="11"/>
      <c r="B16" s="11"/>
      <c r="C16" s="11"/>
      <c r="D16" s="11" t="str">
        <f t="shared" si="1"/>
        <v>Fecha</v>
      </c>
      <c r="E16" s="11" t="s">
        <v>480</v>
      </c>
      <c r="F16" s="11" t="s">
        <v>129</v>
      </c>
      <c r="G16" s="11" t="s">
        <v>10</v>
      </c>
      <c r="H16" s="11" t="s">
        <v>217</v>
      </c>
      <c r="I16" s="11"/>
    </row>
    <row r="17" spans="1:9" x14ac:dyDescent="0.2">
      <c r="A17" s="11"/>
      <c r="B17" s="11"/>
      <c r="C17" s="11"/>
      <c r="D17" s="11" t="str">
        <f t="shared" si="1"/>
        <v>Hora</v>
      </c>
      <c r="E17" s="11" t="s">
        <v>480</v>
      </c>
      <c r="F17" s="11" t="s">
        <v>180</v>
      </c>
      <c r="G17" s="11" t="s">
        <v>29</v>
      </c>
      <c r="H17" s="11" t="s">
        <v>183</v>
      </c>
      <c r="I17" s="11"/>
    </row>
    <row r="18" spans="1:9" x14ac:dyDescent="0.2">
      <c r="A18" s="11"/>
      <c r="B18" s="11"/>
      <c r="C18" s="11"/>
      <c r="D18" s="11" t="str">
        <f t="shared" si="1"/>
        <v>Jor.</v>
      </c>
      <c r="E18" s="11" t="s">
        <v>480</v>
      </c>
      <c r="F18" s="11" t="s">
        <v>181</v>
      </c>
      <c r="G18" s="11" t="s">
        <v>31</v>
      </c>
      <c r="H18" s="11" t="s">
        <v>185</v>
      </c>
      <c r="I18" s="11"/>
    </row>
    <row r="19" spans="1:9" x14ac:dyDescent="0.2">
      <c r="A19" s="11"/>
      <c r="B19" s="11"/>
      <c r="C19" s="11"/>
      <c r="D19" s="11" t="str">
        <f t="shared" si="1"/>
        <v>Casa</v>
      </c>
      <c r="E19" s="11" t="s">
        <v>480</v>
      </c>
      <c r="F19" s="11" t="s">
        <v>182</v>
      </c>
      <c r="G19" s="11" t="s">
        <v>15</v>
      </c>
      <c r="H19" s="11" t="s">
        <v>186</v>
      </c>
      <c r="I19" s="11"/>
    </row>
    <row r="20" spans="1:9" x14ac:dyDescent="0.2">
      <c r="A20" s="11"/>
      <c r="B20" s="11"/>
      <c r="C20" s="11"/>
      <c r="D20" s="11" t="str">
        <f t="shared" si="1"/>
        <v>Gol</v>
      </c>
      <c r="E20" s="11" t="s">
        <v>480</v>
      </c>
      <c r="F20" s="11" t="s">
        <v>188</v>
      </c>
      <c r="G20" s="11" t="s">
        <v>17</v>
      </c>
      <c r="H20" s="11" t="s">
        <v>189</v>
      </c>
      <c r="I20" s="11"/>
    </row>
    <row r="21" spans="1:9" x14ac:dyDescent="0.2">
      <c r="A21" s="11"/>
      <c r="B21" s="11"/>
      <c r="C21" s="11"/>
      <c r="D21" s="11" t="str">
        <f t="shared" si="1"/>
        <v>Fuera</v>
      </c>
      <c r="E21" s="11" t="s">
        <v>480</v>
      </c>
      <c r="F21" s="11" t="s">
        <v>190</v>
      </c>
      <c r="G21" s="11" t="s">
        <v>16</v>
      </c>
      <c r="H21" s="11" t="s">
        <v>191</v>
      </c>
      <c r="I21" s="11"/>
    </row>
    <row r="22" spans="1:9" x14ac:dyDescent="0.2">
      <c r="A22" s="11"/>
      <c r="B22" s="11"/>
      <c r="C22" s="11"/>
      <c r="D22" s="11" t="str">
        <f t="shared" si="1"/>
        <v>Grupo</v>
      </c>
      <c r="E22" s="11" t="s">
        <v>480</v>
      </c>
      <c r="F22" s="11" t="s">
        <v>192</v>
      </c>
      <c r="G22" s="11" t="s">
        <v>71</v>
      </c>
      <c r="H22" s="11" t="s">
        <v>193</v>
      </c>
      <c r="I22" s="11"/>
    </row>
    <row r="23" spans="1:9" x14ac:dyDescent="0.2">
      <c r="A23" s="11"/>
      <c r="B23" s="11"/>
      <c r="C23" s="11"/>
      <c r="D23" s="11" t="str">
        <f t="shared" si="1"/>
        <v>¡EMPATE! Puedes seleccionar el orden de los empatados.</v>
      </c>
      <c r="E23" s="11" t="s">
        <v>480</v>
      </c>
      <c r="F23" s="11" t="s">
        <v>194</v>
      </c>
      <c r="G23" s="11" t="s">
        <v>22</v>
      </c>
      <c r="H23" s="11" t="s">
        <v>224</v>
      </c>
      <c r="I23" s="11"/>
    </row>
    <row r="24" spans="1:9" x14ac:dyDescent="0.2">
      <c r="A24" s="11"/>
      <c r="B24" s="11"/>
      <c r="C24" s="11"/>
      <c r="D24" s="11" t="str">
        <f t="shared" si="1"/>
        <v>Mejores terceros</v>
      </c>
      <c r="E24" s="11" t="s">
        <v>480</v>
      </c>
      <c r="F24" s="11" t="s">
        <v>195</v>
      </c>
      <c r="G24" s="11" t="s">
        <v>67</v>
      </c>
      <c r="H24" s="11" t="s">
        <v>225</v>
      </c>
      <c r="I24" s="11"/>
    </row>
    <row r="25" spans="1:9" x14ac:dyDescent="0.2">
      <c r="A25" s="11"/>
      <c r="B25" s="11"/>
      <c r="C25" s="11"/>
      <c r="D25" s="11" t="str">
        <f t="shared" si="1"/>
        <v>Dieciseisavos de final</v>
      </c>
      <c r="E25" s="11" t="s">
        <v>480</v>
      </c>
      <c r="F25" s="11"/>
      <c r="G25" s="11" t="s">
        <v>481</v>
      </c>
      <c r="H25" s="11" t="s">
        <v>482</v>
      </c>
      <c r="I25" s="11"/>
    </row>
    <row r="26" spans="1:9" x14ac:dyDescent="0.2">
      <c r="A26" s="11"/>
      <c r="B26" s="11"/>
      <c r="C26" s="11"/>
      <c r="D26" s="11" t="str">
        <f t="shared" si="1"/>
        <v>Octavos de final</v>
      </c>
      <c r="E26" s="11" t="s">
        <v>480</v>
      </c>
      <c r="F26" s="11" t="s">
        <v>196</v>
      </c>
      <c r="G26" s="11" t="s">
        <v>87</v>
      </c>
      <c r="H26" s="11" t="s">
        <v>218</v>
      </c>
      <c r="I26" s="11"/>
    </row>
    <row r="27" spans="1:9" x14ac:dyDescent="0.2">
      <c r="A27" s="11"/>
      <c r="B27" s="11"/>
      <c r="C27" s="11"/>
      <c r="D27" s="11" t="str">
        <f t="shared" si="1"/>
        <v>Cuartos de final</v>
      </c>
      <c r="E27" s="11" t="s">
        <v>480</v>
      </c>
      <c r="F27" s="11" t="s">
        <v>197</v>
      </c>
      <c r="G27" s="11" t="s">
        <v>69</v>
      </c>
      <c r="H27" s="11" t="s">
        <v>219</v>
      </c>
      <c r="I27" s="11"/>
    </row>
    <row r="28" spans="1:9" x14ac:dyDescent="0.2">
      <c r="A28" s="11"/>
      <c r="B28" s="11"/>
      <c r="C28" s="11"/>
      <c r="D28" s="11" t="str">
        <f t="shared" si="1"/>
        <v>Semifinales</v>
      </c>
      <c r="E28" s="11" t="s">
        <v>480</v>
      </c>
      <c r="F28" s="11" t="s">
        <v>198</v>
      </c>
      <c r="G28" s="11" t="s">
        <v>36</v>
      </c>
      <c r="H28" s="11" t="s">
        <v>220</v>
      </c>
      <c r="I28" s="11"/>
    </row>
    <row r="29" spans="1:9" x14ac:dyDescent="0.2">
      <c r="A29" s="11"/>
      <c r="B29" s="11"/>
      <c r="C29" s="11"/>
      <c r="D29" s="11" t="str">
        <f t="shared" si="1"/>
        <v>3º y 4º puesto</v>
      </c>
      <c r="E29" s="11" t="s">
        <v>480</v>
      </c>
      <c r="F29" s="11"/>
      <c r="G29" s="11" t="s">
        <v>491</v>
      </c>
      <c r="H29" s="11" t="s">
        <v>492</v>
      </c>
      <c r="I29" s="11"/>
    </row>
    <row r="30" spans="1:9" x14ac:dyDescent="0.2">
      <c r="A30" s="11"/>
      <c r="B30" s="11"/>
      <c r="C30" s="11"/>
      <c r="D30" s="11" t="str">
        <f t="shared" si="1"/>
        <v>Final</v>
      </c>
      <c r="E30" s="11" t="s">
        <v>480</v>
      </c>
      <c r="F30" s="11" t="s">
        <v>199</v>
      </c>
      <c r="G30" s="11" t="s">
        <v>37</v>
      </c>
      <c r="H30" s="11" t="s">
        <v>37</v>
      </c>
      <c r="I30" s="11"/>
    </row>
    <row r="31" spans="1:9" x14ac:dyDescent="0.2">
      <c r="A31" s="11"/>
      <c r="B31" s="11"/>
      <c r="C31" s="11"/>
      <c r="D31" s="11" t="str">
        <f t="shared" si="1"/>
        <v>Cuadro de honor</v>
      </c>
      <c r="E31" s="11" t="s">
        <v>480</v>
      </c>
      <c r="F31" s="11" t="s">
        <v>200</v>
      </c>
      <c r="G31" s="11" t="s">
        <v>1310</v>
      </c>
      <c r="H31" s="11" t="s">
        <v>1311</v>
      </c>
      <c r="I31" s="11"/>
    </row>
    <row r="32" spans="1:9" x14ac:dyDescent="0.2">
      <c r="A32" s="11"/>
      <c r="B32" s="11"/>
      <c r="C32" s="11"/>
      <c r="D32" s="11" t="str">
        <f t="shared" si="1"/>
        <v>Campeón</v>
      </c>
      <c r="E32" s="11" t="s">
        <v>480</v>
      </c>
      <c r="F32" s="11" t="s">
        <v>201</v>
      </c>
      <c r="G32" s="11" t="s">
        <v>18</v>
      </c>
      <c r="H32" s="11" t="s">
        <v>222</v>
      </c>
      <c r="I32" s="11"/>
    </row>
    <row r="33" spans="1:9" x14ac:dyDescent="0.2">
      <c r="A33" s="11"/>
      <c r="B33" s="11"/>
      <c r="C33" s="11"/>
      <c r="D33" s="11" t="str">
        <f t="shared" si="1"/>
        <v>Subcampeón</v>
      </c>
      <c r="E33" s="11" t="s">
        <v>480</v>
      </c>
      <c r="F33" s="11" t="s">
        <v>202</v>
      </c>
      <c r="G33" s="11" t="s">
        <v>19</v>
      </c>
      <c r="H33" s="11" t="s">
        <v>223</v>
      </c>
      <c r="I33" s="11"/>
    </row>
    <row r="34" spans="1:9" x14ac:dyDescent="0.2">
      <c r="A34" s="11"/>
      <c r="B34" s="11"/>
      <c r="C34" s="11"/>
      <c r="D34" s="11" t="str">
        <f t="shared" si="1"/>
        <v>3º puesto</v>
      </c>
      <c r="E34" s="11" t="s">
        <v>480</v>
      </c>
      <c r="F34" s="11"/>
      <c r="G34" s="11" t="s">
        <v>1234</v>
      </c>
      <c r="H34" s="11" t="s">
        <v>1235</v>
      </c>
      <c r="I34" s="11"/>
    </row>
    <row r="35" spans="1:9" x14ac:dyDescent="0.2">
      <c r="A35" s="11"/>
      <c r="B35" s="11"/>
      <c r="C35" s="11"/>
      <c r="D35" s="11" t="str">
        <f t="shared" si="1"/>
        <v>Bota de Oro  (máximo goleador)</v>
      </c>
      <c r="E35" s="11" t="s">
        <v>480</v>
      </c>
      <c r="F35" s="11" t="s">
        <v>203</v>
      </c>
      <c r="G35" s="8" t="s">
        <v>499</v>
      </c>
      <c r="H35" s="11" t="s">
        <v>505</v>
      </c>
      <c r="I35" s="11"/>
    </row>
    <row r="36" spans="1:9" x14ac:dyDescent="0.2">
      <c r="A36" s="11"/>
      <c r="B36" s="11"/>
      <c r="C36" s="11"/>
      <c r="D36" s="11" t="str">
        <f t="shared" si="1"/>
        <v>Bota de Plata (2º máximo goleador)</v>
      </c>
      <c r="E36" s="11" t="s">
        <v>480</v>
      </c>
      <c r="F36" s="11" t="s">
        <v>204</v>
      </c>
      <c r="G36" s="8" t="s">
        <v>500</v>
      </c>
      <c r="H36" s="11" t="s">
        <v>506</v>
      </c>
      <c r="I36" s="11"/>
    </row>
    <row r="37" spans="1:9" x14ac:dyDescent="0.2">
      <c r="A37" s="11"/>
      <c r="B37" s="11"/>
      <c r="C37" s="11"/>
      <c r="D37" s="11" t="str">
        <f t="shared" si="1"/>
        <v>Bota de Bronce (3º máximo goleador)</v>
      </c>
      <c r="E37" s="11"/>
      <c r="F37" s="11"/>
      <c r="G37" s="8" t="s">
        <v>501</v>
      </c>
      <c r="H37" s="11" t="s">
        <v>507</v>
      </c>
      <c r="I37" s="11"/>
    </row>
    <row r="38" spans="1:9" x14ac:dyDescent="0.2">
      <c r="A38" s="11"/>
      <c r="B38" s="11"/>
      <c r="C38" s="11"/>
      <c r="D38" s="11" t="str">
        <f t="shared" si="1"/>
        <v>Balón de Oro  (mejor jugador)</v>
      </c>
      <c r="E38" s="11"/>
      <c r="F38" s="11"/>
      <c r="G38" s="8" t="s">
        <v>502</v>
      </c>
      <c r="H38" s="11" t="s">
        <v>508</v>
      </c>
      <c r="I38" s="11"/>
    </row>
    <row r="39" spans="1:9" x14ac:dyDescent="0.2">
      <c r="A39" s="11"/>
      <c r="B39" s="11"/>
      <c r="C39" s="11"/>
      <c r="D39" s="11" t="str">
        <f t="shared" si="1"/>
        <v>Balón de Plata (2º mejor jugador)</v>
      </c>
      <c r="E39" s="11"/>
      <c r="F39" s="11"/>
      <c r="G39" s="8" t="s">
        <v>503</v>
      </c>
      <c r="H39" s="11" t="s">
        <v>509</v>
      </c>
      <c r="I39" s="11"/>
    </row>
    <row r="40" spans="1:9" x14ac:dyDescent="0.2">
      <c r="A40" s="11"/>
      <c r="B40" s="11"/>
      <c r="C40" s="11"/>
      <c r="D40" s="11" t="str">
        <f t="shared" si="1"/>
        <v>Balón de Bronce (3º mejor jugador)</v>
      </c>
      <c r="E40" s="11"/>
      <c r="F40" s="11"/>
      <c r="G40" s="8" t="s">
        <v>504</v>
      </c>
      <c r="H40" s="11" t="s">
        <v>1747</v>
      </c>
      <c r="I40" s="11"/>
    </row>
    <row r="41" spans="1:9" x14ac:dyDescent="0.2">
      <c r="A41" s="11"/>
      <c r="B41" s="11"/>
      <c r="C41" s="11"/>
      <c r="D41" s="11" t="str">
        <f t="shared" si="1"/>
        <v>Escribe el jugador Bota de Oro</v>
      </c>
      <c r="E41" s="11" t="s">
        <v>480</v>
      </c>
      <c r="F41" s="11" t="s">
        <v>205</v>
      </c>
      <c r="G41" s="8" t="s">
        <v>1740</v>
      </c>
      <c r="H41" s="11" t="s">
        <v>1746</v>
      </c>
      <c r="I41" s="11"/>
    </row>
    <row r="42" spans="1:9" x14ac:dyDescent="0.2">
      <c r="A42" s="11"/>
      <c r="B42" s="11"/>
      <c r="C42" s="11"/>
      <c r="D42" s="11" t="str">
        <f t="shared" si="1"/>
        <v>Escribe el jugador Bota de Plata</v>
      </c>
      <c r="E42" s="11" t="s">
        <v>480</v>
      </c>
      <c r="F42" s="11" t="s">
        <v>206</v>
      </c>
      <c r="G42" s="8" t="s">
        <v>1741</v>
      </c>
      <c r="H42" s="11" t="s">
        <v>1749</v>
      </c>
      <c r="I42" s="11"/>
    </row>
    <row r="43" spans="1:9" x14ac:dyDescent="0.2">
      <c r="A43" s="11"/>
      <c r="B43" s="11"/>
      <c r="C43" s="11"/>
      <c r="D43" s="11" t="str">
        <f t="shared" si="1"/>
        <v>Escribe el jugador Bota de Bronce</v>
      </c>
      <c r="E43" s="11"/>
      <c r="F43" s="11"/>
      <c r="G43" s="8" t="s">
        <v>1742</v>
      </c>
      <c r="H43" s="11" t="s">
        <v>1750</v>
      </c>
      <c r="I43" s="11"/>
    </row>
    <row r="44" spans="1:9" x14ac:dyDescent="0.2">
      <c r="A44" s="11"/>
      <c r="B44" s="11"/>
      <c r="C44" s="11"/>
      <c r="D44" s="11" t="str">
        <f t="shared" si="1"/>
        <v>Escribe el jugador Balón de Oro</v>
      </c>
      <c r="E44" s="11"/>
      <c r="F44" s="11"/>
      <c r="G44" s="8" t="s">
        <v>1743</v>
      </c>
      <c r="H44" s="11" t="s">
        <v>1751</v>
      </c>
      <c r="I44" s="11"/>
    </row>
    <row r="45" spans="1:9" x14ac:dyDescent="0.2">
      <c r="A45" s="11"/>
      <c r="B45" s="11"/>
      <c r="C45" s="11"/>
      <c r="D45" s="11" t="str">
        <f t="shared" si="1"/>
        <v>Escribe el jugador Balón de Plata</v>
      </c>
      <c r="E45" s="11"/>
      <c r="F45" s="11"/>
      <c r="G45" s="8" t="s">
        <v>1744</v>
      </c>
      <c r="H45" s="11" t="s">
        <v>1752</v>
      </c>
      <c r="I45" s="11"/>
    </row>
    <row r="46" spans="1:9" x14ac:dyDescent="0.2">
      <c r="A46" s="11"/>
      <c r="B46" s="11"/>
      <c r="C46" s="11"/>
      <c r="D46" s="11" t="str">
        <f t="shared" si="1"/>
        <v>Escribe el jugador Balón de Bronce</v>
      </c>
      <c r="E46" s="11"/>
      <c r="F46" s="11"/>
      <c r="G46" s="8" t="s">
        <v>1745</v>
      </c>
      <c r="H46" s="11" t="s">
        <v>1748</v>
      </c>
      <c r="I46" s="11"/>
    </row>
    <row r="47" spans="1:9" x14ac:dyDescent="0.2">
      <c r="A47" s="11"/>
      <c r="B47" s="11"/>
      <c r="C47" s="11"/>
      <c r="D47" s="11" t="str">
        <f t="shared" si="1"/>
        <v>NombreGrupo</v>
      </c>
      <c r="E47" s="11" t="s">
        <v>186</v>
      </c>
      <c r="F47" s="11" t="s">
        <v>207</v>
      </c>
      <c r="G47" s="11" t="s">
        <v>1900</v>
      </c>
      <c r="H47" s="11" t="s">
        <v>1901</v>
      </c>
      <c r="I47" s="11"/>
    </row>
    <row r="48" spans="1:9" x14ac:dyDescent="0.2">
      <c r="A48" s="11"/>
      <c r="B48" s="11"/>
      <c r="C48" s="11"/>
      <c r="D48" s="11" t="str">
        <f t="shared" si="1"/>
        <v>Escribe el nombre del grupo</v>
      </c>
      <c r="E48" s="11" t="s">
        <v>1907</v>
      </c>
      <c r="F48" s="11" t="s">
        <v>208</v>
      </c>
      <c r="G48" s="11" t="s">
        <v>1856</v>
      </c>
      <c r="H48" s="11" t="s">
        <v>1857</v>
      </c>
      <c r="I48" s="11"/>
    </row>
    <row r="49" spans="1:11" x14ac:dyDescent="0.2">
      <c r="A49" s="11"/>
      <c r="B49" s="11"/>
      <c r="C49" s="11"/>
      <c r="D49" s="11" t="str">
        <f t="shared" si="1"/>
        <v>MUNDIAL EN CURSO</v>
      </c>
      <c r="E49" s="11" t="s">
        <v>480</v>
      </c>
      <c r="F49" s="11" t="s">
        <v>209</v>
      </c>
      <c r="G49" s="11" t="s">
        <v>1909</v>
      </c>
      <c r="H49" s="11" t="s">
        <v>1908</v>
      </c>
      <c r="I49" s="11"/>
    </row>
    <row r="50" spans="1:11" x14ac:dyDescent="0.2">
      <c r="A50" s="11"/>
      <c r="B50" s="11"/>
      <c r="C50" s="11"/>
      <c r="D50" s="11" t="str">
        <f t="shared" si="1"/>
        <v>Todavía hay emoción</v>
      </c>
      <c r="E50" s="11" t="s">
        <v>480</v>
      </c>
      <c r="F50" s="11" t="s">
        <v>210</v>
      </c>
      <c r="G50" s="11" t="s">
        <v>1912</v>
      </c>
      <c r="H50" s="11" t="s">
        <v>1913</v>
      </c>
      <c r="I50" s="11"/>
    </row>
    <row r="51" spans="1:11" x14ac:dyDescent="0.2">
      <c r="A51" s="11"/>
      <c r="B51" s="11"/>
      <c r="C51" s="11"/>
      <c r="D51" s="11" t="str">
        <f t="shared" si="1"/>
        <v>MUNDIAL FINALIZADO</v>
      </c>
      <c r="E51" s="11" t="s">
        <v>480</v>
      </c>
      <c r="F51" s="11" t="s">
        <v>211</v>
      </c>
      <c r="G51" s="11" t="s">
        <v>1910</v>
      </c>
      <c r="H51" s="11" t="s">
        <v>1911</v>
      </c>
      <c r="I51" s="11"/>
    </row>
    <row r="52" spans="1:11" x14ac:dyDescent="0.2">
      <c r="A52" s="11"/>
      <c r="B52" s="11"/>
      <c r="C52" s="11"/>
      <c r="D52" s="11" t="str">
        <f t="shared" si="1"/>
        <v>¿Quién habrá ganado?</v>
      </c>
      <c r="E52" s="11" t="s">
        <v>480</v>
      </c>
      <c r="F52" s="11" t="s">
        <v>212</v>
      </c>
      <c r="G52" s="11" t="s">
        <v>1914</v>
      </c>
      <c r="H52" s="11" t="s">
        <v>1915</v>
      </c>
      <c r="I52" s="11"/>
    </row>
    <row r="53" spans="1:11" x14ac:dyDescent="0.2">
      <c r="A53" s="11"/>
      <c r="B53" s="11"/>
      <c r="C53" s="11"/>
      <c r="D53" s="11" t="str">
        <f t="shared" si="1"/>
        <v>Pos</v>
      </c>
      <c r="E53" s="11" t="s">
        <v>480</v>
      </c>
      <c r="F53" s="11" t="s">
        <v>226</v>
      </c>
      <c r="G53" s="11" t="s">
        <v>14</v>
      </c>
      <c r="H53" s="11" t="s">
        <v>14</v>
      </c>
      <c r="I53" s="11"/>
    </row>
    <row r="54" spans="1:11" x14ac:dyDescent="0.2">
      <c r="A54" s="11"/>
      <c r="B54" s="11"/>
      <c r="C54" s="11"/>
      <c r="D54" s="11" t="str">
        <f t="shared" si="1"/>
        <v>Selección</v>
      </c>
      <c r="E54" s="11" t="s">
        <v>480</v>
      </c>
      <c r="F54" s="11" t="s">
        <v>227</v>
      </c>
      <c r="G54" s="11" t="s">
        <v>68</v>
      </c>
      <c r="H54" s="11" t="s">
        <v>236</v>
      </c>
      <c r="I54" s="11"/>
    </row>
    <row r="55" spans="1:11" x14ac:dyDescent="0.2">
      <c r="A55" s="11"/>
      <c r="B55" s="11"/>
      <c r="C55" s="11"/>
      <c r="D55" s="11" t="str">
        <f t="shared" si="1"/>
        <v>Pts</v>
      </c>
      <c r="E55" s="11" t="s">
        <v>480</v>
      </c>
      <c r="F55" s="11" t="s">
        <v>228</v>
      </c>
      <c r="G55" s="11" t="s">
        <v>32</v>
      </c>
      <c r="H55" s="11" t="s">
        <v>32</v>
      </c>
      <c r="I55" s="11"/>
    </row>
    <row r="56" spans="1:11" x14ac:dyDescent="0.2">
      <c r="A56" s="11"/>
      <c r="B56" s="11"/>
      <c r="C56" s="11"/>
      <c r="D56" s="11" t="str">
        <f t="shared" si="1"/>
        <v>J</v>
      </c>
      <c r="E56" s="11" t="s">
        <v>480</v>
      </c>
      <c r="F56" s="11" t="s">
        <v>229</v>
      </c>
      <c r="G56" s="11" t="s">
        <v>5</v>
      </c>
      <c r="H56" s="11" t="s">
        <v>7</v>
      </c>
      <c r="I56" s="11"/>
    </row>
    <row r="57" spans="1:11" x14ac:dyDescent="0.2">
      <c r="A57" s="11"/>
      <c r="B57" s="11"/>
      <c r="C57" s="11"/>
      <c r="D57" s="11" t="str">
        <f t="shared" si="1"/>
        <v>G</v>
      </c>
      <c r="E57" s="11" t="s">
        <v>480</v>
      </c>
      <c r="F57" s="11" t="s">
        <v>230</v>
      </c>
      <c r="G57" s="11" t="s">
        <v>6</v>
      </c>
      <c r="H57" s="11" t="s">
        <v>237</v>
      </c>
      <c r="I57" s="11"/>
    </row>
    <row r="58" spans="1:11" x14ac:dyDescent="0.2">
      <c r="A58" s="11"/>
      <c r="B58" s="11"/>
      <c r="C58" s="11"/>
      <c r="D58" s="11" t="str">
        <f t="shared" si="1"/>
        <v>E</v>
      </c>
      <c r="E58" s="11" t="s">
        <v>480</v>
      </c>
      <c r="F58" s="11" t="s">
        <v>231</v>
      </c>
      <c r="G58" s="11" t="s">
        <v>3</v>
      </c>
      <c r="H58" s="11" t="s">
        <v>73</v>
      </c>
      <c r="I58" s="11"/>
      <c r="K58" s="1"/>
    </row>
    <row r="59" spans="1:11" x14ac:dyDescent="0.2">
      <c r="A59" s="11"/>
      <c r="B59" s="11"/>
      <c r="C59" s="11"/>
      <c r="D59" s="11" t="str">
        <f t="shared" si="1"/>
        <v>P</v>
      </c>
      <c r="E59" s="11" t="s">
        <v>480</v>
      </c>
      <c r="F59" s="11" t="s">
        <v>232</v>
      </c>
      <c r="G59" s="11" t="s">
        <v>7</v>
      </c>
      <c r="H59" s="11" t="s">
        <v>238</v>
      </c>
      <c r="I59" s="11"/>
      <c r="K59" s="1"/>
    </row>
    <row r="60" spans="1:11" x14ac:dyDescent="0.2">
      <c r="A60" s="11"/>
      <c r="B60" s="11"/>
      <c r="C60" s="11"/>
      <c r="D60" s="11" t="str">
        <f t="shared" si="1"/>
        <v>GF</v>
      </c>
      <c r="E60" s="11" t="s">
        <v>480</v>
      </c>
      <c r="F60" s="11" t="s">
        <v>233</v>
      </c>
      <c r="G60" s="11" t="s">
        <v>8</v>
      </c>
      <c r="H60" s="11" t="s">
        <v>4</v>
      </c>
      <c r="I60" s="11"/>
      <c r="K60" s="1"/>
    </row>
    <row r="61" spans="1:11" x14ac:dyDescent="0.2">
      <c r="A61" s="11"/>
      <c r="B61" s="11"/>
      <c r="C61" s="11"/>
      <c r="D61" s="11" t="str">
        <f t="shared" si="1"/>
        <v>GC</v>
      </c>
      <c r="E61" s="11" t="s">
        <v>480</v>
      </c>
      <c r="F61" s="11" t="s">
        <v>234</v>
      </c>
      <c r="G61" s="11" t="s">
        <v>9</v>
      </c>
      <c r="H61" s="11" t="s">
        <v>0</v>
      </c>
      <c r="I61" s="11"/>
      <c r="K61" s="1"/>
    </row>
    <row r="62" spans="1:11" x14ac:dyDescent="0.2">
      <c r="A62" s="11"/>
      <c r="B62" s="11"/>
      <c r="C62" s="11"/>
      <c r="D62" s="11" t="str">
        <f t="shared" si="1"/>
        <v>DG</v>
      </c>
      <c r="E62" s="11" t="s">
        <v>480</v>
      </c>
      <c r="F62" s="11" t="s">
        <v>235</v>
      </c>
      <c r="G62" s="11" t="s">
        <v>66</v>
      </c>
      <c r="H62" s="11" t="s">
        <v>81</v>
      </c>
      <c r="I62" s="11"/>
      <c r="K62" s="1"/>
    </row>
    <row r="63" spans="1:11" x14ac:dyDescent="0.2">
      <c r="A63" s="11"/>
      <c r="B63" s="11"/>
      <c r="C63" s="11"/>
      <c r="D63" s="11" t="str">
        <f t="shared" si="1"/>
        <v>J1</v>
      </c>
      <c r="E63" s="11" t="s">
        <v>480</v>
      </c>
      <c r="F63" s="11"/>
      <c r="G63" s="11" t="s">
        <v>26</v>
      </c>
      <c r="H63" s="11" t="s">
        <v>273</v>
      </c>
      <c r="I63" s="11"/>
      <c r="K63" s="1"/>
    </row>
    <row r="64" spans="1:11" x14ac:dyDescent="0.2">
      <c r="A64" s="11"/>
      <c r="B64" s="11"/>
      <c r="C64" s="11"/>
      <c r="D64" s="11" t="str">
        <f t="shared" si="1"/>
        <v>J2</v>
      </c>
      <c r="E64" s="11" t="s">
        <v>480</v>
      </c>
      <c r="F64" s="11"/>
      <c r="G64" s="11" t="s">
        <v>27</v>
      </c>
      <c r="H64" s="11" t="s">
        <v>274</v>
      </c>
      <c r="I64" s="11"/>
    </row>
    <row r="65" spans="1:9" x14ac:dyDescent="0.2">
      <c r="A65" s="11"/>
      <c r="B65" s="11"/>
      <c r="C65" s="11"/>
      <c r="D65" s="11" t="str">
        <f t="shared" si="1"/>
        <v>J3</v>
      </c>
      <c r="E65" s="11" t="s">
        <v>480</v>
      </c>
      <c r="F65" s="11"/>
      <c r="G65" s="11" t="s">
        <v>28</v>
      </c>
      <c r="H65" s="11" t="s">
        <v>275</v>
      </c>
      <c r="I65" s="11"/>
    </row>
    <row r="66" spans="1:9" x14ac:dyDescent="0.2">
      <c r="A66" s="11"/>
      <c r="B66" s="11"/>
      <c r="C66" s="11" t="s">
        <v>1906</v>
      </c>
      <c r="D66" s="11" t="str">
        <f t="shared" si="1"/>
        <v>Instrucciones en video</v>
      </c>
      <c r="E66" s="11" t="s">
        <v>480</v>
      </c>
      <c r="F66" s="11" t="s">
        <v>1222</v>
      </c>
      <c r="G66" s="719" t="s">
        <v>1334</v>
      </c>
      <c r="H66" s="11" t="s">
        <v>1223</v>
      </c>
      <c r="I66" s="11"/>
    </row>
    <row r="67" spans="1:9" x14ac:dyDescent="0.2">
      <c r="A67" s="11"/>
      <c r="B67" s="11"/>
      <c r="C67" s="11"/>
      <c r="D67" s="11" t="str">
        <f t="shared" si="1"/>
        <v>Sí</v>
      </c>
      <c r="E67" s="11" t="s">
        <v>480</v>
      </c>
      <c r="F67" s="11"/>
      <c r="G67" s="11" t="s">
        <v>1219</v>
      </c>
      <c r="H67" s="11" t="s">
        <v>1221</v>
      </c>
      <c r="I67" s="11"/>
    </row>
    <row r="68" spans="1:9" x14ac:dyDescent="0.2">
      <c r="A68" s="11"/>
      <c r="B68" s="11"/>
      <c r="C68" s="11"/>
      <c r="D68" s="11" t="str">
        <f t="shared" si="1"/>
        <v>No</v>
      </c>
      <c r="E68" s="11" t="s">
        <v>480</v>
      </c>
      <c r="F68" s="11"/>
      <c r="G68" s="11" t="s">
        <v>1220</v>
      </c>
      <c r="H68" s="11" t="s">
        <v>1220</v>
      </c>
      <c r="I68" s="11"/>
    </row>
    <row r="69" spans="1:9" x14ac:dyDescent="0.2">
      <c r="A69" s="11"/>
      <c r="B69" s="11"/>
      <c r="C69" s="11"/>
      <c r="D69" s="11" t="str">
        <f t="shared" ref="D69:D78" si="2">IF($B$2,G69,H69)</f>
        <v>Puntos penalizados</v>
      </c>
      <c r="E69" s="11" t="s">
        <v>480</v>
      </c>
      <c r="F69" s="11"/>
      <c r="G69" s="696" t="s">
        <v>1232</v>
      </c>
      <c r="H69" s="696" t="s">
        <v>1233</v>
      </c>
      <c r="I69" s="11"/>
    </row>
    <row r="70" spans="1:9" x14ac:dyDescent="0.2">
      <c r="A70" s="11"/>
      <c r="B70" s="11"/>
      <c r="C70" s="11"/>
      <c r="D70" s="11" t="str">
        <f t="shared" si="2"/>
        <v xml:space="preserve">Grupos mejores 3ºs: </v>
      </c>
      <c r="E70" s="11"/>
      <c r="F70" s="11"/>
      <c r="G70" s="696" t="s">
        <v>1331</v>
      </c>
      <c r="H70" s="696" t="s">
        <v>1330</v>
      </c>
      <c r="I70" s="11"/>
    </row>
    <row r="71" spans="1:9" x14ac:dyDescent="0.2">
      <c r="A71" s="11"/>
      <c r="B71" s="11"/>
      <c r="C71" s="11"/>
      <c r="D71" s="11" t="str">
        <f t="shared" si="2"/>
        <v>La clasificación de los mejores terceros aparece al final de la J1</v>
      </c>
      <c r="E71" s="11"/>
      <c r="F71" s="11"/>
      <c r="G71" s="11" t="s">
        <v>1366</v>
      </c>
      <c r="H71" s="11" t="s">
        <v>1367</v>
      </c>
      <c r="I71" s="11"/>
    </row>
    <row r="72" spans="1:9" x14ac:dyDescent="0.2">
      <c r="A72" s="11"/>
      <c r="B72" s="11"/>
      <c r="C72" s="11"/>
      <c r="D72" s="11" t="str">
        <f t="shared" si="2"/>
        <v>Sí</v>
      </c>
      <c r="E72" s="11"/>
      <c r="F72" s="11"/>
      <c r="G72" s="11" t="s">
        <v>1219</v>
      </c>
      <c r="H72" s="11" t="s">
        <v>1221</v>
      </c>
      <c r="I72" s="11"/>
    </row>
    <row r="73" spans="1:9" x14ac:dyDescent="0.2">
      <c r="A73" s="11"/>
      <c r="B73" s="11"/>
      <c r="C73" s="11"/>
      <c r="D73" s="11" t="str">
        <f t="shared" si="2"/>
        <v>No</v>
      </c>
      <c r="E73" s="11"/>
      <c r="F73" s="11"/>
      <c r="G73" s="11" t="s">
        <v>1220</v>
      </c>
      <c r="H73" s="11" t="s">
        <v>1220</v>
      </c>
      <c r="I73" s="11"/>
    </row>
    <row r="74" spans="1:9" x14ac:dyDescent="0.2">
      <c r="A74" s="11"/>
      <c r="B74" s="11"/>
      <c r="C74" s="11"/>
      <c r="D74" s="11" t="str">
        <f t="shared" si="2"/>
        <v>¿Hay equipos penalizados?</v>
      </c>
      <c r="E74" s="11"/>
      <c r="F74" s="11"/>
      <c r="G74" s="11" t="s">
        <v>1735</v>
      </c>
      <c r="H74" s="11" t="s">
        <v>1736</v>
      </c>
      <c r="I74" s="11"/>
    </row>
    <row r="75" spans="1:9" x14ac:dyDescent="0.2">
      <c r="A75" s="11"/>
      <c r="B75" s="11"/>
      <c r="C75" s="11">
        <v>1</v>
      </c>
      <c r="D75" s="11" t="str">
        <f t="shared" si="2"/>
        <v>Normal</v>
      </c>
      <c r="E75" s="11"/>
      <c r="F75" s="11"/>
      <c r="G75" s="11" t="s">
        <v>1808</v>
      </c>
      <c r="H75" s="11" t="s">
        <v>1808</v>
      </c>
      <c r="I75" s="11"/>
    </row>
    <row r="76" spans="1:9" x14ac:dyDescent="0.2">
      <c r="A76" s="11"/>
      <c r="B76" s="11"/>
      <c r="C76" s="11">
        <v>2</v>
      </c>
      <c r="D76" s="11" t="str">
        <f t="shared" si="2"/>
        <v>No cuenta el partido contra el último</v>
      </c>
      <c r="E76" s="11"/>
      <c r="F76" s="11"/>
      <c r="G76" s="11" t="s">
        <v>1809</v>
      </c>
      <c r="H76" s="11" t="s">
        <v>1810</v>
      </c>
      <c r="I76" s="11"/>
    </row>
    <row r="77" spans="1:9" x14ac:dyDescent="0.2">
      <c r="A77" s="11"/>
      <c r="B77" s="11"/>
      <c r="C77" s="11">
        <v>3</v>
      </c>
      <c r="D77" s="11" t="str">
        <f t="shared" si="2"/>
        <v>Media por partido</v>
      </c>
      <c r="E77" s="11"/>
      <c r="F77" s="11"/>
      <c r="G77" s="11" t="s">
        <v>1811</v>
      </c>
      <c r="H77" s="11" t="s">
        <v>1812</v>
      </c>
      <c r="I77" s="11"/>
    </row>
    <row r="78" spans="1:9" x14ac:dyDescent="0.2">
      <c r="A78" s="11"/>
      <c r="B78" s="11"/>
      <c r="C78" s="11"/>
      <c r="D78" s="11" t="str">
        <f t="shared" si="2"/>
        <v>Selecciona criterio:</v>
      </c>
      <c r="E78" s="11"/>
      <c r="F78" s="11"/>
      <c r="G78" s="11" t="s">
        <v>1813</v>
      </c>
      <c r="H78" s="11" t="s">
        <v>1814</v>
      </c>
      <c r="I78" s="11"/>
    </row>
    <row r="79" spans="1:9" x14ac:dyDescent="0.2">
      <c r="A79" s="11"/>
      <c r="B79" s="11"/>
      <c r="C79" s="11"/>
      <c r="D79" s="11"/>
      <c r="E79" s="11"/>
      <c r="F79" s="11"/>
      <c r="G79" s="11"/>
      <c r="H79" s="11"/>
      <c r="I79" s="11"/>
    </row>
    <row r="80" spans="1:9" x14ac:dyDescent="0.2">
      <c r="A80" s="11"/>
      <c r="B80" s="11"/>
      <c r="C80" s="11"/>
      <c r="D80" s="11"/>
      <c r="E80" s="11"/>
      <c r="F80" s="11"/>
      <c r="G80" s="11"/>
      <c r="H80" s="11"/>
      <c r="I80" s="11"/>
    </row>
    <row r="81" spans="1:9" ht="15" customHeight="1" x14ac:dyDescent="0.2">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x14ac:dyDescent="0.2">
      <c r="A82" s="11"/>
      <c r="B82" s="11"/>
      <c r="C82" s="11"/>
      <c r="D82" s="11" t="str">
        <f t="shared" si="3"/>
        <v>Autor:</v>
      </c>
      <c r="E82" s="11" t="s">
        <v>1903</v>
      </c>
      <c r="F82" s="11" t="s">
        <v>214</v>
      </c>
      <c r="G82" s="11" t="s">
        <v>24</v>
      </c>
      <c r="H82" s="11" t="s">
        <v>287</v>
      </c>
      <c r="I82" s="11"/>
    </row>
    <row r="83" spans="1:9" x14ac:dyDescent="0.2">
      <c r="A83" s="11"/>
      <c r="B83" s="11"/>
      <c r="C83" s="11"/>
      <c r="D83" s="11" t="str">
        <f t="shared" si="3"/>
        <v>Útima versión</v>
      </c>
      <c r="E83" s="11" t="s">
        <v>1903</v>
      </c>
      <c r="F83" s="11" t="s">
        <v>215</v>
      </c>
      <c r="G83" s="11" t="s">
        <v>289</v>
      </c>
      <c r="H83" s="11" t="s">
        <v>288</v>
      </c>
      <c r="I83" s="11"/>
    </row>
    <row r="84" spans="1:9" x14ac:dyDescent="0.2">
      <c r="A84" s="11"/>
      <c r="B84" s="11"/>
      <c r="C84" s="11"/>
      <c r="D84" s="11" t="str">
        <f t="shared" si="3"/>
        <v>Limitación de responsabilidad:</v>
      </c>
      <c r="E84" s="11" t="s">
        <v>1903</v>
      </c>
      <c r="F84" s="11" t="s">
        <v>119</v>
      </c>
      <c r="G84" s="11" t="s">
        <v>23</v>
      </c>
      <c r="H84" s="11" t="s">
        <v>351</v>
      </c>
      <c r="I84" s="11"/>
    </row>
    <row r="85" spans="1:9" x14ac:dyDescent="0.2">
      <c r="A85" s="11"/>
      <c r="B85" s="11"/>
      <c r="C85" s="11"/>
      <c r="D85" s="11" t="str">
        <f t="shared" si="3"/>
        <v>PARA DESCARGAR, CLICK EN</v>
      </c>
      <c r="E85" s="11" t="s">
        <v>1903</v>
      </c>
      <c r="F85" s="11"/>
      <c r="G85" s="11" t="s">
        <v>1369</v>
      </c>
      <c r="H85" s="11" t="s">
        <v>1368</v>
      </c>
      <c r="I85" s="11"/>
    </row>
    <row r="86" spans="1:9" x14ac:dyDescent="0.2">
      <c r="A86" s="11"/>
      <c r="B86" s="11"/>
      <c r="C86" s="11"/>
      <c r="D86" s="11" t="str">
        <f t="shared" si="3"/>
        <v>· Selecciona el idioma en el que quieras hacer la porra y la zona horaria</v>
      </c>
      <c r="E86" s="11" t="s">
        <v>1903</v>
      </c>
      <c r="F86" s="11"/>
      <c r="G86" s="11" t="s">
        <v>1918</v>
      </c>
      <c r="H86" s="11" t="s">
        <v>1849</v>
      </c>
      <c r="I86" s="11"/>
    </row>
    <row r="87" spans="1:9" x14ac:dyDescent="0.2">
      <c r="A87" s="11"/>
      <c r="B87" s="11"/>
      <c r="C87" s="11"/>
      <c r="D87" s="11" t="str">
        <f t="shared" si="3"/>
        <v>· Escribe el nombre del grupo de la porra/quiniela</v>
      </c>
      <c r="E87" s="11" t="s">
        <v>1903</v>
      </c>
      <c r="F87" s="11"/>
      <c r="G87" s="11" t="s">
        <v>1858</v>
      </c>
      <c r="H87" s="11" t="s">
        <v>1859</v>
      </c>
      <c r="I87" s="11"/>
    </row>
    <row r="88" spans="1:9" x14ac:dyDescent="0.2">
      <c r="A88" s="11"/>
      <c r="B88" s="11"/>
      <c r="C88" s="11"/>
      <c r="D88" s="11" t="str">
        <f t="shared" si="3"/>
        <v>· El archivo de participante lo puedes descargar desde aquí</v>
      </c>
      <c r="E88" s="11" t="s">
        <v>1903</v>
      </c>
      <c r="F88" s="11"/>
      <c r="G88" s="11" t="s">
        <v>1862</v>
      </c>
      <c r="H88" s="11" t="s">
        <v>1863</v>
      </c>
      <c r="I88" s="11"/>
    </row>
    <row r="89" spans="1:9" x14ac:dyDescent="0.2">
      <c r="A89" s="11"/>
      <c r="B89" s="11"/>
      <c r="C89" s="11"/>
      <c r="D89" s="11" t="str">
        <f t="shared" si="3"/>
        <v>(Antes de empezar el mundial)</v>
      </c>
      <c r="E89" s="11" t="s">
        <v>1903</v>
      </c>
      <c r="F89" s="11"/>
      <c r="G89" s="11" t="s">
        <v>1874</v>
      </c>
      <c r="H89" s="11" t="s">
        <v>1875</v>
      </c>
      <c r="I89" s="11"/>
    </row>
    <row r="90" spans="1:9" x14ac:dyDescent="0.2">
      <c r="A90" s="11"/>
      <c r="B90" s="11"/>
      <c r="C90" s="11"/>
      <c r="D90" s="11" t="str">
        <f>IF($B$2,G90,H90)</f>
        <v>· Las instrucciones de uso de esta hoja se encuentran en la misma hoja</v>
      </c>
      <c r="E90" s="11" t="s">
        <v>1903</v>
      </c>
      <c r="F90" s="11"/>
      <c r="G90" s="11" t="s">
        <v>1854</v>
      </c>
      <c r="H90" s="11" t="s">
        <v>1855</v>
      </c>
      <c r="I90" s="11"/>
    </row>
    <row r="91" spans="1:9" x14ac:dyDescent="0.2">
      <c r="A91" s="11"/>
      <c r="B91" s="11"/>
      <c r="C91" s="11"/>
      <c r="D91" s="11" t="str">
        <f>IF($B$2,G91,H91)</f>
        <v>· Esta hoja sirve para administrar la porra/quiniela</v>
      </c>
      <c r="E91" s="11" t="s">
        <v>1903</v>
      </c>
      <c r="F91" s="11"/>
      <c r="G91" s="11" t="s">
        <v>1868</v>
      </c>
      <c r="H91" s="11" t="s">
        <v>1869</v>
      </c>
      <c r="I91" s="11"/>
    </row>
    <row r="92" spans="1:9" x14ac:dyDescent="0.2">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x14ac:dyDescent="0.2">
      <c r="A93" s="11"/>
      <c r="B93" s="11"/>
      <c r="C93" s="11"/>
      <c r="D93" s="11" t="str">
        <f t="shared" ref="D93:D96" si="4">IF($B$2,G93,H93)</f>
        <v>· Aquí explicamos cada criterio de puntuación</v>
      </c>
      <c r="E93" s="11" t="s">
        <v>1903</v>
      </c>
      <c r="F93" s="11"/>
      <c r="G93" s="11" t="s">
        <v>1871</v>
      </c>
      <c r="H93" s="11" t="s">
        <v>1883</v>
      </c>
      <c r="I93" s="11"/>
    </row>
    <row r="94" spans="1:9" x14ac:dyDescent="0.2">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x14ac:dyDescent="0.2">
      <c r="A95" s="11"/>
      <c r="B95" s="11"/>
      <c r="C95" s="11"/>
      <c r="D95" s="11" t="str">
        <f t="shared" si="4"/>
        <v>· Cuando tengas todos los pronósticos, selecciona el número de jugadores en la hoja ADMIN</v>
      </c>
      <c r="E95" s="11" t="s">
        <v>1903</v>
      </c>
      <c r="F95" s="11"/>
      <c r="G95" s="11" t="s">
        <v>1885</v>
      </c>
      <c r="H95" s="11" t="s">
        <v>1881</v>
      </c>
      <c r="I95" s="11"/>
    </row>
    <row r="96" spans="1:9" x14ac:dyDescent="0.2">
      <c r="A96" s="11"/>
      <c r="B96" s="11"/>
      <c r="C96" s="11"/>
      <c r="D96" s="11" t="str">
        <f t="shared" si="4"/>
        <v>(Una vez ha empezado el mundial)</v>
      </c>
      <c r="E96" s="11" t="s">
        <v>1903</v>
      </c>
      <c r="F96" s="11"/>
      <c r="G96" s="11" t="s">
        <v>1876</v>
      </c>
      <c r="H96" s="11" t="s">
        <v>1877</v>
      </c>
      <c r="I96" s="11"/>
    </row>
    <row r="97" spans="1:9" x14ac:dyDescent="0.2">
      <c r="A97" s="11"/>
      <c r="B97" s="11"/>
      <c r="C97" s="11"/>
      <c r="D97" s="11" t="str">
        <f>IF($B$2,G97,H97)</f>
        <v>· Cuando empiece el mundial, rellena los cuadros grises con los resultados reales de la fase de grupos</v>
      </c>
      <c r="E97" s="11" t="s">
        <v>1903</v>
      </c>
      <c r="F97" s="11"/>
      <c r="G97" s="11" t="s">
        <v>1873</v>
      </c>
      <c r="H97" s="11" t="s">
        <v>1880</v>
      </c>
      <c r="I97" s="11"/>
    </row>
    <row r="98" spans="1:9" x14ac:dyDescent="0.2">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x14ac:dyDescent="0.2">
      <c r="A99" s="11"/>
      <c r="B99" s="11"/>
      <c r="C99" s="11"/>
      <c r="D99" s="11" t="str">
        <f>IF($B$2,G99,H99)</f>
        <v>· Las eliminatorias se establecen de forma automática</v>
      </c>
      <c r="E99" s="11" t="s">
        <v>1903</v>
      </c>
      <c r="F99" s="11"/>
      <c r="G99" s="11" t="s">
        <v>1850</v>
      </c>
      <c r="H99" s="11" t="s">
        <v>1851</v>
      </c>
      <c r="I99" s="11"/>
    </row>
    <row r="100" spans="1:9" x14ac:dyDescent="0.2">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x14ac:dyDescent="0.2">
      <c r="A101" s="11"/>
      <c r="B101" s="11"/>
      <c r="C101" s="11"/>
      <c r="D101" s="11" t="str">
        <f>IF($B$2,G101,H101)</f>
        <v>· Rellenar los mejores jugadores y los máximos goleadores</v>
      </c>
      <c r="E101" s="11" t="s">
        <v>1903</v>
      </c>
      <c r="F101" s="11"/>
      <c r="G101" s="11" t="s">
        <v>1866</v>
      </c>
      <c r="H101" s="11" t="s">
        <v>1867</v>
      </c>
      <c r="I101" s="11"/>
    </row>
    <row r="102" spans="1:9" x14ac:dyDescent="0.2">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x14ac:dyDescent="0.2">
      <c r="A103" s="11"/>
      <c r="B103" s="11"/>
      <c r="C103" s="11"/>
      <c r="D103" s="11" t="str">
        <f t="shared" si="3"/>
        <v>https://matejero.es/download/excel-mundial-2026/</v>
      </c>
      <c r="E103" s="11" t="s">
        <v>1903</v>
      </c>
      <c r="F103" s="11"/>
      <c r="G103" s="779" t="s">
        <v>1860</v>
      </c>
      <c r="H103" s="11" t="s">
        <v>1861</v>
      </c>
      <c r="I103" s="11"/>
    </row>
    <row r="104" spans="1:9" x14ac:dyDescent="0.2">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x14ac:dyDescent="0.2">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x14ac:dyDescent="0.2">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x14ac:dyDescent="0.2">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x14ac:dyDescent="0.2">
      <c r="A108" s="11"/>
      <c r="B108" s="11"/>
      <c r="C108" s="11"/>
      <c r="D108" s="11" t="str">
        <f t="shared" si="3"/>
        <v>· En estas hoja podrás ver diferentes estadísticas generales y por partido</v>
      </c>
      <c r="E108" s="11" t="s">
        <v>1903</v>
      </c>
      <c r="F108" s="11"/>
      <c r="G108" s="11" t="s">
        <v>1892</v>
      </c>
      <c r="H108" s="11" t="s">
        <v>1895</v>
      </c>
      <c r="I108" s="11"/>
    </row>
    <row r="109" spans="1:9" x14ac:dyDescent="0.2">
      <c r="A109" s="11"/>
      <c r="B109" s="11"/>
      <c r="C109" s="11"/>
      <c r="D109" s="11" t="str">
        <f t="shared" si="3"/>
        <v>· Para verlas correctamente necesitas una versión posterior a excel 2021</v>
      </c>
      <c r="E109" s="11" t="s">
        <v>1903</v>
      </c>
      <c r="F109" s="11"/>
      <c r="G109" s="11" t="s">
        <v>1894</v>
      </c>
      <c r="H109" s="11" t="s">
        <v>1893</v>
      </c>
      <c r="I109" s="11"/>
    </row>
    <row r="110" spans="1:9" x14ac:dyDescent="0.2">
      <c r="A110" s="11"/>
      <c r="B110" s="11"/>
      <c r="C110" s="11"/>
      <c r="D110" s="11" t="str">
        <f>IF($B$2,G110,H110)</f>
        <v xml:space="preserve">· En esta hoja puedes ver de un vistazo el cuadro del mundial </v>
      </c>
      <c r="E110" s="11" t="s">
        <v>1903</v>
      </c>
      <c r="F110" s="11"/>
      <c r="G110" s="11" t="s">
        <v>1896</v>
      </c>
      <c r="H110" s="11" t="s">
        <v>1897</v>
      </c>
      <c r="I110" s="11"/>
    </row>
    <row r="111" spans="1:9" x14ac:dyDescent="0.2">
      <c r="A111" s="11"/>
      <c r="B111" s="11"/>
      <c r="C111" s="11"/>
      <c r="D111" s="11"/>
      <c r="E111" s="11"/>
      <c r="F111" s="11"/>
      <c r="G111" s="11"/>
      <c r="H111" s="11"/>
      <c r="I111" s="11"/>
    </row>
    <row r="112" spans="1:9" x14ac:dyDescent="0.2">
      <c r="A112" s="11"/>
      <c r="B112" s="11"/>
      <c r="C112" s="11"/>
      <c r="D112" s="11" t="str">
        <f t="shared" ref="D112:D203" si="6">IF($B$2,G112,H112)</f>
        <v>Para el administrador de la porra</v>
      </c>
      <c r="E112" s="11" t="s">
        <v>433</v>
      </c>
      <c r="F112" s="11" t="s">
        <v>114</v>
      </c>
      <c r="G112" s="11" t="s">
        <v>130</v>
      </c>
      <c r="H112" s="11" t="s">
        <v>266</v>
      </c>
      <c r="I112" s="11"/>
    </row>
    <row r="113" spans="1:16" x14ac:dyDescent="0.2">
      <c r="A113" s="11"/>
      <c r="B113" s="11"/>
      <c r="C113" s="11"/>
      <c r="D113" s="11" t="str">
        <f t="shared" si="6"/>
        <v>PARTICIPANTE</v>
      </c>
      <c r="E113" s="11" t="s">
        <v>433</v>
      </c>
      <c r="F113" s="11" t="s">
        <v>119</v>
      </c>
      <c r="G113" s="11" t="s">
        <v>70</v>
      </c>
      <c r="H113" s="11" t="s">
        <v>267</v>
      </c>
      <c r="I113" s="11"/>
    </row>
    <row r="114" spans="1:16" x14ac:dyDescent="0.2">
      <c r="A114" s="11"/>
      <c r="B114" s="11"/>
      <c r="C114" s="11"/>
      <c r="D114" s="11" t="str">
        <f t="shared" si="6"/>
        <v>Nombre</v>
      </c>
      <c r="E114" s="11" t="s">
        <v>433</v>
      </c>
      <c r="F114" s="11" t="s">
        <v>125</v>
      </c>
      <c r="G114" s="11" t="s">
        <v>42</v>
      </c>
      <c r="H114" s="11" t="s">
        <v>268</v>
      </c>
      <c r="I114" s="11"/>
    </row>
    <row r="115" spans="1:16" x14ac:dyDescent="0.2">
      <c r="A115" s="11"/>
      <c r="B115" s="11"/>
      <c r="C115" s="11"/>
      <c r="D115" s="11" t="str">
        <f t="shared" si="6"/>
        <v>¡No tocar nada, se rellena solo!</v>
      </c>
      <c r="E115" s="11" t="s">
        <v>433</v>
      </c>
      <c r="F115" s="11" t="s">
        <v>239</v>
      </c>
      <c r="G115" s="11" t="s">
        <v>43</v>
      </c>
      <c r="H115" s="11" t="s">
        <v>269</v>
      </c>
      <c r="I115" s="11"/>
    </row>
    <row r="116" spans="1:16" ht="15" customHeight="1" x14ac:dyDescent="0.2">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x14ac:dyDescent="0.2">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x14ac:dyDescent="0.2">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x14ac:dyDescent="0.2">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x14ac:dyDescent="0.2">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x14ac:dyDescent="0.2">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x14ac:dyDescent="0.2">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x14ac:dyDescent="0.2">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x14ac:dyDescent="0.2">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x14ac:dyDescent="0.2">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x14ac:dyDescent="0.2">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x14ac:dyDescent="0.2">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x14ac:dyDescent="0.2">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x14ac:dyDescent="0.2">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x14ac:dyDescent="0.2">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x14ac:dyDescent="0.2">
      <c r="A131" s="11"/>
      <c r="B131" s="11"/>
      <c r="C131" s="11"/>
      <c r="D131" s="11" t="str">
        <f t="shared" si="6"/>
        <v>·Copiar de la C261 a la C308 y pegar valores en el administrador donde el Predictor</v>
      </c>
      <c r="E131" s="11" t="s">
        <v>433</v>
      </c>
      <c r="F131" s="11"/>
      <c r="G131" s="696" t="s">
        <v>1373</v>
      </c>
      <c r="H131" s="696" t="s">
        <v>1372</v>
      </c>
      <c r="I131" s="11"/>
    </row>
    <row r="132" spans="1:9" x14ac:dyDescent="0.2">
      <c r="A132" s="11"/>
      <c r="B132" s="11"/>
      <c r="C132" s="11"/>
      <c r="D132" s="11" t="str">
        <f t="shared" si="6"/>
        <v>J1</v>
      </c>
      <c r="E132" s="11" t="s">
        <v>433</v>
      </c>
      <c r="F132" s="11" t="s">
        <v>252</v>
      </c>
      <c r="G132" s="11" t="s">
        <v>26</v>
      </c>
      <c r="H132" s="11" t="s">
        <v>273</v>
      </c>
      <c r="I132" s="696"/>
    </row>
    <row r="133" spans="1:9" x14ac:dyDescent="0.2">
      <c r="A133" s="11"/>
      <c r="B133" s="11"/>
      <c r="C133" s="11"/>
      <c r="D133" s="11" t="str">
        <f t="shared" si="6"/>
        <v>J2</v>
      </c>
      <c r="E133" s="11" t="s">
        <v>433</v>
      </c>
      <c r="F133" s="11" t="s">
        <v>253</v>
      </c>
      <c r="G133" s="11" t="s">
        <v>27</v>
      </c>
      <c r="H133" s="11" t="s">
        <v>274</v>
      </c>
      <c r="I133" s="11"/>
    </row>
    <row r="134" spans="1:9" x14ac:dyDescent="0.2">
      <c r="A134" s="11"/>
      <c r="B134" s="11"/>
      <c r="C134" s="11"/>
      <c r="D134" s="11" t="str">
        <f t="shared" si="6"/>
        <v>J3</v>
      </c>
      <c r="E134" s="11" t="s">
        <v>433</v>
      </c>
      <c r="F134" s="11" t="s">
        <v>254</v>
      </c>
      <c r="G134" s="11" t="s">
        <v>28</v>
      </c>
      <c r="H134" s="11" t="s">
        <v>275</v>
      </c>
      <c r="I134" s="11"/>
    </row>
    <row r="135" spans="1:9" x14ac:dyDescent="0.2">
      <c r="A135" s="11"/>
      <c r="B135" s="11"/>
      <c r="C135" s="11"/>
      <c r="D135" s="11" t="str">
        <f t="shared" si="6"/>
        <v>FASE DE GRUPOS</v>
      </c>
      <c r="E135" s="11" t="s">
        <v>433</v>
      </c>
      <c r="F135" s="11" t="s">
        <v>255</v>
      </c>
      <c r="G135" s="11" t="s">
        <v>12</v>
      </c>
      <c r="H135" s="11" t="s">
        <v>276</v>
      </c>
      <c r="I135" s="11"/>
    </row>
    <row r="136" spans="1:9" x14ac:dyDescent="0.2">
      <c r="A136" s="11"/>
      <c r="B136" s="11"/>
      <c r="C136" s="11"/>
      <c r="D136" s="11" t="str">
        <f t="shared" si="6"/>
        <v>POSICIÓN GRUPOS</v>
      </c>
      <c r="E136" s="11" t="s">
        <v>433</v>
      </c>
      <c r="F136" s="11" t="s">
        <v>256</v>
      </c>
      <c r="G136" s="11" t="s">
        <v>44</v>
      </c>
      <c r="H136" s="11" t="s">
        <v>277</v>
      </c>
      <c r="I136" s="11"/>
    </row>
    <row r="137" spans="1:9" x14ac:dyDescent="0.2">
      <c r="A137" s="11"/>
      <c r="B137" s="11"/>
      <c r="C137" s="11"/>
      <c r="D137" s="11" t="str">
        <f t="shared" si="6"/>
        <v>CLASIFICADOS PARA DIECISEISAVOS</v>
      </c>
      <c r="E137" s="11" t="s">
        <v>433</v>
      </c>
      <c r="F137" s="11" t="s">
        <v>257</v>
      </c>
      <c r="G137" s="11" t="s">
        <v>564</v>
      </c>
      <c r="H137" s="11" t="s">
        <v>565</v>
      </c>
      <c r="I137" s="11"/>
    </row>
    <row r="138" spans="1:9" x14ac:dyDescent="0.2">
      <c r="A138" s="11"/>
      <c r="B138" s="11"/>
      <c r="C138" s="11"/>
      <c r="D138" s="11" t="str">
        <f t="shared" si="6"/>
        <v>ENFRENTAMIENTOS DIECISEISAVOS</v>
      </c>
      <c r="E138" s="11" t="s">
        <v>433</v>
      </c>
      <c r="F138" s="11" t="s">
        <v>258</v>
      </c>
      <c r="G138" s="11" t="s">
        <v>568</v>
      </c>
      <c r="H138" s="11" t="s">
        <v>569</v>
      </c>
      <c r="I138" s="11"/>
    </row>
    <row r="139" spans="1:9" x14ac:dyDescent="0.2">
      <c r="A139" s="11"/>
      <c r="B139" s="11"/>
      <c r="C139" s="11"/>
      <c r="D139" s="11" t="str">
        <f t="shared" si="6"/>
        <v>CLASIFICADOS PARA OCTAVOS</v>
      </c>
      <c r="E139" s="11" t="s">
        <v>433</v>
      </c>
      <c r="F139" s="11"/>
      <c r="G139" s="11" t="s">
        <v>108</v>
      </c>
      <c r="H139" s="11" t="s">
        <v>278</v>
      </c>
      <c r="I139" s="11"/>
    </row>
    <row r="140" spans="1:9" x14ac:dyDescent="0.2">
      <c r="A140" s="11"/>
      <c r="B140" s="11"/>
      <c r="C140" s="11"/>
      <c r="D140" s="11" t="str">
        <f t="shared" si="6"/>
        <v>ENFRENTAMIENTOS OCTAVOS</v>
      </c>
      <c r="E140" s="11" t="s">
        <v>433</v>
      </c>
      <c r="F140" s="11"/>
      <c r="G140" s="11" t="s">
        <v>109</v>
      </c>
      <c r="H140" s="11" t="s">
        <v>279</v>
      </c>
      <c r="I140" s="11"/>
    </row>
    <row r="141" spans="1:9" x14ac:dyDescent="0.2">
      <c r="A141" s="11"/>
      <c r="B141" s="11"/>
      <c r="C141" s="11"/>
      <c r="D141" s="11" t="str">
        <f t="shared" si="6"/>
        <v>CLASIFICADOS PARA CUARTOS</v>
      </c>
      <c r="E141" s="11" t="s">
        <v>433</v>
      </c>
      <c r="F141" s="11" t="s">
        <v>259</v>
      </c>
      <c r="G141" s="11" t="s">
        <v>57</v>
      </c>
      <c r="H141" s="11" t="s">
        <v>280</v>
      </c>
      <c r="I141" s="11"/>
    </row>
    <row r="142" spans="1:9" x14ac:dyDescent="0.2">
      <c r="A142" s="11"/>
      <c r="B142" s="11"/>
      <c r="C142" s="11"/>
      <c r="D142" s="11" t="str">
        <f t="shared" si="6"/>
        <v>ENFRENTAMIENTOS CUARTOS</v>
      </c>
      <c r="E142" s="11" t="s">
        <v>433</v>
      </c>
      <c r="F142" s="11" t="s">
        <v>261</v>
      </c>
      <c r="G142" s="11" t="s">
        <v>59</v>
      </c>
      <c r="H142" s="11" t="s">
        <v>281</v>
      </c>
      <c r="I142" s="11"/>
    </row>
    <row r="143" spans="1:9" x14ac:dyDescent="0.2">
      <c r="A143" s="11"/>
      <c r="B143" s="11"/>
      <c r="C143" s="11"/>
      <c r="D143" s="11" t="str">
        <f t="shared" si="6"/>
        <v>CLASIFICADOS PARA SEMIFINALES</v>
      </c>
      <c r="E143" s="11" t="s">
        <v>433</v>
      </c>
      <c r="F143" s="11" t="s">
        <v>260</v>
      </c>
      <c r="G143" s="11" t="s">
        <v>60</v>
      </c>
      <c r="H143" s="11" t="s">
        <v>282</v>
      </c>
      <c r="I143" s="11"/>
    </row>
    <row r="144" spans="1:9" x14ac:dyDescent="0.2">
      <c r="A144" s="11"/>
      <c r="B144" s="11"/>
      <c r="C144" s="11"/>
      <c r="D144" s="11" t="str">
        <f t="shared" si="6"/>
        <v>ENFRENTAMIENTOS SEMIFINALES</v>
      </c>
      <c r="E144" s="11" t="s">
        <v>433</v>
      </c>
      <c r="F144" s="11" t="s">
        <v>262</v>
      </c>
      <c r="G144" s="11" t="s">
        <v>62</v>
      </c>
      <c r="H144" s="11" t="s">
        <v>283</v>
      </c>
      <c r="I144" s="11"/>
    </row>
    <row r="145" spans="1:9" x14ac:dyDescent="0.2">
      <c r="A145" s="11"/>
      <c r="B145" s="11"/>
      <c r="C145" s="11"/>
      <c r="D145" s="11" t="str">
        <f t="shared" si="6"/>
        <v>CLASIFICADOS PARA EL 3º y 4º PUESTO</v>
      </c>
      <c r="E145" s="11" t="s">
        <v>433</v>
      </c>
      <c r="F145" s="11"/>
      <c r="G145" s="11" t="s">
        <v>570</v>
      </c>
      <c r="H145" s="11" t="s">
        <v>571</v>
      </c>
      <c r="I145" s="11"/>
    </row>
    <row r="146" spans="1:9" x14ac:dyDescent="0.2">
      <c r="A146" s="11"/>
      <c r="B146" s="11"/>
      <c r="C146" s="11"/>
      <c r="D146" s="11" t="str">
        <f t="shared" si="6"/>
        <v>CLASIFICADOS PARA LA FINAL</v>
      </c>
      <c r="E146" s="11" t="s">
        <v>433</v>
      </c>
      <c r="F146" s="11" t="s">
        <v>263</v>
      </c>
      <c r="G146" s="11" t="s">
        <v>63</v>
      </c>
      <c r="H146" s="11" t="s">
        <v>284</v>
      </c>
      <c r="I146" s="11"/>
    </row>
    <row r="147" spans="1:9" x14ac:dyDescent="0.2">
      <c r="A147" s="11"/>
      <c r="B147" s="11"/>
      <c r="C147" s="11"/>
      <c r="D147" s="11" t="str">
        <f t="shared" si="6"/>
        <v>3º-4º puesto</v>
      </c>
      <c r="E147" s="11" t="s">
        <v>433</v>
      </c>
      <c r="F147" s="11"/>
      <c r="G147" s="11" t="s">
        <v>496</v>
      </c>
      <c r="H147" s="11" t="s">
        <v>492</v>
      </c>
      <c r="I147" s="11"/>
    </row>
    <row r="148" spans="1:9" x14ac:dyDescent="0.2">
      <c r="A148" s="11"/>
      <c r="B148" s="11"/>
      <c r="C148" s="11"/>
      <c r="D148" s="11" t="str">
        <f t="shared" si="6"/>
        <v>ENFRENTAMIENTO FINAL</v>
      </c>
      <c r="E148" s="11" t="s">
        <v>433</v>
      </c>
      <c r="F148" s="11" t="s">
        <v>264</v>
      </c>
      <c r="G148" s="11" t="s">
        <v>65</v>
      </c>
      <c r="H148" s="11" t="s">
        <v>285</v>
      </c>
      <c r="I148" s="11"/>
    </row>
    <row r="149" spans="1:9" x14ac:dyDescent="0.2">
      <c r="A149" s="11"/>
      <c r="B149" s="11"/>
      <c r="C149" s="11"/>
      <c r="D149" s="11" t="str">
        <f t="shared" si="6"/>
        <v>CUADRO DE HONOR</v>
      </c>
      <c r="E149" s="11" t="s">
        <v>433</v>
      </c>
      <c r="F149" s="11" t="s">
        <v>265</v>
      </c>
      <c r="G149" s="11" t="s">
        <v>20</v>
      </c>
      <c r="H149" s="11" t="s">
        <v>221</v>
      </c>
      <c r="I149" s="11"/>
    </row>
    <row r="150" spans="1:9" x14ac:dyDescent="0.2">
      <c r="A150" s="11"/>
      <c r="B150" s="11"/>
      <c r="C150" s="11"/>
      <c r="D150" s="11" t="str">
        <f t="shared" ref="D150:D173" si="7">IF($B$2,G150,H150)</f>
        <v>1º GRUPO A</v>
      </c>
      <c r="E150" s="11" t="s">
        <v>433</v>
      </c>
      <c r="F150" s="11" t="s">
        <v>405</v>
      </c>
      <c r="G150" s="11" t="s">
        <v>45</v>
      </c>
      <c r="H150" s="8" t="s">
        <v>377</v>
      </c>
      <c r="I150" s="11"/>
    </row>
    <row r="151" spans="1:9" x14ac:dyDescent="0.2">
      <c r="A151" s="11"/>
      <c r="B151" s="11"/>
      <c r="C151" s="11"/>
      <c r="D151" s="11" t="str">
        <f t="shared" si="7"/>
        <v>2º GRUPO A</v>
      </c>
      <c r="E151" s="11" t="s">
        <v>433</v>
      </c>
      <c r="F151" s="11" t="s">
        <v>406</v>
      </c>
      <c r="G151" s="11" t="s">
        <v>46</v>
      </c>
      <c r="H151" s="8" t="s">
        <v>378</v>
      </c>
      <c r="I151" s="11"/>
    </row>
    <row r="152" spans="1:9" x14ac:dyDescent="0.2">
      <c r="A152" s="11"/>
      <c r="B152" s="11"/>
      <c r="C152" s="11"/>
      <c r="D152" s="11" t="str">
        <f t="shared" si="7"/>
        <v>3º GRUPO A</v>
      </c>
      <c r="E152" s="11" t="s">
        <v>433</v>
      </c>
      <c r="F152" s="11" t="s">
        <v>407</v>
      </c>
      <c r="G152" s="11" t="s">
        <v>47</v>
      </c>
      <c r="H152" s="8" t="s">
        <v>379</v>
      </c>
      <c r="I152" s="11"/>
    </row>
    <row r="153" spans="1:9" x14ac:dyDescent="0.2">
      <c r="A153" s="11"/>
      <c r="B153" s="11"/>
      <c r="C153" s="11"/>
      <c r="D153" s="11" t="str">
        <f t="shared" si="7"/>
        <v>4º GRUPO A</v>
      </c>
      <c r="E153" s="11" t="s">
        <v>433</v>
      </c>
      <c r="F153" s="11" t="s">
        <v>408</v>
      </c>
      <c r="G153" s="11" t="s">
        <v>48</v>
      </c>
      <c r="H153" s="8" t="s">
        <v>380</v>
      </c>
      <c r="I153" s="11"/>
    </row>
    <row r="154" spans="1:9" x14ac:dyDescent="0.2">
      <c r="A154" s="11"/>
      <c r="B154" s="11"/>
      <c r="C154" s="11"/>
      <c r="D154" s="11" t="str">
        <f t="shared" si="7"/>
        <v>1º GRUPO B</v>
      </c>
      <c r="E154" s="11" t="s">
        <v>433</v>
      </c>
      <c r="F154" s="11" t="s">
        <v>409</v>
      </c>
      <c r="G154" s="11" t="s">
        <v>49</v>
      </c>
      <c r="H154" s="8" t="s">
        <v>381</v>
      </c>
      <c r="I154" s="11"/>
    </row>
    <row r="155" spans="1:9" x14ac:dyDescent="0.2">
      <c r="A155" s="11"/>
      <c r="B155" s="11"/>
      <c r="C155" s="11"/>
      <c r="D155" s="11" t="str">
        <f t="shared" si="7"/>
        <v>2º GRUPO B</v>
      </c>
      <c r="E155" s="11" t="s">
        <v>433</v>
      </c>
      <c r="F155" s="11" t="s">
        <v>410</v>
      </c>
      <c r="G155" s="11" t="s">
        <v>50</v>
      </c>
      <c r="H155" s="8" t="s">
        <v>382</v>
      </c>
      <c r="I155" s="11"/>
    </row>
    <row r="156" spans="1:9" x14ac:dyDescent="0.2">
      <c r="A156" s="11"/>
      <c r="B156" s="11"/>
      <c r="C156" s="11"/>
      <c r="D156" s="11" t="str">
        <f t="shared" si="7"/>
        <v>3º GRUPO B</v>
      </c>
      <c r="E156" s="11" t="s">
        <v>433</v>
      </c>
      <c r="F156" s="11" t="s">
        <v>411</v>
      </c>
      <c r="G156" s="11" t="s">
        <v>51</v>
      </c>
      <c r="H156" s="8" t="s">
        <v>383</v>
      </c>
      <c r="I156" s="11"/>
    </row>
    <row r="157" spans="1:9" x14ac:dyDescent="0.2">
      <c r="A157" s="11"/>
      <c r="B157" s="11"/>
      <c r="C157" s="11"/>
      <c r="D157" s="11" t="str">
        <f t="shared" si="7"/>
        <v>4º GRUPO B</v>
      </c>
      <c r="E157" s="11" t="s">
        <v>433</v>
      </c>
      <c r="F157" s="11" t="s">
        <v>412</v>
      </c>
      <c r="G157" s="11" t="s">
        <v>52</v>
      </c>
      <c r="H157" s="8" t="s">
        <v>384</v>
      </c>
      <c r="I157" s="11"/>
    </row>
    <row r="158" spans="1:9" x14ac:dyDescent="0.2">
      <c r="A158" s="11"/>
      <c r="B158" s="11"/>
      <c r="C158" s="11"/>
      <c r="D158" s="11" t="str">
        <f t="shared" si="7"/>
        <v>1º GRUPO C</v>
      </c>
      <c r="E158" s="11" t="s">
        <v>433</v>
      </c>
      <c r="F158" s="11" t="s">
        <v>413</v>
      </c>
      <c r="G158" s="11" t="s">
        <v>53</v>
      </c>
      <c r="H158" s="8" t="s">
        <v>385</v>
      </c>
      <c r="I158" s="11"/>
    </row>
    <row r="159" spans="1:9" x14ac:dyDescent="0.2">
      <c r="A159" s="11"/>
      <c r="B159" s="11"/>
      <c r="C159" s="11"/>
      <c r="D159" s="11" t="str">
        <f t="shared" si="7"/>
        <v>2º GRUPO C</v>
      </c>
      <c r="E159" s="11" t="s">
        <v>433</v>
      </c>
      <c r="F159" s="11" t="s">
        <v>414</v>
      </c>
      <c r="G159" s="11" t="s">
        <v>54</v>
      </c>
      <c r="H159" s="8" t="s">
        <v>386</v>
      </c>
      <c r="I159" s="11"/>
    </row>
    <row r="160" spans="1:9" x14ac:dyDescent="0.2">
      <c r="A160" s="11"/>
      <c r="B160" s="11"/>
      <c r="C160" s="11"/>
      <c r="D160" s="11" t="str">
        <f t="shared" si="7"/>
        <v>3º GRUPO C</v>
      </c>
      <c r="E160" s="11" t="s">
        <v>433</v>
      </c>
      <c r="F160" s="11" t="s">
        <v>415</v>
      </c>
      <c r="G160" s="11" t="s">
        <v>55</v>
      </c>
      <c r="H160" s="8" t="s">
        <v>387</v>
      </c>
      <c r="I160" s="11"/>
    </row>
    <row r="161" spans="1:9" x14ac:dyDescent="0.2">
      <c r="A161" s="11"/>
      <c r="B161" s="11"/>
      <c r="C161" s="11"/>
      <c r="D161" s="11" t="str">
        <f t="shared" si="7"/>
        <v>4º GRUPO C</v>
      </c>
      <c r="E161" s="11" t="s">
        <v>433</v>
      </c>
      <c r="F161" s="11" t="s">
        <v>416</v>
      </c>
      <c r="G161" s="11" t="s">
        <v>56</v>
      </c>
      <c r="H161" s="8" t="s">
        <v>388</v>
      </c>
      <c r="I161" s="11"/>
    </row>
    <row r="162" spans="1:9" x14ac:dyDescent="0.2">
      <c r="A162" s="11"/>
      <c r="B162" s="11"/>
      <c r="C162" s="11"/>
      <c r="D162" s="11" t="str">
        <f t="shared" si="7"/>
        <v>1º GRUPO D</v>
      </c>
      <c r="E162" s="11" t="s">
        <v>433</v>
      </c>
      <c r="F162" s="11" t="s">
        <v>417</v>
      </c>
      <c r="G162" s="11" t="s">
        <v>96</v>
      </c>
      <c r="H162" s="8" t="s">
        <v>389</v>
      </c>
      <c r="I162" s="11"/>
    </row>
    <row r="163" spans="1:9" x14ac:dyDescent="0.2">
      <c r="A163" s="11"/>
      <c r="B163" s="11"/>
      <c r="C163" s="11"/>
      <c r="D163" s="11" t="str">
        <f t="shared" si="7"/>
        <v>2º GRUPO D</v>
      </c>
      <c r="E163" s="11" t="s">
        <v>433</v>
      </c>
      <c r="F163" s="11" t="s">
        <v>418</v>
      </c>
      <c r="G163" s="11" t="s">
        <v>97</v>
      </c>
      <c r="H163" s="8" t="s">
        <v>390</v>
      </c>
      <c r="I163" s="11"/>
    </row>
    <row r="164" spans="1:9" x14ac:dyDescent="0.2">
      <c r="A164" s="11"/>
      <c r="B164" s="11"/>
      <c r="C164" s="11"/>
      <c r="D164" s="11" t="str">
        <f t="shared" si="7"/>
        <v>3º GRUPO D</v>
      </c>
      <c r="E164" s="11" t="s">
        <v>433</v>
      </c>
      <c r="F164" s="11" t="s">
        <v>419</v>
      </c>
      <c r="G164" s="11" t="s">
        <v>98</v>
      </c>
      <c r="H164" s="8" t="s">
        <v>391</v>
      </c>
      <c r="I164" s="11"/>
    </row>
    <row r="165" spans="1:9" x14ac:dyDescent="0.2">
      <c r="A165" s="11"/>
      <c r="B165" s="11"/>
      <c r="C165" s="11"/>
      <c r="D165" s="11" t="str">
        <f t="shared" si="7"/>
        <v>4º GRUPO D</v>
      </c>
      <c r="E165" s="11" t="s">
        <v>433</v>
      </c>
      <c r="F165" s="11" t="s">
        <v>420</v>
      </c>
      <c r="G165" s="11" t="s">
        <v>99</v>
      </c>
      <c r="H165" s="8" t="s">
        <v>392</v>
      </c>
      <c r="I165" s="11"/>
    </row>
    <row r="166" spans="1:9" x14ac:dyDescent="0.2">
      <c r="A166" s="11"/>
      <c r="B166" s="11"/>
      <c r="C166" s="11"/>
      <c r="D166" s="11" t="str">
        <f t="shared" si="7"/>
        <v>1º GRUPO E</v>
      </c>
      <c r="E166" s="11" t="s">
        <v>433</v>
      </c>
      <c r="F166" s="11" t="s">
        <v>421</v>
      </c>
      <c r="G166" s="11" t="s">
        <v>100</v>
      </c>
      <c r="H166" s="8" t="s">
        <v>393</v>
      </c>
      <c r="I166" s="11"/>
    </row>
    <row r="167" spans="1:9" x14ac:dyDescent="0.2">
      <c r="A167" s="11"/>
      <c r="B167" s="11"/>
      <c r="C167" s="11"/>
      <c r="D167" s="11" t="str">
        <f t="shared" si="7"/>
        <v>2º GRUPO E</v>
      </c>
      <c r="E167" s="11" t="s">
        <v>433</v>
      </c>
      <c r="F167" s="11" t="s">
        <v>422</v>
      </c>
      <c r="G167" s="11" t="s">
        <v>101</v>
      </c>
      <c r="H167" s="8" t="s">
        <v>394</v>
      </c>
      <c r="I167" s="11"/>
    </row>
    <row r="168" spans="1:9" x14ac:dyDescent="0.2">
      <c r="A168" s="11"/>
      <c r="B168" s="11"/>
      <c r="C168" s="11"/>
      <c r="D168" s="11" t="str">
        <f t="shared" si="7"/>
        <v>3º GRUPO E</v>
      </c>
      <c r="E168" s="11" t="s">
        <v>433</v>
      </c>
      <c r="F168" s="11" t="s">
        <v>423</v>
      </c>
      <c r="G168" s="11" t="s">
        <v>102</v>
      </c>
      <c r="H168" s="8" t="s">
        <v>395</v>
      </c>
      <c r="I168" s="11"/>
    </row>
    <row r="169" spans="1:9" x14ac:dyDescent="0.2">
      <c r="A169" s="11"/>
      <c r="B169" s="11"/>
      <c r="C169" s="11"/>
      <c r="D169" s="11" t="str">
        <f t="shared" si="7"/>
        <v>4º GRUPO E</v>
      </c>
      <c r="E169" s="11" t="s">
        <v>433</v>
      </c>
      <c r="F169" s="11" t="s">
        <v>424</v>
      </c>
      <c r="G169" s="11" t="s">
        <v>103</v>
      </c>
      <c r="H169" s="8" t="s">
        <v>396</v>
      </c>
      <c r="I169" s="11"/>
    </row>
    <row r="170" spans="1:9" x14ac:dyDescent="0.2">
      <c r="A170" s="11"/>
      <c r="B170" s="11"/>
      <c r="C170" s="11"/>
      <c r="D170" s="11" t="str">
        <f t="shared" si="7"/>
        <v>1º GRUPO F</v>
      </c>
      <c r="E170" s="11" t="s">
        <v>433</v>
      </c>
      <c r="F170" s="11" t="s">
        <v>425</v>
      </c>
      <c r="G170" s="11" t="s">
        <v>104</v>
      </c>
      <c r="H170" s="8" t="s">
        <v>397</v>
      </c>
      <c r="I170" s="11"/>
    </row>
    <row r="171" spans="1:9" x14ac:dyDescent="0.2">
      <c r="A171" s="11"/>
      <c r="B171" s="11"/>
      <c r="C171" s="11"/>
      <c r="D171" s="11" t="str">
        <f t="shared" si="7"/>
        <v>2º GRUPO F</v>
      </c>
      <c r="E171" s="11" t="s">
        <v>433</v>
      </c>
      <c r="F171" s="11" t="s">
        <v>426</v>
      </c>
      <c r="G171" s="11" t="s">
        <v>105</v>
      </c>
      <c r="H171" s="8" t="s">
        <v>398</v>
      </c>
      <c r="I171" s="11"/>
    </row>
    <row r="172" spans="1:9" x14ac:dyDescent="0.2">
      <c r="A172" s="11"/>
      <c r="B172" s="11"/>
      <c r="C172" s="11"/>
      <c r="D172" s="11" t="str">
        <f t="shared" si="7"/>
        <v>3º GRUPO F</v>
      </c>
      <c r="E172" s="11" t="s">
        <v>433</v>
      </c>
      <c r="F172" s="11" t="s">
        <v>427</v>
      </c>
      <c r="G172" s="11" t="s">
        <v>106</v>
      </c>
      <c r="H172" s="8" t="s">
        <v>399</v>
      </c>
      <c r="I172" s="11"/>
    </row>
    <row r="173" spans="1:9" x14ac:dyDescent="0.2">
      <c r="A173" s="11"/>
      <c r="B173" s="11"/>
      <c r="C173" s="11"/>
      <c r="D173" s="11" t="str">
        <f t="shared" si="7"/>
        <v>4º GRUPO F</v>
      </c>
      <c r="E173" s="11" t="s">
        <v>433</v>
      </c>
      <c r="F173" s="11" t="s">
        <v>428</v>
      </c>
      <c r="G173" s="11" t="s">
        <v>107</v>
      </c>
      <c r="H173" s="8" t="s">
        <v>400</v>
      </c>
      <c r="I173" s="11"/>
    </row>
    <row r="174" spans="1:9" x14ac:dyDescent="0.2">
      <c r="A174" s="11"/>
      <c r="B174" s="11"/>
      <c r="C174" s="11"/>
      <c r="D174" s="11" t="str">
        <f t="shared" ref="D174:D197" si="8">IF($B$2,G174,H174)</f>
        <v>1º GRUPO G</v>
      </c>
      <c r="E174" s="11" t="s">
        <v>433</v>
      </c>
      <c r="F174" s="11"/>
      <c r="G174" s="11" t="s">
        <v>516</v>
      </c>
      <c r="H174" s="8" t="s">
        <v>520</v>
      </c>
      <c r="I174" s="11"/>
    </row>
    <row r="175" spans="1:9" x14ac:dyDescent="0.2">
      <c r="A175" s="11"/>
      <c r="B175" s="11"/>
      <c r="C175" s="11"/>
      <c r="D175" s="11" t="str">
        <f t="shared" si="8"/>
        <v>2º GRUPO G</v>
      </c>
      <c r="E175" s="11" t="s">
        <v>433</v>
      </c>
      <c r="F175" s="11"/>
      <c r="G175" s="11" t="s">
        <v>517</v>
      </c>
      <c r="H175" s="8" t="s">
        <v>521</v>
      </c>
      <c r="I175" s="11"/>
    </row>
    <row r="176" spans="1:9" x14ac:dyDescent="0.2">
      <c r="A176" s="11"/>
      <c r="B176" s="11"/>
      <c r="C176" s="11"/>
      <c r="D176" s="11" t="str">
        <f t="shared" si="8"/>
        <v>3º GRUPO G</v>
      </c>
      <c r="E176" s="11" t="s">
        <v>433</v>
      </c>
      <c r="F176" s="11"/>
      <c r="G176" s="11" t="s">
        <v>518</v>
      </c>
      <c r="H176" s="8" t="s">
        <v>522</v>
      </c>
      <c r="I176" s="11"/>
    </row>
    <row r="177" spans="1:9" x14ac:dyDescent="0.2">
      <c r="A177" s="11"/>
      <c r="B177" s="11"/>
      <c r="C177" s="11"/>
      <c r="D177" s="11" t="str">
        <f t="shared" si="8"/>
        <v>4º GRUPO G</v>
      </c>
      <c r="E177" s="11" t="s">
        <v>433</v>
      </c>
      <c r="F177" s="11"/>
      <c r="G177" s="11" t="s">
        <v>519</v>
      </c>
      <c r="H177" s="8" t="s">
        <v>523</v>
      </c>
      <c r="I177" s="11"/>
    </row>
    <row r="178" spans="1:9" x14ac:dyDescent="0.2">
      <c r="A178" s="11"/>
      <c r="B178" s="11"/>
      <c r="C178" s="11"/>
      <c r="D178" s="11" t="str">
        <f t="shared" si="8"/>
        <v>1º GRUPO H</v>
      </c>
      <c r="E178" s="11" t="s">
        <v>433</v>
      </c>
      <c r="F178" s="11"/>
      <c r="G178" s="11" t="s">
        <v>524</v>
      </c>
      <c r="H178" s="8" t="s">
        <v>528</v>
      </c>
      <c r="I178" s="11"/>
    </row>
    <row r="179" spans="1:9" x14ac:dyDescent="0.2">
      <c r="A179" s="11"/>
      <c r="B179" s="11"/>
      <c r="C179" s="11"/>
      <c r="D179" s="11" t="str">
        <f t="shared" si="8"/>
        <v>2º GRUPO H</v>
      </c>
      <c r="E179" s="11" t="s">
        <v>433</v>
      </c>
      <c r="F179" s="11"/>
      <c r="G179" s="11" t="s">
        <v>525</v>
      </c>
      <c r="H179" s="8" t="s">
        <v>529</v>
      </c>
      <c r="I179" s="11"/>
    </row>
    <row r="180" spans="1:9" x14ac:dyDescent="0.2">
      <c r="A180" s="11"/>
      <c r="B180" s="11"/>
      <c r="C180" s="11"/>
      <c r="D180" s="11" t="str">
        <f t="shared" si="8"/>
        <v>3º GRUPO H</v>
      </c>
      <c r="E180" s="11" t="s">
        <v>433</v>
      </c>
      <c r="F180" s="11"/>
      <c r="G180" s="11" t="s">
        <v>526</v>
      </c>
      <c r="H180" s="8" t="s">
        <v>530</v>
      </c>
      <c r="I180" s="11"/>
    </row>
    <row r="181" spans="1:9" x14ac:dyDescent="0.2">
      <c r="A181" s="11"/>
      <c r="B181" s="11"/>
      <c r="C181" s="11"/>
      <c r="D181" s="11" t="str">
        <f t="shared" si="8"/>
        <v>4º GRUPO H</v>
      </c>
      <c r="E181" s="11" t="s">
        <v>433</v>
      </c>
      <c r="F181" s="11"/>
      <c r="G181" s="11" t="s">
        <v>527</v>
      </c>
      <c r="H181" s="8" t="s">
        <v>531</v>
      </c>
      <c r="I181" s="11"/>
    </row>
    <row r="182" spans="1:9" x14ac:dyDescent="0.2">
      <c r="A182" s="11"/>
      <c r="B182" s="11"/>
      <c r="C182" s="11"/>
      <c r="D182" s="11" t="str">
        <f t="shared" si="8"/>
        <v>1º GRUPO I</v>
      </c>
      <c r="E182" s="11" t="s">
        <v>433</v>
      </c>
      <c r="F182" s="11"/>
      <c r="G182" s="11" t="s">
        <v>532</v>
      </c>
      <c r="H182" s="8" t="s">
        <v>536</v>
      </c>
      <c r="I182" s="11"/>
    </row>
    <row r="183" spans="1:9" x14ac:dyDescent="0.2">
      <c r="A183" s="11"/>
      <c r="B183" s="11"/>
      <c r="C183" s="11"/>
      <c r="D183" s="11" t="str">
        <f t="shared" si="8"/>
        <v>2º GRUPO I</v>
      </c>
      <c r="E183" s="11" t="s">
        <v>433</v>
      </c>
      <c r="F183" s="11"/>
      <c r="G183" s="11" t="s">
        <v>533</v>
      </c>
      <c r="H183" s="8" t="s">
        <v>537</v>
      </c>
      <c r="I183" s="11"/>
    </row>
    <row r="184" spans="1:9" x14ac:dyDescent="0.2">
      <c r="A184" s="11"/>
      <c r="B184" s="11"/>
      <c r="C184" s="11"/>
      <c r="D184" s="11" t="str">
        <f t="shared" si="8"/>
        <v>3º GRUPO I</v>
      </c>
      <c r="E184" s="11" t="s">
        <v>433</v>
      </c>
      <c r="F184" s="11"/>
      <c r="G184" s="11" t="s">
        <v>534</v>
      </c>
      <c r="H184" s="8" t="s">
        <v>538</v>
      </c>
      <c r="I184" s="11"/>
    </row>
    <row r="185" spans="1:9" x14ac:dyDescent="0.2">
      <c r="A185" s="11"/>
      <c r="B185" s="11"/>
      <c r="C185" s="11"/>
      <c r="D185" s="11" t="str">
        <f t="shared" si="8"/>
        <v>4º GRUPO I</v>
      </c>
      <c r="E185" s="11" t="s">
        <v>433</v>
      </c>
      <c r="F185" s="11"/>
      <c r="G185" s="11" t="s">
        <v>535</v>
      </c>
      <c r="H185" s="8" t="s">
        <v>539</v>
      </c>
      <c r="I185" s="11"/>
    </row>
    <row r="186" spans="1:9" x14ac:dyDescent="0.2">
      <c r="A186" s="11"/>
      <c r="B186" s="11"/>
      <c r="C186" s="11"/>
      <c r="D186" s="11" t="str">
        <f t="shared" si="8"/>
        <v>1º GRUPO J</v>
      </c>
      <c r="E186" s="11" t="s">
        <v>433</v>
      </c>
      <c r="F186" s="11"/>
      <c r="G186" s="11" t="s">
        <v>540</v>
      </c>
      <c r="H186" s="8" t="s">
        <v>544</v>
      </c>
      <c r="I186" s="11"/>
    </row>
    <row r="187" spans="1:9" x14ac:dyDescent="0.2">
      <c r="A187" s="11"/>
      <c r="B187" s="11"/>
      <c r="C187" s="11"/>
      <c r="D187" s="11" t="str">
        <f t="shared" si="8"/>
        <v>2º GRUPO J</v>
      </c>
      <c r="E187" s="11" t="s">
        <v>433</v>
      </c>
      <c r="F187" s="11"/>
      <c r="G187" s="11" t="s">
        <v>541</v>
      </c>
      <c r="H187" s="8" t="s">
        <v>545</v>
      </c>
      <c r="I187" s="11"/>
    </row>
    <row r="188" spans="1:9" x14ac:dyDescent="0.2">
      <c r="A188" s="11"/>
      <c r="B188" s="11"/>
      <c r="C188" s="11"/>
      <c r="D188" s="11" t="str">
        <f t="shared" si="8"/>
        <v>3º GRUPO J</v>
      </c>
      <c r="E188" s="11" t="s">
        <v>433</v>
      </c>
      <c r="F188" s="11"/>
      <c r="G188" s="11" t="s">
        <v>542</v>
      </c>
      <c r="H188" s="8" t="s">
        <v>546</v>
      </c>
      <c r="I188" s="11"/>
    </row>
    <row r="189" spans="1:9" x14ac:dyDescent="0.2">
      <c r="A189" s="11"/>
      <c r="B189" s="11"/>
      <c r="C189" s="11"/>
      <c r="D189" s="11" t="str">
        <f t="shared" si="8"/>
        <v>4º GRUPO J</v>
      </c>
      <c r="E189" s="11" t="s">
        <v>433</v>
      </c>
      <c r="F189" s="11"/>
      <c r="G189" s="11" t="s">
        <v>543</v>
      </c>
      <c r="H189" s="8" t="s">
        <v>547</v>
      </c>
      <c r="I189" s="11"/>
    </row>
    <row r="190" spans="1:9" x14ac:dyDescent="0.2">
      <c r="A190" s="11"/>
      <c r="B190" s="11"/>
      <c r="C190" s="11"/>
      <c r="D190" s="11" t="str">
        <f t="shared" si="8"/>
        <v>1º GRUPO K</v>
      </c>
      <c r="E190" s="11" t="s">
        <v>433</v>
      </c>
      <c r="F190" s="11"/>
      <c r="G190" s="11" t="s">
        <v>548</v>
      </c>
      <c r="H190" s="8" t="s">
        <v>552</v>
      </c>
      <c r="I190" s="11"/>
    </row>
    <row r="191" spans="1:9" x14ac:dyDescent="0.2">
      <c r="A191" s="11"/>
      <c r="B191" s="11"/>
      <c r="C191" s="11"/>
      <c r="D191" s="11" t="str">
        <f t="shared" si="8"/>
        <v>2º GRUPO K</v>
      </c>
      <c r="E191" s="11" t="s">
        <v>433</v>
      </c>
      <c r="F191" s="11"/>
      <c r="G191" s="11" t="s">
        <v>549</v>
      </c>
      <c r="H191" s="8" t="s">
        <v>553</v>
      </c>
      <c r="I191" s="11"/>
    </row>
    <row r="192" spans="1:9" x14ac:dyDescent="0.2">
      <c r="A192" s="11"/>
      <c r="B192" s="11"/>
      <c r="C192" s="11"/>
      <c r="D192" s="11" t="str">
        <f t="shared" si="8"/>
        <v>3º GRUPO K</v>
      </c>
      <c r="E192" s="11" t="s">
        <v>433</v>
      </c>
      <c r="F192" s="11"/>
      <c r="G192" s="11" t="s">
        <v>550</v>
      </c>
      <c r="H192" s="8" t="s">
        <v>554</v>
      </c>
      <c r="I192" s="11"/>
    </row>
    <row r="193" spans="1:11" x14ac:dyDescent="0.2">
      <c r="A193" s="11"/>
      <c r="B193" s="11"/>
      <c r="C193" s="11"/>
      <c r="D193" s="11" t="str">
        <f t="shared" si="8"/>
        <v>4º GRUPO K</v>
      </c>
      <c r="E193" s="11" t="s">
        <v>433</v>
      </c>
      <c r="F193" s="11"/>
      <c r="G193" s="11" t="s">
        <v>551</v>
      </c>
      <c r="H193" s="8" t="s">
        <v>555</v>
      </c>
      <c r="I193" s="11"/>
    </row>
    <row r="194" spans="1:11" x14ac:dyDescent="0.2">
      <c r="A194" s="11"/>
      <c r="B194" s="11"/>
      <c r="C194" s="11"/>
      <c r="D194" s="11" t="str">
        <f t="shared" si="8"/>
        <v>1º GRUPO L</v>
      </c>
      <c r="E194" s="11" t="s">
        <v>433</v>
      </c>
      <c r="F194" s="11"/>
      <c r="G194" s="11" t="s">
        <v>556</v>
      </c>
      <c r="H194" s="8" t="s">
        <v>560</v>
      </c>
      <c r="I194" s="11"/>
    </row>
    <row r="195" spans="1:11" x14ac:dyDescent="0.2">
      <c r="A195" s="11"/>
      <c r="B195" s="11"/>
      <c r="C195" s="11"/>
      <c r="D195" s="11" t="str">
        <f t="shared" si="8"/>
        <v>2º GRUPO L</v>
      </c>
      <c r="E195" s="11" t="s">
        <v>433</v>
      </c>
      <c r="F195" s="11"/>
      <c r="G195" s="11" t="s">
        <v>557</v>
      </c>
      <c r="H195" s="8" t="s">
        <v>561</v>
      </c>
      <c r="I195" s="11"/>
    </row>
    <row r="196" spans="1:11" x14ac:dyDescent="0.2">
      <c r="A196" s="11"/>
      <c r="B196" s="11"/>
      <c r="C196" s="11"/>
      <c r="D196" s="11" t="str">
        <f t="shared" si="8"/>
        <v>3º GRUPO L</v>
      </c>
      <c r="E196" s="11" t="s">
        <v>433</v>
      </c>
      <c r="F196" s="11"/>
      <c r="G196" s="11" t="s">
        <v>558</v>
      </c>
      <c r="H196" s="8" t="s">
        <v>562</v>
      </c>
      <c r="I196" s="11"/>
    </row>
    <row r="197" spans="1:11" x14ac:dyDescent="0.2">
      <c r="A197" s="11"/>
      <c r="B197" s="11"/>
      <c r="C197" s="11"/>
      <c r="D197" s="11" t="str">
        <f t="shared" si="8"/>
        <v>4º GRUPO L</v>
      </c>
      <c r="E197" s="11" t="s">
        <v>433</v>
      </c>
      <c r="F197" s="11"/>
      <c r="G197" s="11" t="s">
        <v>559</v>
      </c>
      <c r="H197" s="8" t="s">
        <v>563</v>
      </c>
      <c r="I197" s="11"/>
    </row>
    <row r="198" spans="1:11" x14ac:dyDescent="0.2">
      <c r="A198" s="11"/>
      <c r="B198" s="11"/>
      <c r="C198" s="11"/>
      <c r="D198" s="11" t="str">
        <f t="shared" si="6"/>
        <v>Dieciseisavofinalista</v>
      </c>
      <c r="E198" s="11" t="s">
        <v>433</v>
      </c>
      <c r="F198" s="11" t="s">
        <v>429</v>
      </c>
      <c r="G198" s="11" t="s">
        <v>566</v>
      </c>
      <c r="H198" s="8" t="s">
        <v>567</v>
      </c>
      <c r="I198" s="11"/>
    </row>
    <row r="199" spans="1:11" x14ac:dyDescent="0.2">
      <c r="A199" s="11"/>
      <c r="B199" s="11"/>
      <c r="C199" s="11"/>
      <c r="D199" s="11" t="str">
        <f t="shared" si="6"/>
        <v>Octavofinalista</v>
      </c>
      <c r="E199" s="11" t="s">
        <v>433</v>
      </c>
      <c r="F199" s="11"/>
      <c r="G199" s="11" t="s">
        <v>1296</v>
      </c>
      <c r="H199" s="8" t="s">
        <v>401</v>
      </c>
      <c r="I199" s="11"/>
    </row>
    <row r="200" spans="1:11" x14ac:dyDescent="0.2">
      <c r="A200" s="11"/>
      <c r="B200" s="11"/>
      <c r="C200" s="11"/>
      <c r="D200" s="11" t="str">
        <f t="shared" si="6"/>
        <v>Cuartofinalista</v>
      </c>
      <c r="E200" s="11" t="s">
        <v>433</v>
      </c>
      <c r="F200" s="11" t="s">
        <v>430</v>
      </c>
      <c r="G200" s="11" t="s">
        <v>58</v>
      </c>
      <c r="H200" s="8" t="s">
        <v>402</v>
      </c>
      <c r="I200" s="11"/>
    </row>
    <row r="201" spans="1:11" x14ac:dyDescent="0.2">
      <c r="A201" s="11"/>
      <c r="B201" s="11"/>
      <c r="C201" s="11"/>
      <c r="D201" s="11" t="str">
        <f t="shared" si="6"/>
        <v>Semifinalista</v>
      </c>
      <c r="E201" s="11" t="s">
        <v>433</v>
      </c>
      <c r="F201" s="11" t="s">
        <v>431</v>
      </c>
      <c r="G201" s="11" t="s">
        <v>61</v>
      </c>
      <c r="H201" s="8" t="s">
        <v>403</v>
      </c>
      <c r="I201" s="11"/>
    </row>
    <row r="202" spans="1:11" x14ac:dyDescent="0.2">
      <c r="A202" s="11"/>
      <c r="B202" s="11"/>
      <c r="C202" s="11"/>
      <c r="D202" s="11" t="str">
        <f t="shared" si="6"/>
        <v>3º y 4º puesto</v>
      </c>
      <c r="E202" s="11" t="s">
        <v>433</v>
      </c>
      <c r="F202" s="11"/>
      <c r="G202" s="11" t="s">
        <v>491</v>
      </c>
      <c r="H202" s="8" t="s">
        <v>492</v>
      </c>
      <c r="I202" s="11"/>
    </row>
    <row r="203" spans="1:11" x14ac:dyDescent="0.2">
      <c r="A203" s="11"/>
      <c r="B203" s="11"/>
      <c r="C203" s="11"/>
      <c r="D203" s="11" t="str">
        <f t="shared" si="6"/>
        <v>Finalista</v>
      </c>
      <c r="E203" s="11" t="s">
        <v>433</v>
      </c>
      <c r="F203" s="11" t="s">
        <v>432</v>
      </c>
      <c r="G203" s="11" t="s">
        <v>64</v>
      </c>
      <c r="H203" s="8" t="s">
        <v>404</v>
      </c>
      <c r="I203" s="11"/>
    </row>
    <row r="204" spans="1:11" x14ac:dyDescent="0.2">
      <c r="A204" s="11"/>
      <c r="B204" s="11"/>
      <c r="C204" s="11"/>
      <c r="D204" s="11"/>
      <c r="E204" s="11"/>
      <c r="F204" s="11"/>
      <c r="G204" s="11"/>
      <c r="H204" s="11"/>
      <c r="I204" s="11"/>
    </row>
    <row r="205" spans="1:11" x14ac:dyDescent="0.2">
      <c r="A205" s="11"/>
      <c r="B205" s="11"/>
      <c r="C205" s="11"/>
      <c r="D205" s="11"/>
      <c r="E205" s="11"/>
      <c r="F205" s="11"/>
      <c r="G205" s="11"/>
      <c r="H205" s="11"/>
      <c r="I205" s="11"/>
    </row>
    <row r="206" spans="1:11" x14ac:dyDescent="0.2">
      <c r="A206" s="11"/>
      <c r="B206" s="11"/>
      <c r="C206" s="11"/>
      <c r="D206" s="11"/>
      <c r="E206" s="11"/>
      <c r="F206" s="11"/>
      <c r="G206" s="11"/>
      <c r="H206" s="11"/>
      <c r="I206" s="11"/>
    </row>
    <row r="207" spans="1:11" x14ac:dyDescent="0.2">
      <c r="A207" s="11"/>
      <c r="B207" s="11"/>
      <c r="C207" s="11"/>
      <c r="D207" s="11"/>
      <c r="E207" s="11"/>
      <c r="F207" s="11"/>
      <c r="G207" s="11"/>
      <c r="H207" s="11"/>
      <c r="I207" s="11"/>
      <c r="J207" s="744"/>
      <c r="K207" s="747"/>
    </row>
    <row r="208" spans="1:11" x14ac:dyDescent="0.2">
      <c r="A208" s="11"/>
      <c r="B208" s="11"/>
      <c r="C208" s="11"/>
      <c r="D208" s="11"/>
      <c r="E208" s="11"/>
      <c r="F208" s="11"/>
      <c r="G208" s="11"/>
      <c r="H208" s="11"/>
      <c r="I208" s="11"/>
    </row>
    <row r="209" spans="1:16" x14ac:dyDescent="0.2">
      <c r="A209" s="11"/>
      <c r="B209" s="11"/>
      <c r="C209" s="11"/>
      <c r="D209" s="11"/>
      <c r="E209" s="11"/>
      <c r="F209" s="11"/>
      <c r="G209" s="11"/>
      <c r="H209" s="11"/>
      <c r="I209" s="11"/>
      <c r="J209" s="744"/>
    </row>
    <row r="210" spans="1:16" x14ac:dyDescent="0.2">
      <c r="A210" s="11"/>
      <c r="B210" s="11"/>
      <c r="C210" s="11"/>
      <c r="D210" s="11"/>
      <c r="E210" s="11"/>
      <c r="F210" s="11"/>
      <c r="G210" s="11"/>
      <c r="H210" s="11"/>
      <c r="I210" s="11"/>
    </row>
    <row r="211" spans="1:16" x14ac:dyDescent="0.2">
      <c r="A211" s="11"/>
      <c r="B211" s="11"/>
      <c r="C211" s="11" t="s">
        <v>1374</v>
      </c>
      <c r="D211" s="11"/>
      <c r="E211" s="11"/>
      <c r="F211" s="11"/>
      <c r="G211" s="11"/>
      <c r="H211" s="11"/>
      <c r="I211" s="11"/>
      <c r="J211" s="744"/>
      <c r="O211" s="748" t="s">
        <v>1934</v>
      </c>
      <c r="P211" s="748"/>
    </row>
    <row r="212" spans="1:16" x14ac:dyDescent="0.2">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x14ac:dyDescent="0.2">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x14ac:dyDescent="0.2">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x14ac:dyDescent="0.2">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x14ac:dyDescent="0.2">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x14ac:dyDescent="0.2">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x14ac:dyDescent="0.2">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x14ac:dyDescent="0.2">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x14ac:dyDescent="0.2">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x14ac:dyDescent="0.2">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x14ac:dyDescent="0.2">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x14ac:dyDescent="0.2">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x14ac:dyDescent="0.2">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x14ac:dyDescent="0.2">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x14ac:dyDescent="0.2">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x14ac:dyDescent="0.2">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x14ac:dyDescent="0.2">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x14ac:dyDescent="0.2">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x14ac:dyDescent="0.2">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x14ac:dyDescent="0.2">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x14ac:dyDescent="0.2">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x14ac:dyDescent="0.2">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x14ac:dyDescent="0.2">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x14ac:dyDescent="0.2">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x14ac:dyDescent="0.2">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x14ac:dyDescent="0.2">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x14ac:dyDescent="0.2">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x14ac:dyDescent="0.2">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x14ac:dyDescent="0.2">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x14ac:dyDescent="0.2">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x14ac:dyDescent="0.2">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x14ac:dyDescent="0.2">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x14ac:dyDescent="0.2">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x14ac:dyDescent="0.2">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x14ac:dyDescent="0.2">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x14ac:dyDescent="0.2">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x14ac:dyDescent="0.2">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x14ac:dyDescent="0.2">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x14ac:dyDescent="0.2">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x14ac:dyDescent="0.2">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x14ac:dyDescent="0.2">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x14ac:dyDescent="0.2">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x14ac:dyDescent="0.2">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x14ac:dyDescent="0.2">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x14ac:dyDescent="0.2">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x14ac:dyDescent="0.2">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x14ac:dyDescent="0.2">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x14ac:dyDescent="0.2">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x14ac:dyDescent="0.2">
      <c r="A260" s="11"/>
      <c r="B260" s="11"/>
      <c r="C260" s="11"/>
      <c r="D260" s="11" t="str">
        <f t="shared" ref="D260:D264" si="12">IF($B$2,G260,H260)</f>
        <v>Dieciseisavos de final</v>
      </c>
      <c r="E260" s="11"/>
      <c r="F260" s="11"/>
      <c r="G260" s="11" t="s">
        <v>481</v>
      </c>
      <c r="H260" s="11" t="s">
        <v>482</v>
      </c>
    </row>
    <row r="261" spans="1:16" x14ac:dyDescent="0.2">
      <c r="A261" s="11"/>
      <c r="B261" s="11"/>
      <c r="C261" s="11"/>
      <c r="D261" s="11" t="str">
        <f t="shared" si="12"/>
        <v>Octavos de final</v>
      </c>
      <c r="E261" s="11"/>
      <c r="F261" s="11"/>
      <c r="G261" s="11" t="s">
        <v>87</v>
      </c>
      <c r="H261" s="11" t="s">
        <v>1452</v>
      </c>
    </row>
    <row r="262" spans="1:16" x14ac:dyDescent="0.2">
      <c r="A262" s="11"/>
      <c r="B262" s="11"/>
      <c r="C262" s="11"/>
      <c r="D262" s="11" t="str">
        <f t="shared" si="12"/>
        <v>Cuartos de final</v>
      </c>
      <c r="E262" s="11"/>
      <c r="F262" s="11"/>
      <c r="G262" s="11" t="s">
        <v>69</v>
      </c>
      <c r="H262" s="11" t="s">
        <v>219</v>
      </c>
    </row>
    <row r="263" spans="1:16" x14ac:dyDescent="0.2">
      <c r="A263" s="11"/>
      <c r="B263" s="11"/>
      <c r="C263" s="11"/>
      <c r="D263" s="11" t="str">
        <f t="shared" si="12"/>
        <v>Semifinales</v>
      </c>
      <c r="E263" s="11"/>
      <c r="F263" s="11"/>
      <c r="G263" s="11" t="s">
        <v>36</v>
      </c>
      <c r="H263" s="11" t="s">
        <v>220</v>
      </c>
    </row>
    <row r="264" spans="1:16" x14ac:dyDescent="0.2">
      <c r="A264" s="11"/>
      <c r="B264" s="11"/>
      <c r="C264" s="11"/>
      <c r="D264" s="11" t="str">
        <f t="shared" si="12"/>
        <v>3-4 &amp; Final</v>
      </c>
      <c r="E264" s="11"/>
      <c r="F264" s="11"/>
      <c r="G264" s="11" t="s">
        <v>1629</v>
      </c>
      <c r="H264" s="11" t="s">
        <v>1629</v>
      </c>
    </row>
    <row r="265" spans="1:16" x14ac:dyDescent="0.2">
      <c r="A265" s="11"/>
      <c r="B265" s="11"/>
      <c r="C265" s="11"/>
      <c r="D265" s="11"/>
      <c r="E265" s="11"/>
      <c r="F265" s="11"/>
      <c r="G265" s="11"/>
      <c r="H265" s="11"/>
    </row>
    <row r="266" spans="1:16" x14ac:dyDescent="0.2">
      <c r="A266" s="11" t="s">
        <v>375</v>
      </c>
      <c r="B266" s="11"/>
      <c r="C266" s="11"/>
      <c r="D266" s="11" t="str">
        <f t="shared" ref="D266" si="13">IF($B$2,G266,H266)</f>
        <v>Estados Unidos</v>
      </c>
      <c r="E266" s="11" t="s">
        <v>373</v>
      </c>
      <c r="F266" s="11" t="s">
        <v>374</v>
      </c>
      <c r="G266" s="11" t="s">
        <v>497</v>
      </c>
      <c r="H266" s="11" t="s">
        <v>498</v>
      </c>
    </row>
    <row r="267" spans="1:16" x14ac:dyDescent="0.2">
      <c r="A267" s="11"/>
      <c r="B267" s="11"/>
      <c r="C267" s="11"/>
      <c r="D267" s="11"/>
      <c r="E267" s="11"/>
      <c r="F267" s="11"/>
      <c r="G267" s="11"/>
      <c r="H267" s="11"/>
    </row>
    <row r="268" spans="1:16" x14ac:dyDescent="0.2">
      <c r="A268" s="11"/>
      <c r="B268" s="11"/>
      <c r="C268" s="11"/>
      <c r="D268" s="11"/>
      <c r="E268" s="11"/>
      <c r="F268" s="11"/>
      <c r="G268" s="11"/>
      <c r="H268" s="11"/>
    </row>
    <row r="269" spans="1:16" x14ac:dyDescent="0.2">
      <c r="A269" s="11"/>
      <c r="B269" s="11"/>
      <c r="C269" s="11"/>
      <c r="D269" s="11" t="str">
        <f t="shared" ref="D269:D284" si="14">IF($B$2,G269,H269)</f>
        <v>Campeón</v>
      </c>
      <c r="E269" s="11" t="s">
        <v>1242</v>
      </c>
      <c r="F269" s="11"/>
      <c r="G269" s="11" t="s">
        <v>18</v>
      </c>
      <c r="H269" s="696" t="s">
        <v>222</v>
      </c>
    </row>
    <row r="270" spans="1:16" x14ac:dyDescent="0.2">
      <c r="A270" s="11"/>
      <c r="B270" s="11"/>
      <c r="C270" s="11"/>
      <c r="D270" s="11" t="str">
        <f t="shared" si="14"/>
        <v>Subcampeón</v>
      </c>
      <c r="E270" s="11" t="s">
        <v>1242</v>
      </c>
      <c r="F270" s="11"/>
      <c r="G270" s="11" t="s">
        <v>19</v>
      </c>
      <c r="H270" s="11" t="s">
        <v>223</v>
      </c>
    </row>
    <row r="271" spans="1:16" x14ac:dyDescent="0.2">
      <c r="A271" s="11"/>
      <c r="B271" s="11"/>
      <c r="C271" s="11"/>
      <c r="D271" s="11" t="str">
        <f t="shared" si="14"/>
        <v>3º puesto</v>
      </c>
      <c r="E271" s="11" t="s">
        <v>1242</v>
      </c>
      <c r="F271" s="11"/>
      <c r="G271" s="11" t="s">
        <v>1234</v>
      </c>
      <c r="H271" s="11" t="s">
        <v>1235</v>
      </c>
    </row>
    <row r="272" spans="1:16" x14ac:dyDescent="0.2">
      <c r="A272" s="11"/>
      <c r="B272" s="11"/>
      <c r="C272" s="11"/>
      <c r="D272" s="11" t="str">
        <f t="shared" si="14"/>
        <v>Semifinales</v>
      </c>
      <c r="E272" s="11" t="s">
        <v>1242</v>
      </c>
      <c r="F272" s="11"/>
      <c r="G272" s="11" t="s">
        <v>36</v>
      </c>
      <c r="H272" s="696" t="s">
        <v>220</v>
      </c>
    </row>
    <row r="273" spans="1:8" x14ac:dyDescent="0.2">
      <c r="A273" s="11"/>
      <c r="B273" s="11"/>
      <c r="C273" s="11"/>
      <c r="D273" s="11" t="str">
        <f t="shared" si="14"/>
        <v>Cuartos de final</v>
      </c>
      <c r="E273" s="11" t="s">
        <v>1242</v>
      </c>
      <c r="F273" s="11"/>
      <c r="G273" s="11" t="s">
        <v>69</v>
      </c>
      <c r="H273" s="696" t="s">
        <v>219</v>
      </c>
    </row>
    <row r="274" spans="1:8" x14ac:dyDescent="0.2">
      <c r="A274" s="11"/>
      <c r="B274" s="11"/>
      <c r="C274" s="11"/>
      <c r="D274" s="11" t="str">
        <f t="shared" si="14"/>
        <v>Octavos de final</v>
      </c>
      <c r="E274" s="11" t="s">
        <v>1242</v>
      </c>
      <c r="F274" s="11"/>
      <c r="G274" s="11" t="s">
        <v>87</v>
      </c>
      <c r="H274" s="696" t="s">
        <v>218</v>
      </c>
    </row>
    <row r="275" spans="1:8" x14ac:dyDescent="0.2">
      <c r="A275" s="11"/>
      <c r="B275" s="11"/>
      <c r="C275" s="11"/>
      <c r="D275" s="11" t="str">
        <f t="shared" si="14"/>
        <v>Dieciseisavos de final</v>
      </c>
      <c r="E275" s="11" t="s">
        <v>1242</v>
      </c>
      <c r="F275" s="11"/>
      <c r="G275" s="11" t="s">
        <v>481</v>
      </c>
      <c r="H275" s="11" t="s">
        <v>482</v>
      </c>
    </row>
    <row r="276" spans="1:8" x14ac:dyDescent="0.2">
      <c r="A276" s="11"/>
      <c r="B276" s="11"/>
      <c r="C276" s="11"/>
      <c r="D276" s="11" t="str">
        <f t="shared" si="14"/>
        <v>Fase de grupos</v>
      </c>
      <c r="E276" s="11" t="s">
        <v>1242</v>
      </c>
      <c r="F276" s="11"/>
      <c r="G276" s="11" t="s">
        <v>1243</v>
      </c>
      <c r="H276" s="696" t="s">
        <v>1244</v>
      </c>
    </row>
    <row r="277" spans="1:8" x14ac:dyDescent="0.2">
      <c r="A277" s="11"/>
      <c r="B277" s="11"/>
      <c r="C277" s="11"/>
      <c r="D277" s="11" t="str">
        <f t="shared" si="14"/>
        <v>Pronóstica la ronda</v>
      </c>
      <c r="E277" s="11" t="s">
        <v>1242</v>
      </c>
      <c r="F277" s="11"/>
      <c r="G277" s="696" t="s">
        <v>1236</v>
      </c>
      <c r="H277" s="696" t="s">
        <v>1237</v>
      </c>
    </row>
    <row r="278" spans="1:8" x14ac:dyDescent="0.2">
      <c r="A278" s="11"/>
      <c r="B278" s="11"/>
      <c r="C278" s="11"/>
      <c r="D278" s="11" t="str">
        <f t="shared" si="14"/>
        <v>Predice la selección</v>
      </c>
      <c r="E278" s="11" t="s">
        <v>1242</v>
      </c>
      <c r="F278" s="11"/>
      <c r="G278" s="696" t="s">
        <v>1245</v>
      </c>
      <c r="H278" s="696" t="s">
        <v>1246</v>
      </c>
    </row>
    <row r="279" spans="1:8" x14ac:dyDescent="0.2">
      <c r="A279" s="11"/>
      <c r="B279" s="11"/>
      <c r="C279" s="11"/>
      <c r="D279" s="11" t="str">
        <f t="shared" si="14"/>
        <v>Ronda</v>
      </c>
      <c r="E279" s="11" t="s">
        <v>1242</v>
      </c>
      <c r="F279" s="11"/>
      <c r="G279" s="696" t="s">
        <v>1238</v>
      </c>
      <c r="H279" s="696" t="s">
        <v>1239</v>
      </c>
    </row>
    <row r="280" spans="1:8" x14ac:dyDescent="0.2">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x14ac:dyDescent="0.2">
      <c r="A281" s="11"/>
      <c r="B281" s="11"/>
      <c r="C281" s="11"/>
      <c r="D281" s="11" t="str">
        <f t="shared" si="14"/>
        <v>·Una vez elijas una selección, dejará de aparecer en la lista</v>
      </c>
      <c r="E281" s="11" t="s">
        <v>1242</v>
      </c>
      <c r="F281" s="11"/>
      <c r="G281" s="11" t="s">
        <v>1254</v>
      </c>
      <c r="H281" s="696" t="s">
        <v>1252</v>
      </c>
    </row>
    <row r="282" spans="1:8" x14ac:dyDescent="0.2">
      <c r="A282" s="11"/>
      <c r="B282" s="11"/>
      <c r="C282" s="11"/>
      <c r="D282" s="11" t="str">
        <f t="shared" si="14"/>
        <v xml:space="preserve">·Si has rellenado todos y quieres hacer un cambio, </v>
      </c>
      <c r="E282" s="11" t="s">
        <v>1242</v>
      </c>
      <c r="F282" s="11"/>
      <c r="G282" s="11" t="s">
        <v>1240</v>
      </c>
      <c r="H282" s="696" t="s">
        <v>1241</v>
      </c>
    </row>
    <row r="283" spans="1:8" x14ac:dyDescent="0.2">
      <c r="A283" s="11"/>
      <c r="B283" s="11"/>
      <c r="C283" s="11"/>
      <c r="D283" s="11" t="str">
        <f t="shared" si="14"/>
        <v xml:space="preserve"> borra las selecciones que quieras cambiar y podrás volver a elegirlas</v>
      </c>
      <c r="E283" s="11" t="s">
        <v>1242</v>
      </c>
      <c r="F283" s="11"/>
      <c r="G283" s="11" t="s">
        <v>1248</v>
      </c>
      <c r="H283" s="696" t="s">
        <v>1251</v>
      </c>
    </row>
    <row r="284" spans="1:8" x14ac:dyDescent="0.2">
      <c r="A284" s="11"/>
      <c r="B284" s="11"/>
      <c r="C284" s="11"/>
      <c r="D284" s="11" t="str">
        <f t="shared" si="14"/>
        <v>Rellenar antes del comienzo del Mundial</v>
      </c>
      <c r="E284" s="11" t="s">
        <v>1242</v>
      </c>
      <c r="F284" s="11"/>
      <c r="G284" s="11" t="s">
        <v>1249</v>
      </c>
      <c r="H284" s="696" t="s">
        <v>1250</v>
      </c>
    </row>
    <row r="285" spans="1:8" x14ac:dyDescent="0.2">
      <c r="A285" s="11"/>
      <c r="B285" s="11"/>
      <c r="C285" s="11"/>
      <c r="D285" s="11" t="str">
        <f t="shared" ref="D285" si="15">IF($B$2,G285,H285)</f>
        <v>·Si en tu grupo no vais a usar el predictor, puedes dejarlo sin rellenar</v>
      </c>
      <c r="E285" s="11" t="s">
        <v>1242</v>
      </c>
      <c r="F285" s="11"/>
      <c r="G285" s="11" t="s">
        <v>1363</v>
      </c>
      <c r="H285" s="11" t="s">
        <v>1364</v>
      </c>
    </row>
    <row r="286" spans="1:8" x14ac:dyDescent="0.2">
      <c r="A286" s="11"/>
      <c r="B286" s="11"/>
      <c r="C286" s="11"/>
      <c r="D286" s="11"/>
      <c r="E286" s="11"/>
      <c r="F286" s="11"/>
      <c r="G286" s="11"/>
      <c r="H286" s="11"/>
    </row>
    <row r="287" spans="1:8" x14ac:dyDescent="0.2">
      <c r="A287" s="11"/>
      <c r="B287" s="11"/>
      <c r="C287" s="11"/>
      <c r="D287" s="11"/>
      <c r="E287" s="11"/>
      <c r="F287" s="11"/>
      <c r="G287" s="11"/>
      <c r="H287" s="11"/>
    </row>
    <row r="288" spans="1:8" x14ac:dyDescent="0.2">
      <c r="A288" s="11"/>
      <c r="B288" s="11"/>
      <c r="C288" s="11"/>
      <c r="D288" s="11"/>
      <c r="E288" s="11"/>
      <c r="F288" s="11"/>
      <c r="G288" s="11"/>
      <c r="H288" s="11"/>
    </row>
    <row r="289" spans="1:8" x14ac:dyDescent="0.2">
      <c r="A289" s="11"/>
      <c r="B289" s="11"/>
      <c r="C289" s="11"/>
      <c r="D289" s="11"/>
      <c r="E289" s="11"/>
      <c r="F289" s="11"/>
      <c r="G289" s="11"/>
      <c r="H289" s="11"/>
    </row>
    <row r="290" spans="1:8" x14ac:dyDescent="0.2">
      <c r="A290" s="11"/>
      <c r="B290" s="11"/>
      <c r="C290" s="11"/>
      <c r="D290" s="11"/>
      <c r="E290" s="11"/>
      <c r="F290" s="11"/>
      <c r="G290" s="11"/>
      <c r="H290" s="11"/>
    </row>
    <row r="291" spans="1:8" x14ac:dyDescent="0.2">
      <c r="A291" s="11"/>
      <c r="B291" s="11"/>
      <c r="C291" s="11"/>
      <c r="D291" s="11"/>
      <c r="E291" s="11"/>
      <c r="F291" s="11"/>
      <c r="G291" s="11"/>
      <c r="H291" s="11"/>
    </row>
    <row r="292" spans="1:8" x14ac:dyDescent="0.2">
      <c r="A292" s="11"/>
      <c r="B292" s="11"/>
      <c r="C292" s="11"/>
      <c r="D292" s="11"/>
      <c r="E292" s="11"/>
      <c r="F292" s="11"/>
      <c r="G292" s="11"/>
      <c r="H292" s="11"/>
    </row>
    <row r="293" spans="1:8" x14ac:dyDescent="0.2">
      <c r="A293" s="11"/>
      <c r="B293" s="11"/>
      <c r="C293" s="11"/>
      <c r="D293" s="11"/>
      <c r="E293" s="11"/>
      <c r="F293" s="11"/>
      <c r="G293" s="11"/>
      <c r="H293" s="11"/>
    </row>
    <row r="294" spans="1:8" x14ac:dyDescent="0.2">
      <c r="A294" s="11"/>
      <c r="B294" s="11"/>
      <c r="C294" s="11"/>
      <c r="D294" s="11"/>
      <c r="E294" s="11"/>
      <c r="F294" s="11"/>
      <c r="G294" s="11"/>
      <c r="H294" s="11"/>
    </row>
    <row r="295" spans="1:8" x14ac:dyDescent="0.2">
      <c r="A295" s="11"/>
      <c r="B295" s="11"/>
      <c r="C295" s="11"/>
      <c r="D295" s="11"/>
      <c r="E295" s="11"/>
      <c r="F295" s="11"/>
      <c r="G295" s="11"/>
      <c r="H295" s="11"/>
    </row>
    <row r="296" spans="1:8" x14ac:dyDescent="0.2">
      <c r="A296" s="11"/>
      <c r="B296" s="11"/>
      <c r="C296" s="11"/>
      <c r="D296" s="11"/>
      <c r="E296" s="11"/>
      <c r="F296" s="11"/>
      <c r="G296" s="11"/>
      <c r="H296" s="11"/>
    </row>
    <row r="297" spans="1:8" x14ac:dyDescent="0.2">
      <c r="A297" s="11"/>
      <c r="B297" s="11"/>
      <c r="C297" s="11"/>
      <c r="D297" s="11"/>
      <c r="E297" s="11"/>
      <c r="F297" s="11"/>
      <c r="G297" s="11"/>
      <c r="H297" s="11"/>
    </row>
    <row r="298" spans="1:8" x14ac:dyDescent="0.2">
      <c r="A298" s="11"/>
      <c r="B298" s="11"/>
      <c r="C298" s="11"/>
      <c r="D298" s="11"/>
      <c r="E298" s="11"/>
      <c r="F298" s="11"/>
      <c r="G298" s="11"/>
      <c r="H298" s="11"/>
    </row>
    <row r="299" spans="1:8" x14ac:dyDescent="0.2">
      <c r="A299" s="11"/>
      <c r="B299" s="11"/>
      <c r="C299" s="11"/>
      <c r="D299" s="11" t="str">
        <f t="shared" ref="D299:D363" si="16">IF($B$2,G299,H299)</f>
        <v>Selecciona el Nº de Jugadores</v>
      </c>
      <c r="E299" s="780" t="s">
        <v>1375</v>
      </c>
      <c r="F299" s="780" t="s">
        <v>126</v>
      </c>
      <c r="G299" s="780" t="s">
        <v>1376</v>
      </c>
      <c r="H299" s="780" t="s">
        <v>1516</v>
      </c>
    </row>
    <row r="300" spans="1:8" x14ac:dyDescent="0.2">
      <c r="A300" s="11"/>
      <c r="B300" s="11"/>
      <c r="C300" s="11"/>
      <c r="D300" s="11" t="str">
        <f t="shared" si="16"/>
        <v>↓↓ Resultados reales ↓↓</v>
      </c>
      <c r="E300" s="780" t="s">
        <v>1375</v>
      </c>
      <c r="F300" s="780" t="s">
        <v>181</v>
      </c>
      <c r="G300" s="780" t="s">
        <v>1377</v>
      </c>
      <c r="H300" s="780" t="s">
        <v>1378</v>
      </c>
    </row>
    <row r="301" spans="1:8" x14ac:dyDescent="0.2">
      <c r="A301" s="11"/>
      <c r="B301" s="11"/>
      <c r="C301" s="11"/>
      <c r="D301" s="11" t="str">
        <f t="shared" si="16"/>
        <v>Regla* (Click para ver la explicación)</v>
      </c>
      <c r="E301" s="780" t="s">
        <v>1375</v>
      </c>
      <c r="F301" s="780" t="s">
        <v>1379</v>
      </c>
      <c r="G301" s="780" t="s">
        <v>1829</v>
      </c>
      <c r="H301" s="780" t="s">
        <v>1830</v>
      </c>
    </row>
    <row r="302" spans="1:8" x14ac:dyDescent="0.2">
      <c r="A302" s="11"/>
      <c r="B302" s="11"/>
      <c r="C302" s="11"/>
      <c r="D302" s="11" t="str">
        <f t="shared" si="16"/>
        <v>https://matejero.es/puntuaciones-excel-mundial-2026/</v>
      </c>
      <c r="E302" s="780" t="s">
        <v>1375</v>
      </c>
      <c r="F302" s="780"/>
      <c r="G302" s="781" t="s">
        <v>1828</v>
      </c>
      <c r="H302" s="781" t="s">
        <v>1917</v>
      </c>
    </row>
    <row r="303" spans="1:8" x14ac:dyDescent="0.2">
      <c r="A303" s="11"/>
      <c r="B303" s="11"/>
      <c r="C303" s="11"/>
      <c r="D303" s="11" t="str">
        <f t="shared" si="16"/>
        <v>Puntos</v>
      </c>
      <c r="E303" s="780" t="s">
        <v>1375</v>
      </c>
      <c r="F303" s="780" t="s">
        <v>1380</v>
      </c>
      <c r="G303" s="780" t="s">
        <v>1381</v>
      </c>
      <c r="H303" s="780" t="s">
        <v>1382</v>
      </c>
    </row>
    <row r="304" spans="1:8" x14ac:dyDescent="0.2">
      <c r="A304" s="11"/>
      <c r="B304" s="11"/>
      <c r="C304" s="11"/>
      <c r="D304" s="11" t="str">
        <f t="shared" si="16"/>
        <v>FASE DE GRUPOS - Signo 1X2 (local, empate, visitante)</v>
      </c>
      <c r="E304" s="780" t="s">
        <v>1375</v>
      </c>
      <c r="F304" s="780" t="s">
        <v>1383</v>
      </c>
      <c r="G304" s="780" t="s">
        <v>1774</v>
      </c>
      <c r="H304" s="780" t="s">
        <v>1775</v>
      </c>
    </row>
    <row r="305" spans="1:8" x14ac:dyDescent="0.2">
      <c r="A305" s="11"/>
      <c r="B305" s="11"/>
      <c r="C305" s="11"/>
      <c r="D305" s="11" t="str">
        <f t="shared" si="16"/>
        <v>FASE DE GRUPOS - Diferencia/Distancia de goles (Con 1X2 acertado)</v>
      </c>
      <c r="E305" s="780" t="s">
        <v>1375</v>
      </c>
      <c r="F305" s="780" t="s">
        <v>1384</v>
      </c>
      <c r="G305" s="780" t="s">
        <v>1766</v>
      </c>
      <c r="H305" s="780" t="s">
        <v>1385</v>
      </c>
    </row>
    <row r="306" spans="1:8" x14ac:dyDescent="0.2">
      <c r="A306" s="11"/>
      <c r="B306" s="11"/>
      <c r="C306" s="11"/>
      <c r="D306" s="11" t="str">
        <f t="shared" si="16"/>
        <v>FASE DE GRUPOS - Resultado exacto</v>
      </c>
      <c r="E306" s="780" t="s">
        <v>1375</v>
      </c>
      <c r="F306" s="780" t="s">
        <v>1386</v>
      </c>
      <c r="G306" s="780" t="s">
        <v>1387</v>
      </c>
      <c r="H306" s="780" t="s">
        <v>1388</v>
      </c>
    </row>
    <row r="307" spans="1:8" x14ac:dyDescent="0.2">
      <c r="A307" s="11"/>
      <c r="B307" s="11"/>
      <c r="C307" s="11"/>
      <c r="D307" s="11" t="str">
        <f t="shared" si="16"/>
        <v>FASE DE GRUPOS - Posición exacta (1º)</v>
      </c>
      <c r="E307" s="780" t="s">
        <v>1375</v>
      </c>
      <c r="F307" s="780" t="s">
        <v>1389</v>
      </c>
      <c r="G307" s="780" t="s">
        <v>1390</v>
      </c>
      <c r="H307" s="780" t="s">
        <v>1391</v>
      </c>
    </row>
    <row r="308" spans="1:8" x14ac:dyDescent="0.2">
      <c r="A308" s="11"/>
      <c r="B308" s="11"/>
      <c r="C308" s="11"/>
      <c r="D308" s="11" t="str">
        <f t="shared" si="16"/>
        <v>FASE DE GRUPOS - Posición exacta (2º)</v>
      </c>
      <c r="E308" s="780" t="s">
        <v>1375</v>
      </c>
      <c r="F308" s="780" t="s">
        <v>1398</v>
      </c>
      <c r="G308" s="780" t="s">
        <v>1392</v>
      </c>
      <c r="H308" s="780" t="s">
        <v>1393</v>
      </c>
    </row>
    <row r="309" spans="1:8" x14ac:dyDescent="0.2">
      <c r="A309" s="11"/>
      <c r="B309" s="11"/>
      <c r="C309" s="11"/>
      <c r="D309" s="11" t="str">
        <f t="shared" si="16"/>
        <v>FASE DE GRUPOS - Posición exacta (3º)</v>
      </c>
      <c r="E309" s="780" t="s">
        <v>1375</v>
      </c>
      <c r="F309" s="780" t="s">
        <v>1398</v>
      </c>
      <c r="G309" s="780" t="s">
        <v>1394</v>
      </c>
      <c r="H309" s="780" t="s">
        <v>1395</v>
      </c>
    </row>
    <row r="310" spans="1:8" x14ac:dyDescent="0.2">
      <c r="A310" s="11"/>
      <c r="B310" s="11"/>
      <c r="C310" s="11"/>
      <c r="D310" s="11" t="str">
        <f t="shared" si="16"/>
        <v>FASE DE GRUPOS - Posición exacta (4º)</v>
      </c>
      <c r="E310" s="780" t="s">
        <v>1375</v>
      </c>
      <c r="F310" s="780" t="s">
        <v>1400</v>
      </c>
      <c r="G310" s="780" t="s">
        <v>1396</v>
      </c>
      <c r="H310" s="780" t="s">
        <v>1397</v>
      </c>
    </row>
    <row r="311" spans="1:8" x14ac:dyDescent="0.2">
      <c r="A311" s="11"/>
      <c r="B311" s="11"/>
      <c r="C311" s="11"/>
      <c r="D311" s="11" t="str">
        <f t="shared" si="16"/>
        <v>Equipo clasificado para DIECISEISAVOS</v>
      </c>
      <c r="E311" s="780" t="s">
        <v>1375</v>
      </c>
      <c r="F311" s="780" t="s">
        <v>1403</v>
      </c>
      <c r="G311" s="780" t="s">
        <v>1540</v>
      </c>
      <c r="H311" s="780" t="s">
        <v>1572</v>
      </c>
    </row>
    <row r="312" spans="1:8" x14ac:dyDescent="0.2">
      <c r="A312" s="11"/>
      <c r="B312" s="11"/>
      <c r="C312" s="11"/>
      <c r="D312" s="11" t="str">
        <f t="shared" si="16"/>
        <v>DIECISEISAVOS - Signo 1X2 (local, empate, visitante)</v>
      </c>
      <c r="E312" s="780" t="s">
        <v>1375</v>
      </c>
      <c r="F312" s="780" t="s">
        <v>1405</v>
      </c>
      <c r="G312" s="780" t="s">
        <v>1542</v>
      </c>
      <c r="H312" s="780" t="s">
        <v>1547</v>
      </c>
    </row>
    <row r="313" spans="1:8" x14ac:dyDescent="0.2">
      <c r="A313" s="11"/>
      <c r="B313" s="11"/>
      <c r="C313" s="11"/>
      <c r="D313" s="11" t="str">
        <f t="shared" si="16"/>
        <v>DIECISEISAVOS - Diferencia/Distancia de goles (Con 1X2 acertado)</v>
      </c>
      <c r="E313" s="780" t="s">
        <v>1375</v>
      </c>
      <c r="F313" s="780" t="s">
        <v>1400</v>
      </c>
      <c r="G313" s="780" t="s">
        <v>1767</v>
      </c>
      <c r="H313" s="780" t="s">
        <v>1548</v>
      </c>
    </row>
    <row r="314" spans="1:8" x14ac:dyDescent="0.2">
      <c r="A314" s="11"/>
      <c r="B314" s="11"/>
      <c r="C314" s="11"/>
      <c r="D314" s="11" t="str">
        <f t="shared" si="16"/>
        <v>DIECISEISAVOS - Resultado exacto</v>
      </c>
      <c r="E314" s="780" t="s">
        <v>1375</v>
      </c>
      <c r="F314" s="780" t="s">
        <v>1403</v>
      </c>
      <c r="G314" s="780" t="s">
        <v>1541</v>
      </c>
      <c r="H314" s="780" t="s">
        <v>1549</v>
      </c>
    </row>
    <row r="315" spans="1:8" x14ac:dyDescent="0.2">
      <c r="A315" s="11"/>
      <c r="B315" s="11"/>
      <c r="C315" s="11"/>
      <c r="D315" s="11" t="str">
        <f t="shared" si="16"/>
        <v>Equipo clasificado para OCTAVOS</v>
      </c>
      <c r="E315" s="780" t="s">
        <v>1375</v>
      </c>
      <c r="F315" s="780" t="s">
        <v>1405</v>
      </c>
      <c r="G315" s="780" t="s">
        <v>1399</v>
      </c>
      <c r="H315" s="780" t="s">
        <v>1561</v>
      </c>
    </row>
    <row r="316" spans="1:8" x14ac:dyDescent="0.2">
      <c r="A316" s="11"/>
      <c r="B316" s="11"/>
      <c r="C316" s="11"/>
      <c r="D316" s="11" t="str">
        <f t="shared" si="16"/>
        <v>OCTAVOS - Signo 1X2  (local, empate, visitante)</v>
      </c>
      <c r="E316" s="780" t="s">
        <v>1375</v>
      </c>
      <c r="F316" s="780" t="s">
        <v>1407</v>
      </c>
      <c r="G316" s="780" t="s">
        <v>1401</v>
      </c>
      <c r="H316" s="780" t="s">
        <v>1402</v>
      </c>
    </row>
    <row r="317" spans="1:8" x14ac:dyDescent="0.2">
      <c r="A317" s="11"/>
      <c r="B317" s="11"/>
      <c r="C317" s="11"/>
      <c r="D317" s="11" t="str">
        <f t="shared" si="16"/>
        <v>OCTAVOS -Diferencia/Distancia de goles (Con 1X2 acertado)</v>
      </c>
      <c r="E317" s="780" t="s">
        <v>1375</v>
      </c>
      <c r="F317" s="780" t="s">
        <v>1409</v>
      </c>
      <c r="G317" s="780" t="s">
        <v>1768</v>
      </c>
      <c r="H317" s="780" t="s">
        <v>1404</v>
      </c>
    </row>
    <row r="318" spans="1:8" x14ac:dyDescent="0.2">
      <c r="A318" s="11"/>
      <c r="B318" s="11"/>
      <c r="C318" s="11"/>
      <c r="D318" s="11" t="str">
        <f t="shared" si="16"/>
        <v>OCTAVOS - Resultado exacto</v>
      </c>
      <c r="E318" s="780" t="s">
        <v>1375</v>
      </c>
      <c r="F318" s="780" t="s">
        <v>1412</v>
      </c>
      <c r="G318" s="780" t="s">
        <v>1406</v>
      </c>
      <c r="H318" s="780" t="s">
        <v>1517</v>
      </c>
    </row>
    <row r="319" spans="1:8" x14ac:dyDescent="0.2">
      <c r="A319" s="11"/>
      <c r="B319" s="11"/>
      <c r="C319" s="11"/>
      <c r="D319" s="11" t="str">
        <f t="shared" si="16"/>
        <v>Equipo clasificado para CUARTOS</v>
      </c>
      <c r="E319" s="780" t="s">
        <v>1375</v>
      </c>
      <c r="F319" s="780" t="s">
        <v>1414</v>
      </c>
      <c r="G319" s="780" t="s">
        <v>1408</v>
      </c>
      <c r="H319" s="780" t="s">
        <v>1518</v>
      </c>
    </row>
    <row r="320" spans="1:8" x14ac:dyDescent="0.2">
      <c r="A320" s="11"/>
      <c r="B320" s="11"/>
      <c r="C320" s="11"/>
      <c r="D320" s="11" t="str">
        <f t="shared" si="16"/>
        <v>CUARTOS - Signo 1X2  (local, empate, visitante)</v>
      </c>
      <c r="E320" s="780" t="s">
        <v>1375</v>
      </c>
      <c r="F320" s="780" t="s">
        <v>1416</v>
      </c>
      <c r="G320" s="780" t="s">
        <v>1410</v>
      </c>
      <c r="H320" s="780" t="s">
        <v>1411</v>
      </c>
    </row>
    <row r="321" spans="1:8" x14ac:dyDescent="0.2">
      <c r="A321" s="11"/>
      <c r="B321" s="11"/>
      <c r="C321" s="11"/>
      <c r="D321" s="11" t="str">
        <f t="shared" si="16"/>
        <v>CUARTOS -Diferencia/Distancia de goles (Con 1X2 acertado)</v>
      </c>
      <c r="E321" s="780" t="s">
        <v>1375</v>
      </c>
      <c r="F321" s="780" t="s">
        <v>1418</v>
      </c>
      <c r="G321" s="780" t="s">
        <v>1769</v>
      </c>
      <c r="H321" s="780" t="s">
        <v>1413</v>
      </c>
    </row>
    <row r="322" spans="1:8" x14ac:dyDescent="0.2">
      <c r="A322" s="11"/>
      <c r="B322" s="11"/>
      <c r="C322" s="11"/>
      <c r="D322" s="11" t="str">
        <f t="shared" si="16"/>
        <v>CUARTOS - Resultado exacto</v>
      </c>
      <c r="E322" s="780" t="s">
        <v>1375</v>
      </c>
      <c r="F322" s="780" t="s">
        <v>1421</v>
      </c>
      <c r="G322" s="780" t="s">
        <v>1415</v>
      </c>
      <c r="H322" s="780" t="s">
        <v>1519</v>
      </c>
    </row>
    <row r="323" spans="1:8" x14ac:dyDescent="0.2">
      <c r="A323" s="11"/>
      <c r="B323" s="11"/>
      <c r="C323" s="11"/>
      <c r="D323" s="11" t="str">
        <f t="shared" si="16"/>
        <v>Equipo clasificado para SEMIFINALES</v>
      </c>
      <c r="E323" s="780" t="s">
        <v>1375</v>
      </c>
      <c r="F323" s="780" t="s">
        <v>1423</v>
      </c>
      <c r="G323" s="780" t="s">
        <v>1417</v>
      </c>
      <c r="H323" s="780" t="s">
        <v>1562</v>
      </c>
    </row>
    <row r="324" spans="1:8" x14ac:dyDescent="0.2">
      <c r="A324" s="11"/>
      <c r="B324" s="11"/>
      <c r="C324" s="11"/>
      <c r="D324" s="11" t="str">
        <f t="shared" si="16"/>
        <v>SEMIFINALES - Signo 1X2  (local, empate, visitante)</v>
      </c>
      <c r="E324" s="780" t="s">
        <v>1375</v>
      </c>
      <c r="F324" s="780" t="s">
        <v>1426</v>
      </c>
      <c r="G324" s="780" t="s">
        <v>1419</v>
      </c>
      <c r="H324" s="780" t="s">
        <v>1420</v>
      </c>
    </row>
    <row r="325" spans="1:8" x14ac:dyDescent="0.2">
      <c r="A325" s="11"/>
      <c r="B325" s="11"/>
      <c r="C325" s="11"/>
      <c r="D325" s="11" t="str">
        <f t="shared" si="16"/>
        <v>SEMIFINALES -Diferencia/Distancia de goles (Con 1X2 acertado)</v>
      </c>
      <c r="E325" s="780" t="s">
        <v>1375</v>
      </c>
      <c r="F325" s="780" t="s">
        <v>1426</v>
      </c>
      <c r="G325" s="780" t="s">
        <v>1770</v>
      </c>
      <c r="H325" s="780" t="s">
        <v>1422</v>
      </c>
    </row>
    <row r="326" spans="1:8" x14ac:dyDescent="0.2">
      <c r="A326" s="11"/>
      <c r="B326" s="11"/>
      <c r="C326" s="11"/>
      <c r="D326" s="11" t="str">
        <f t="shared" si="16"/>
        <v>SEMIFINALES - Resultado exacto</v>
      </c>
      <c r="E326" s="780" t="s">
        <v>1375</v>
      </c>
      <c r="F326" s="780" t="s">
        <v>1427</v>
      </c>
      <c r="G326" s="780" t="s">
        <v>1424</v>
      </c>
      <c r="H326" s="780" t="s">
        <v>1425</v>
      </c>
    </row>
    <row r="327" spans="1:8" x14ac:dyDescent="0.2">
      <c r="A327" s="11"/>
      <c r="B327" s="11"/>
      <c r="C327" s="11"/>
      <c r="D327" s="11" t="str">
        <f t="shared" si="16"/>
        <v>Equipo clasificado para 3º y 4º puesto</v>
      </c>
      <c r="E327" s="780" t="s">
        <v>1375</v>
      </c>
      <c r="F327" s="780" t="s">
        <v>1430</v>
      </c>
      <c r="G327" s="780" t="s">
        <v>1544</v>
      </c>
      <c r="H327" s="780" t="s">
        <v>1710</v>
      </c>
    </row>
    <row r="328" spans="1:8" x14ac:dyDescent="0.2">
      <c r="A328" s="11"/>
      <c r="B328" s="11"/>
      <c r="C328" s="11"/>
      <c r="D328" s="11" t="str">
        <f t="shared" si="16"/>
        <v>Equipo clasificado para FINAL</v>
      </c>
      <c r="E328" s="780" t="s">
        <v>1375</v>
      </c>
      <c r="F328" s="780" t="s">
        <v>1432</v>
      </c>
      <c r="G328" s="780" t="s">
        <v>1543</v>
      </c>
      <c r="H328" s="780" t="s">
        <v>1520</v>
      </c>
    </row>
    <row r="329" spans="1:8" x14ac:dyDescent="0.2">
      <c r="A329" s="11"/>
      <c r="B329" s="11"/>
      <c r="C329" s="11"/>
      <c r="D329" s="11" t="str">
        <f t="shared" si="16"/>
        <v>3ºy4º PUESTO - Signo 1X2  (local, empate, visitante)</v>
      </c>
      <c r="E329" s="780" t="s">
        <v>1375</v>
      </c>
      <c r="F329" s="780" t="s">
        <v>1435</v>
      </c>
      <c r="G329" s="780" t="s">
        <v>1545</v>
      </c>
      <c r="H329" s="780" t="s">
        <v>1563</v>
      </c>
    </row>
    <row r="330" spans="1:8" x14ac:dyDescent="0.2">
      <c r="A330" s="11"/>
      <c r="B330" s="11"/>
      <c r="C330" s="11"/>
      <c r="D330" s="11" t="str">
        <f t="shared" si="16"/>
        <v>3ºy4º PUESTO - Diferencia/Distancia de goles (Con 1X2 acertado)</v>
      </c>
      <c r="E330" s="780" t="s">
        <v>1375</v>
      </c>
      <c r="F330" s="780" t="s">
        <v>1436</v>
      </c>
      <c r="G330" s="780" t="s">
        <v>1771</v>
      </c>
      <c r="H330" s="780" t="s">
        <v>1564</v>
      </c>
    </row>
    <row r="331" spans="1:8" x14ac:dyDescent="0.2">
      <c r="A331" s="11"/>
      <c r="B331" s="11"/>
      <c r="C331" s="11"/>
      <c r="D331" s="11" t="str">
        <f t="shared" si="16"/>
        <v>3ºy4º PUESTO - Resultado exacto</v>
      </c>
      <c r="E331" s="780" t="s">
        <v>1375</v>
      </c>
      <c r="F331" s="780" t="s">
        <v>1437</v>
      </c>
      <c r="G331" s="780" t="s">
        <v>1546</v>
      </c>
      <c r="H331" s="780" t="s">
        <v>1565</v>
      </c>
    </row>
    <row r="332" spans="1:8" x14ac:dyDescent="0.2">
      <c r="A332" s="11"/>
      <c r="B332" s="11"/>
      <c r="C332" s="11"/>
      <c r="D332" s="11" t="str">
        <f t="shared" si="16"/>
        <v>FINAL - Signo 1X2  (local, empate, visitante)</v>
      </c>
      <c r="E332" s="780" t="s">
        <v>1375</v>
      </c>
      <c r="F332" s="780" t="s">
        <v>1439</v>
      </c>
      <c r="G332" s="780" t="s">
        <v>1428</v>
      </c>
      <c r="H332" s="780" t="s">
        <v>1429</v>
      </c>
    </row>
    <row r="333" spans="1:8" x14ac:dyDescent="0.2">
      <c r="A333" s="11"/>
      <c r="B333" s="11"/>
      <c r="C333" s="11"/>
      <c r="D333" s="11" t="str">
        <f t="shared" si="16"/>
        <v>FINAL - Diferencia/Distancia de goles (Con 1X2 acertado)</v>
      </c>
      <c r="E333" s="780" t="s">
        <v>1375</v>
      </c>
      <c r="F333" s="780" t="s">
        <v>1441</v>
      </c>
      <c r="G333" s="780" t="s">
        <v>1772</v>
      </c>
      <c r="H333" s="780" t="s">
        <v>1431</v>
      </c>
    </row>
    <row r="334" spans="1:8" x14ac:dyDescent="0.2">
      <c r="A334" s="11"/>
      <c r="B334" s="11"/>
      <c r="C334" s="11"/>
      <c r="D334" s="11" t="str">
        <f t="shared" si="16"/>
        <v>FINAL - Resultado exacto</v>
      </c>
      <c r="E334" s="780" t="s">
        <v>1375</v>
      </c>
      <c r="F334" s="780" t="s">
        <v>1443</v>
      </c>
      <c r="G334" s="780" t="s">
        <v>1433</v>
      </c>
      <c r="H334" s="780" t="s">
        <v>1434</v>
      </c>
    </row>
    <row r="335" spans="1:8" x14ac:dyDescent="0.2">
      <c r="A335" s="11"/>
      <c r="B335" s="11"/>
      <c r="C335" s="11"/>
      <c r="D335" s="11" t="str">
        <f t="shared" si="16"/>
        <v>Campeón</v>
      </c>
      <c r="E335" s="780"/>
      <c r="F335" s="780"/>
      <c r="G335" s="780" t="s">
        <v>18</v>
      </c>
      <c r="H335" s="780" t="s">
        <v>222</v>
      </c>
    </row>
    <row r="336" spans="1:8" x14ac:dyDescent="0.2">
      <c r="A336" s="11"/>
      <c r="B336" s="11"/>
      <c r="C336" s="11"/>
      <c r="D336" s="11" t="str">
        <f t="shared" si="16"/>
        <v>Subcampeón</v>
      </c>
      <c r="E336" s="780"/>
      <c r="F336" s="780"/>
      <c r="G336" s="780" t="s">
        <v>19</v>
      </c>
      <c r="H336" s="780" t="s">
        <v>223</v>
      </c>
    </row>
    <row r="337" spans="1:8" x14ac:dyDescent="0.2">
      <c r="A337" s="11"/>
      <c r="B337" s="11"/>
      <c r="C337" s="11"/>
      <c r="D337" s="11" t="str">
        <f t="shared" si="16"/>
        <v>3º puesto</v>
      </c>
      <c r="E337" s="780"/>
      <c r="F337" s="780"/>
      <c r="G337" s="780" t="s">
        <v>1234</v>
      </c>
      <c r="H337" s="780" t="s">
        <v>1235</v>
      </c>
    </row>
    <row r="338" spans="1:8" x14ac:dyDescent="0.2">
      <c r="A338" s="11"/>
      <c r="B338" s="11"/>
      <c r="C338" s="11"/>
      <c r="D338" s="11" t="str">
        <f t="shared" si="16"/>
        <v>Bota de Oro  (máximo goleador)</v>
      </c>
      <c r="E338" s="780" t="s">
        <v>1375</v>
      </c>
      <c r="F338" s="780" t="s">
        <v>1446</v>
      </c>
      <c r="G338" s="780" t="s">
        <v>499</v>
      </c>
      <c r="H338" s="780" t="s">
        <v>1566</v>
      </c>
    </row>
    <row r="339" spans="1:8" x14ac:dyDescent="0.2">
      <c r="A339" s="11"/>
      <c r="B339" s="11"/>
      <c r="C339" s="11"/>
      <c r="D339" s="11" t="str">
        <f t="shared" si="16"/>
        <v>Bota de Plata (2º máximo goleador)</v>
      </c>
      <c r="E339" s="780" t="s">
        <v>1449</v>
      </c>
      <c r="F339" s="780" t="s">
        <v>1450</v>
      </c>
      <c r="G339" s="780" t="s">
        <v>500</v>
      </c>
      <c r="H339" s="780" t="s">
        <v>1567</v>
      </c>
    </row>
    <row r="340" spans="1:8" x14ac:dyDescent="0.2">
      <c r="A340" s="11"/>
      <c r="B340" s="11"/>
      <c r="C340" s="11"/>
      <c r="D340" s="11" t="str">
        <f t="shared" si="16"/>
        <v>Bota de Bronce (3º máximo goleador)</v>
      </c>
      <c r="E340" s="780" t="s">
        <v>1375</v>
      </c>
      <c r="F340" s="780" t="s">
        <v>1458</v>
      </c>
      <c r="G340" s="780" t="s">
        <v>501</v>
      </c>
      <c r="H340" s="780" t="s">
        <v>1568</v>
      </c>
    </row>
    <row r="341" spans="1:8" x14ac:dyDescent="0.2">
      <c r="A341" s="11"/>
      <c r="B341" s="11"/>
      <c r="C341" s="11"/>
      <c r="D341" s="11" t="str">
        <f t="shared" si="16"/>
        <v>Balón de Oro  (mejor jugador)</v>
      </c>
      <c r="E341" s="780" t="s">
        <v>1375</v>
      </c>
      <c r="F341" s="780" t="s">
        <v>1453</v>
      </c>
      <c r="G341" s="780" t="s">
        <v>502</v>
      </c>
      <c r="H341" s="780" t="s">
        <v>1569</v>
      </c>
    </row>
    <row r="342" spans="1:8" x14ac:dyDescent="0.2">
      <c r="A342" s="11"/>
      <c r="B342" s="11"/>
      <c r="C342" s="11"/>
      <c r="D342" s="11" t="str">
        <f t="shared" si="16"/>
        <v>Balón de Plata (2º mejor jugador)</v>
      </c>
      <c r="E342" s="780" t="s">
        <v>1449</v>
      </c>
      <c r="F342" s="780" t="s">
        <v>1456</v>
      </c>
      <c r="G342" s="780" t="s">
        <v>503</v>
      </c>
      <c r="H342" s="780" t="s">
        <v>1570</v>
      </c>
    </row>
    <row r="343" spans="1:8" x14ac:dyDescent="0.2">
      <c r="A343" s="11"/>
      <c r="B343" s="11"/>
      <c r="C343" s="11"/>
      <c r="D343" s="11" t="str">
        <f t="shared" si="16"/>
        <v>Balón de Bronce (3º mejor jugador)</v>
      </c>
      <c r="E343" s="780" t="s">
        <v>1375</v>
      </c>
      <c r="F343" s="780" t="s">
        <v>1458</v>
      </c>
      <c r="G343" s="780" t="s">
        <v>504</v>
      </c>
      <c r="H343" s="780" t="s">
        <v>1571</v>
      </c>
    </row>
    <row r="344" spans="1:8" x14ac:dyDescent="0.2">
      <c r="A344" s="11"/>
      <c r="B344" s="11"/>
      <c r="C344" s="11"/>
      <c r="D344" s="11" t="str">
        <f t="shared" si="16"/>
        <v>Fase de grupos</v>
      </c>
      <c r="E344" s="780" t="s">
        <v>1449</v>
      </c>
      <c r="F344" s="780" t="s">
        <v>1461</v>
      </c>
      <c r="G344" s="780" t="s">
        <v>1243</v>
      </c>
      <c r="H344" s="780" t="s">
        <v>1442</v>
      </c>
    </row>
    <row r="345" spans="1:8" x14ac:dyDescent="0.2">
      <c r="A345" s="11"/>
      <c r="B345" s="11"/>
      <c r="C345" s="11"/>
      <c r="D345" s="11" t="str">
        <f t="shared" si="16"/>
        <v>Posición grupos</v>
      </c>
      <c r="E345" s="780" t="s">
        <v>1375</v>
      </c>
      <c r="F345" s="780" t="s">
        <v>1463</v>
      </c>
      <c r="G345" s="780" t="s">
        <v>1444</v>
      </c>
      <c r="H345" s="780" t="s">
        <v>1445</v>
      </c>
    </row>
    <row r="346" spans="1:8" x14ac:dyDescent="0.2">
      <c r="A346" s="11"/>
      <c r="B346" s="11"/>
      <c r="C346" s="11"/>
      <c r="D346" s="11" t="str">
        <f t="shared" si="16"/>
        <v>CLASIFICADOS PARA PLAYOFFS</v>
      </c>
      <c r="E346" s="780" t="s">
        <v>1449</v>
      </c>
      <c r="F346" s="780" t="s">
        <v>1466</v>
      </c>
      <c r="G346" s="780" t="s">
        <v>1521</v>
      </c>
      <c r="H346" s="780" t="s">
        <v>1522</v>
      </c>
    </row>
    <row r="347" spans="1:8" x14ac:dyDescent="0.2">
      <c r="A347" s="11"/>
      <c r="B347" s="11"/>
      <c r="C347" s="11"/>
      <c r="D347" s="11" t="str">
        <f t="shared" si="16"/>
        <v>CLASIFICADOS PARA OCTAVOS (Desde Fase Liga)</v>
      </c>
      <c r="E347" s="780" t="s">
        <v>1375</v>
      </c>
      <c r="F347" s="780" t="s">
        <v>1468</v>
      </c>
      <c r="G347" s="780" t="s">
        <v>1523</v>
      </c>
      <c r="H347" s="780" t="s">
        <v>1524</v>
      </c>
    </row>
    <row r="348" spans="1:8" x14ac:dyDescent="0.2">
      <c r="A348" s="11"/>
      <c r="B348" s="11"/>
      <c r="C348" s="11"/>
      <c r="D348" s="11" t="str">
        <f t="shared" si="16"/>
        <v>CLASIFICADOS PARA OCTAVOS (DESDE PLAYOFFS)</v>
      </c>
      <c r="E348" s="780" t="s">
        <v>1375</v>
      </c>
      <c r="F348" s="780" t="s">
        <v>1470</v>
      </c>
      <c r="G348" s="780" t="s">
        <v>1525</v>
      </c>
      <c r="H348" s="780" t="s">
        <v>1526</v>
      </c>
    </row>
    <row r="349" spans="1:8" x14ac:dyDescent="0.2">
      <c r="A349" s="11"/>
      <c r="B349" s="11"/>
      <c r="C349" s="11"/>
      <c r="D349" s="11" t="str">
        <f t="shared" si="16"/>
        <v>Clasificados para Octavos de Final</v>
      </c>
      <c r="E349" s="780" t="s">
        <v>1375</v>
      </c>
      <c r="F349" s="780" t="s">
        <v>1471</v>
      </c>
      <c r="G349" s="780" t="s">
        <v>1447</v>
      </c>
      <c r="H349" s="780" t="s">
        <v>1448</v>
      </c>
    </row>
    <row r="350" spans="1:8" x14ac:dyDescent="0.2">
      <c r="A350" s="11"/>
      <c r="B350" s="11"/>
      <c r="C350" s="11"/>
      <c r="D350" s="11" t="str">
        <f t="shared" si="16"/>
        <v>Enfrentamientos Octavos de Final</v>
      </c>
      <c r="E350" s="780" t="s">
        <v>1375</v>
      </c>
      <c r="F350" s="780" t="s">
        <v>1472</v>
      </c>
      <c r="G350" s="780" t="s">
        <v>1451</v>
      </c>
      <c r="H350" s="780" t="s">
        <v>1452</v>
      </c>
    </row>
    <row r="351" spans="1:8" x14ac:dyDescent="0.2">
      <c r="A351" s="11"/>
      <c r="B351" s="11"/>
      <c r="C351" s="11"/>
      <c r="D351" s="11" t="str">
        <f t="shared" si="16"/>
        <v>Clasificados para Cuartos de Final</v>
      </c>
      <c r="E351" s="780" t="s">
        <v>1375</v>
      </c>
      <c r="F351" s="780" t="s">
        <v>1474</v>
      </c>
      <c r="G351" s="780" t="s">
        <v>1454</v>
      </c>
      <c r="H351" s="780" t="s">
        <v>1527</v>
      </c>
    </row>
    <row r="352" spans="1:8" x14ac:dyDescent="0.2">
      <c r="A352" s="11"/>
      <c r="B352" s="11"/>
      <c r="C352" s="11"/>
      <c r="D352" s="11" t="str">
        <f t="shared" si="16"/>
        <v>Clasificados para Cuartos de Final</v>
      </c>
      <c r="E352" s="780" t="s">
        <v>1375</v>
      </c>
      <c r="F352" s="780" t="s">
        <v>28</v>
      </c>
      <c r="G352" s="780" t="s">
        <v>1454</v>
      </c>
      <c r="H352" s="780" t="s">
        <v>1455</v>
      </c>
    </row>
    <row r="353" spans="1:8" x14ac:dyDescent="0.2">
      <c r="A353" s="11"/>
      <c r="B353" s="11"/>
      <c r="C353" s="11"/>
      <c r="D353" s="11" t="str">
        <f t="shared" si="16"/>
        <v>Enfrentamientos Cuartos de Final</v>
      </c>
      <c r="E353" s="780" t="s">
        <v>1375</v>
      </c>
      <c r="F353" s="780"/>
      <c r="G353" s="780" t="s">
        <v>1457</v>
      </c>
      <c r="H353" s="780" t="s">
        <v>219</v>
      </c>
    </row>
    <row r="354" spans="1:8" x14ac:dyDescent="0.2">
      <c r="A354" s="11"/>
      <c r="B354" s="11"/>
      <c r="C354" s="11"/>
      <c r="D354" s="11" t="str">
        <f t="shared" si="16"/>
        <v>Clasificados para Semifinales</v>
      </c>
      <c r="E354" s="780" t="s">
        <v>1375</v>
      </c>
      <c r="F354" s="780"/>
      <c r="G354" s="780" t="s">
        <v>1459</v>
      </c>
      <c r="H354" s="780" t="s">
        <v>1460</v>
      </c>
    </row>
    <row r="355" spans="1:8" x14ac:dyDescent="0.2">
      <c r="A355" s="11"/>
      <c r="B355" s="11"/>
      <c r="C355" s="11"/>
      <c r="D355" s="11" t="str">
        <f t="shared" si="16"/>
        <v>Enfrentamientos Semifinales</v>
      </c>
      <c r="E355" s="780" t="s">
        <v>1375</v>
      </c>
      <c r="F355" s="780"/>
      <c r="G355" s="780" t="s">
        <v>1462</v>
      </c>
      <c r="H355" s="780" t="s">
        <v>220</v>
      </c>
    </row>
    <row r="356" spans="1:8" x14ac:dyDescent="0.2">
      <c r="A356" s="11"/>
      <c r="B356" s="11"/>
      <c r="C356" s="11"/>
      <c r="D356" s="11" t="str">
        <f t="shared" si="16"/>
        <v>Clasificados para la Final</v>
      </c>
      <c r="E356" s="780" t="s">
        <v>1375</v>
      </c>
      <c r="F356" s="780"/>
      <c r="G356" s="780" t="s">
        <v>1464</v>
      </c>
      <c r="H356" s="780" t="s">
        <v>1465</v>
      </c>
    </row>
    <row r="357" spans="1:8" x14ac:dyDescent="0.2">
      <c r="A357" s="11"/>
      <c r="B357" s="11"/>
      <c r="C357" s="11"/>
      <c r="D357" s="11" t="str">
        <f t="shared" si="16"/>
        <v>Partido Final</v>
      </c>
      <c r="E357" s="780" t="s">
        <v>1375</v>
      </c>
      <c r="F357" s="780"/>
      <c r="G357" s="780" t="s">
        <v>1467</v>
      </c>
      <c r="H357" s="780" t="s">
        <v>37</v>
      </c>
    </row>
    <row r="358" spans="1:8" x14ac:dyDescent="0.2">
      <c r="A358" s="11"/>
      <c r="B358" s="11"/>
      <c r="C358" s="11"/>
      <c r="D358" s="11" t="str">
        <f t="shared" si="16"/>
        <v>Cuadro de honor</v>
      </c>
      <c r="E358" s="780" t="s">
        <v>1375</v>
      </c>
      <c r="F358" s="780"/>
      <c r="G358" s="780" t="s">
        <v>1310</v>
      </c>
      <c r="H358" s="780" t="s">
        <v>1469</v>
      </c>
    </row>
    <row r="359" spans="1:8" x14ac:dyDescent="0.2">
      <c r="A359" s="11"/>
      <c r="B359" s="11"/>
      <c r="C359" s="11"/>
      <c r="D359" s="11" t="str">
        <f t="shared" si="16"/>
        <v>Campeón</v>
      </c>
      <c r="E359" s="780" t="s">
        <v>1375</v>
      </c>
      <c r="F359" s="780"/>
      <c r="G359" s="780" t="s">
        <v>18</v>
      </c>
      <c r="H359" s="780" t="s">
        <v>222</v>
      </c>
    </row>
    <row r="360" spans="1:8" x14ac:dyDescent="0.2">
      <c r="A360" s="11"/>
      <c r="B360" s="11"/>
      <c r="C360" s="11"/>
      <c r="D360" s="11" t="str">
        <f t="shared" si="16"/>
        <v>Subcampeón</v>
      </c>
      <c r="E360" s="780" t="s">
        <v>1375</v>
      </c>
      <c r="F360" s="780"/>
      <c r="G360" s="780" t="s">
        <v>19</v>
      </c>
      <c r="H360" s="780" t="s">
        <v>223</v>
      </c>
    </row>
    <row r="361" spans="1:8" x14ac:dyDescent="0.2">
      <c r="A361" s="11"/>
      <c r="B361" s="11"/>
      <c r="C361" s="11"/>
      <c r="D361" s="11" t="str">
        <f t="shared" si="16"/>
        <v>Goleador del torneo</v>
      </c>
      <c r="E361" s="780" t="s">
        <v>1375</v>
      </c>
      <c r="F361" s="780"/>
      <c r="G361" s="780" t="s">
        <v>1438</v>
      </c>
      <c r="H361" s="780" t="s">
        <v>1473</v>
      </c>
    </row>
    <row r="362" spans="1:8" x14ac:dyDescent="0.2">
      <c r="A362" s="11"/>
      <c r="B362" s="11"/>
      <c r="C362" s="11"/>
      <c r="D362" s="11" t="str">
        <f t="shared" si="16"/>
        <v>Mejor jugador del torneo</v>
      </c>
      <c r="E362" s="780" t="s">
        <v>1375</v>
      </c>
      <c r="F362" s="780"/>
      <c r="G362" s="780" t="s">
        <v>1440</v>
      </c>
      <c r="H362" s="780" t="s">
        <v>1475</v>
      </c>
    </row>
    <row r="363" spans="1:8" x14ac:dyDescent="0.2">
      <c r="A363" s="11"/>
      <c r="B363" s="11"/>
      <c r="C363" s="11"/>
      <c r="D363" s="11" t="str">
        <f t="shared" si="16"/>
        <v>Pegar Valores Nombre J</v>
      </c>
      <c r="E363" s="780" t="s">
        <v>1375</v>
      </c>
      <c r="F363" s="780"/>
      <c r="G363" s="780" t="s">
        <v>1925</v>
      </c>
      <c r="H363" s="780" t="s">
        <v>1926</v>
      </c>
    </row>
    <row r="364" spans="1:8" x14ac:dyDescent="0.2">
      <c r="A364" s="11"/>
      <c r="B364" s="11"/>
      <c r="C364" s="11"/>
      <c r="D364" s="11" t="str">
        <f t="shared" ref="D364:D423" si="17">IF($B$2,G364,H364)</f>
        <v>Pegar Valores (J1)</v>
      </c>
      <c r="E364" s="780" t="s">
        <v>1375</v>
      </c>
      <c r="F364" s="780"/>
      <c r="G364" s="780" t="s">
        <v>1476</v>
      </c>
      <c r="H364" s="780" t="s">
        <v>1477</v>
      </c>
    </row>
    <row r="365" spans="1:8" x14ac:dyDescent="0.2">
      <c r="A365" s="11"/>
      <c r="B365" s="11"/>
      <c r="C365" s="11"/>
      <c r="D365" s="11" t="str">
        <f t="shared" si="17"/>
        <v>Pegar Valores (J2)</v>
      </c>
      <c r="E365" s="780" t="s">
        <v>1375</v>
      </c>
      <c r="F365" s="780"/>
      <c r="G365" s="780" t="s">
        <v>1478</v>
      </c>
      <c r="H365" s="780" t="s">
        <v>1479</v>
      </c>
    </row>
    <row r="366" spans="1:8" x14ac:dyDescent="0.2">
      <c r="A366" s="11"/>
      <c r="B366" s="11"/>
      <c r="C366" s="11"/>
      <c r="D366" s="11" t="str">
        <f t="shared" si="17"/>
        <v>Pegar Valores (J3)</v>
      </c>
      <c r="E366" s="780" t="s">
        <v>1375</v>
      </c>
      <c r="F366" s="780"/>
      <c r="G366" s="780" t="s">
        <v>1480</v>
      </c>
      <c r="H366" s="780" t="s">
        <v>1481</v>
      </c>
    </row>
    <row r="367" spans="1:8" x14ac:dyDescent="0.2">
      <c r="A367" s="11"/>
      <c r="B367" s="11"/>
      <c r="C367" s="11"/>
      <c r="D367" s="11" t="str">
        <f t="shared" si="17"/>
        <v>Pegar Valores Dieciseisavos</v>
      </c>
      <c r="E367" s="780" t="s">
        <v>1375</v>
      </c>
      <c r="F367" s="780" t="s">
        <v>1488</v>
      </c>
      <c r="G367" s="780" t="s">
        <v>1583</v>
      </c>
      <c r="H367" s="780" t="s">
        <v>1584</v>
      </c>
    </row>
    <row r="368" spans="1:8" x14ac:dyDescent="0.2">
      <c r="A368" s="11"/>
      <c r="B368" s="11"/>
      <c r="C368" s="11"/>
      <c r="D368" s="11" t="str">
        <f t="shared" si="17"/>
        <v>Pegar Valores Octavos</v>
      </c>
      <c r="E368" s="780" t="s">
        <v>1375</v>
      </c>
      <c r="F368" s="780" t="s">
        <v>1489</v>
      </c>
      <c r="G368" s="780" t="s">
        <v>1482</v>
      </c>
      <c r="H368" s="780" t="s">
        <v>1483</v>
      </c>
    </row>
    <row r="369" spans="1:8" x14ac:dyDescent="0.2">
      <c r="A369" s="11"/>
      <c r="B369" s="11"/>
      <c r="C369" s="11"/>
      <c r="D369" s="11" t="str">
        <f t="shared" si="17"/>
        <v>Pegar valores Cuartos</v>
      </c>
      <c r="E369" s="780" t="s">
        <v>1375</v>
      </c>
      <c r="F369" s="780" t="s">
        <v>1490</v>
      </c>
      <c r="G369" s="780" t="s">
        <v>1484</v>
      </c>
      <c r="H369" s="780" t="s">
        <v>1485</v>
      </c>
    </row>
    <row r="370" spans="1:8" x14ac:dyDescent="0.2">
      <c r="A370" s="11"/>
      <c r="B370" s="11"/>
      <c r="C370" s="11"/>
      <c r="D370" s="11" t="str">
        <f t="shared" si="17"/>
        <v>Pegar valores Semifinales</v>
      </c>
      <c r="E370" s="780" t="s">
        <v>1375</v>
      </c>
      <c r="F370" s="780" t="s">
        <v>1491</v>
      </c>
      <c r="G370" s="780" t="s">
        <v>1486</v>
      </c>
      <c r="H370" s="780" t="s">
        <v>1487</v>
      </c>
    </row>
    <row r="371" spans="1:8" x14ac:dyDescent="0.2">
      <c r="A371" s="11"/>
      <c r="B371" s="11"/>
      <c r="C371" s="11"/>
      <c r="D371" s="11" t="str">
        <f t="shared" si="17"/>
        <v>Pegar valores 3º-4º puesto y Final</v>
      </c>
      <c r="E371" s="780" t="s">
        <v>1375</v>
      </c>
      <c r="F371" s="780" t="s">
        <v>1492</v>
      </c>
      <c r="G371" s="780" t="s">
        <v>1585</v>
      </c>
      <c r="H371" s="780" t="s">
        <v>1586</v>
      </c>
    </row>
    <row r="372" spans="1:8" x14ac:dyDescent="0.2">
      <c r="A372" s="11"/>
      <c r="B372" s="11"/>
      <c r="C372" s="11"/>
      <c r="D372" s="11" t="str">
        <f t="shared" si="17"/>
        <v>Pegar valores Predictor</v>
      </c>
      <c r="E372" s="780" t="s">
        <v>1375</v>
      </c>
      <c r="F372" s="780" t="s">
        <v>1493</v>
      </c>
      <c r="G372" s="780" t="s">
        <v>1528</v>
      </c>
      <c r="H372" s="780" t="s">
        <v>1529</v>
      </c>
    </row>
    <row r="373" spans="1:8" x14ac:dyDescent="0.2">
      <c r="A373" s="11"/>
      <c r="B373" s="11"/>
      <c r="C373" s="11"/>
      <c r="D373" s="11" t="str">
        <f t="shared" si="17"/>
        <v>Pegar Valores Cuadro de Honor</v>
      </c>
      <c r="E373" s="780"/>
      <c r="F373" s="780"/>
      <c r="G373" s="780" t="s">
        <v>1587</v>
      </c>
      <c r="H373" s="780" t="s">
        <v>1588</v>
      </c>
    </row>
    <row r="374" spans="1:8" x14ac:dyDescent="0.2">
      <c r="A374" s="11"/>
      <c r="B374" s="11"/>
      <c r="C374" s="11"/>
      <c r="D374" s="11" t="str">
        <f t="shared" si="17"/>
        <v>1º GRUPO A</v>
      </c>
      <c r="E374" s="780" t="s">
        <v>1375</v>
      </c>
      <c r="F374" s="780" t="s">
        <v>1494</v>
      </c>
      <c r="G374" s="780" t="s">
        <v>45</v>
      </c>
      <c r="H374" s="780" t="s">
        <v>377</v>
      </c>
    </row>
    <row r="375" spans="1:8" x14ac:dyDescent="0.2">
      <c r="A375" s="11"/>
      <c r="B375" s="11"/>
      <c r="C375" s="11"/>
      <c r="D375" s="11" t="str">
        <f t="shared" si="17"/>
        <v>2º GRUPO A</v>
      </c>
      <c r="E375" s="780" t="s">
        <v>1375</v>
      </c>
      <c r="F375" s="780" t="s">
        <v>1495</v>
      </c>
      <c r="G375" s="780" t="s">
        <v>46</v>
      </c>
      <c r="H375" s="780" t="s">
        <v>378</v>
      </c>
    </row>
    <row r="376" spans="1:8" x14ac:dyDescent="0.2">
      <c r="A376" s="11"/>
      <c r="B376" s="11"/>
      <c r="C376" s="11"/>
      <c r="D376" s="11" t="str">
        <f t="shared" si="17"/>
        <v>3º GRUPO A</v>
      </c>
      <c r="E376" s="780" t="s">
        <v>1375</v>
      </c>
      <c r="F376" s="780" t="s">
        <v>1496</v>
      </c>
      <c r="G376" s="780" t="s">
        <v>47</v>
      </c>
      <c r="H376" s="780" t="s">
        <v>379</v>
      </c>
    </row>
    <row r="377" spans="1:8" x14ac:dyDescent="0.2">
      <c r="A377" s="11"/>
      <c r="B377" s="11"/>
      <c r="C377" s="11"/>
      <c r="D377" s="11" t="str">
        <f t="shared" si="17"/>
        <v>4º GRUPO A</v>
      </c>
      <c r="E377" s="780" t="s">
        <v>1375</v>
      </c>
      <c r="F377" s="780" t="s">
        <v>1497</v>
      </c>
      <c r="G377" s="780" t="s">
        <v>48</v>
      </c>
      <c r="H377" s="780" t="s">
        <v>380</v>
      </c>
    </row>
    <row r="378" spans="1:8" x14ac:dyDescent="0.2">
      <c r="A378" s="11"/>
      <c r="B378" s="11"/>
      <c r="C378" s="11"/>
      <c r="D378" s="11" t="str">
        <f t="shared" si="17"/>
        <v>1º GRUPO B</v>
      </c>
      <c r="E378" s="780" t="s">
        <v>1375</v>
      </c>
      <c r="F378" s="780" t="s">
        <v>1498</v>
      </c>
      <c r="G378" s="780" t="s">
        <v>49</v>
      </c>
      <c r="H378" s="780" t="s">
        <v>381</v>
      </c>
    </row>
    <row r="379" spans="1:8" x14ac:dyDescent="0.2">
      <c r="A379" s="11"/>
      <c r="B379" s="11"/>
      <c r="C379" s="11"/>
      <c r="D379" s="11" t="str">
        <f t="shared" si="17"/>
        <v>2º GRUPO B</v>
      </c>
      <c r="E379" s="780" t="s">
        <v>1375</v>
      </c>
      <c r="F379" s="780" t="s">
        <v>1499</v>
      </c>
      <c r="G379" s="780" t="s">
        <v>50</v>
      </c>
      <c r="H379" s="780" t="s">
        <v>382</v>
      </c>
    </row>
    <row r="380" spans="1:8" x14ac:dyDescent="0.2">
      <c r="A380" s="11"/>
      <c r="B380" s="11"/>
      <c r="C380" s="11"/>
      <c r="D380" s="11" t="str">
        <f t="shared" si="17"/>
        <v>3º GRUPO B</v>
      </c>
      <c r="E380" s="780" t="s">
        <v>1375</v>
      </c>
      <c r="F380" s="780" t="s">
        <v>1500</v>
      </c>
      <c r="G380" s="780" t="s">
        <v>51</v>
      </c>
      <c r="H380" s="780" t="s">
        <v>383</v>
      </c>
    </row>
    <row r="381" spans="1:8" x14ac:dyDescent="0.2">
      <c r="A381" s="11"/>
      <c r="B381" s="11"/>
      <c r="C381" s="11"/>
      <c r="D381" s="11" t="str">
        <f t="shared" si="17"/>
        <v>4º GRUPO B</v>
      </c>
      <c r="E381" s="780" t="s">
        <v>1375</v>
      </c>
      <c r="F381" s="780" t="s">
        <v>1501</v>
      </c>
      <c r="G381" s="780" t="s">
        <v>52</v>
      </c>
      <c r="H381" s="780" t="s">
        <v>384</v>
      </c>
    </row>
    <row r="382" spans="1:8" x14ac:dyDescent="0.2">
      <c r="A382" s="11"/>
      <c r="B382" s="11"/>
      <c r="C382" s="11"/>
      <c r="D382" s="11" t="str">
        <f t="shared" si="17"/>
        <v>1º GRUPO C</v>
      </c>
      <c r="E382" s="780" t="s">
        <v>1375</v>
      </c>
      <c r="F382" s="780" t="s">
        <v>1502</v>
      </c>
      <c r="G382" s="780" t="s">
        <v>53</v>
      </c>
      <c r="H382" s="780" t="s">
        <v>385</v>
      </c>
    </row>
    <row r="383" spans="1:8" x14ac:dyDescent="0.2">
      <c r="A383" s="11"/>
      <c r="B383" s="11"/>
      <c r="C383" s="11"/>
      <c r="D383" s="11" t="str">
        <f t="shared" si="17"/>
        <v>2º GRUPO C</v>
      </c>
      <c r="E383" s="780" t="s">
        <v>1375</v>
      </c>
      <c r="F383" s="780" t="s">
        <v>1503</v>
      </c>
      <c r="G383" s="780" t="s">
        <v>54</v>
      </c>
      <c r="H383" s="780" t="s">
        <v>386</v>
      </c>
    </row>
    <row r="384" spans="1:8" x14ac:dyDescent="0.2">
      <c r="A384" s="11"/>
      <c r="B384" s="11"/>
      <c r="C384" s="11"/>
      <c r="D384" s="11" t="str">
        <f t="shared" si="17"/>
        <v>3º GRUPO C</v>
      </c>
      <c r="E384" s="780" t="s">
        <v>1375</v>
      </c>
      <c r="F384" s="780" t="s">
        <v>1504</v>
      </c>
      <c r="G384" s="780" t="s">
        <v>55</v>
      </c>
      <c r="H384" s="780" t="s">
        <v>387</v>
      </c>
    </row>
    <row r="385" spans="1:8" x14ac:dyDescent="0.2">
      <c r="A385" s="11"/>
      <c r="B385" s="11"/>
      <c r="C385" s="11"/>
      <c r="D385" s="11" t="str">
        <f t="shared" si="17"/>
        <v>4º GRUPO C</v>
      </c>
      <c r="E385" s="780" t="s">
        <v>1375</v>
      </c>
      <c r="F385" s="780" t="s">
        <v>1505</v>
      </c>
      <c r="G385" s="780" t="s">
        <v>56</v>
      </c>
      <c r="H385" s="780" t="s">
        <v>388</v>
      </c>
    </row>
    <row r="386" spans="1:8" x14ac:dyDescent="0.2">
      <c r="A386" s="11"/>
      <c r="B386" s="11"/>
      <c r="C386" s="11"/>
      <c r="D386" s="11" t="str">
        <f t="shared" si="17"/>
        <v>1º GRUPO D</v>
      </c>
      <c r="E386" s="780" t="s">
        <v>1375</v>
      </c>
      <c r="F386" s="780" t="s">
        <v>1506</v>
      </c>
      <c r="G386" s="780" t="s">
        <v>96</v>
      </c>
      <c r="H386" s="780" t="s">
        <v>389</v>
      </c>
    </row>
    <row r="387" spans="1:8" x14ac:dyDescent="0.2">
      <c r="A387" s="11"/>
      <c r="B387" s="11"/>
      <c r="C387" s="11"/>
      <c r="D387" s="11" t="str">
        <f t="shared" si="17"/>
        <v>2º GRUPO D</v>
      </c>
      <c r="E387" s="780" t="s">
        <v>1375</v>
      </c>
      <c r="F387" s="780" t="s">
        <v>1507</v>
      </c>
      <c r="G387" s="780" t="s">
        <v>97</v>
      </c>
      <c r="H387" s="780" t="s">
        <v>390</v>
      </c>
    </row>
    <row r="388" spans="1:8" x14ac:dyDescent="0.2">
      <c r="A388" s="11"/>
      <c r="B388" s="11"/>
      <c r="C388" s="11"/>
      <c r="D388" s="11" t="str">
        <f t="shared" si="17"/>
        <v>3º GRUPO D</v>
      </c>
      <c r="E388" s="780" t="s">
        <v>1375</v>
      </c>
      <c r="F388" s="780" t="s">
        <v>1508</v>
      </c>
      <c r="G388" s="780" t="s">
        <v>98</v>
      </c>
      <c r="H388" s="780" t="s">
        <v>391</v>
      </c>
    </row>
    <row r="389" spans="1:8" x14ac:dyDescent="0.2">
      <c r="A389" s="11"/>
      <c r="B389" s="11"/>
      <c r="C389" s="11"/>
      <c r="D389" s="11" t="str">
        <f t="shared" si="17"/>
        <v>4º GRUPO D</v>
      </c>
      <c r="E389" s="780" t="s">
        <v>1375</v>
      </c>
      <c r="F389" s="780" t="s">
        <v>1509</v>
      </c>
      <c r="G389" s="780" t="s">
        <v>99</v>
      </c>
      <c r="H389" s="780" t="s">
        <v>392</v>
      </c>
    </row>
    <row r="390" spans="1:8" x14ac:dyDescent="0.2">
      <c r="A390" s="11"/>
      <c r="B390" s="11"/>
      <c r="C390" s="11"/>
      <c r="D390" s="11" t="str">
        <f t="shared" si="17"/>
        <v>1º GRUPO E</v>
      </c>
      <c r="E390" s="780" t="s">
        <v>1375</v>
      </c>
      <c r="F390" s="780" t="s">
        <v>1510</v>
      </c>
      <c r="G390" s="780" t="s">
        <v>100</v>
      </c>
      <c r="H390" s="780" t="s">
        <v>393</v>
      </c>
    </row>
    <row r="391" spans="1:8" x14ac:dyDescent="0.2">
      <c r="A391" s="11"/>
      <c r="B391" s="11"/>
      <c r="C391" s="11"/>
      <c r="D391" s="11" t="str">
        <f t="shared" si="17"/>
        <v>2º GRUPO E</v>
      </c>
      <c r="E391" s="780" t="s">
        <v>1375</v>
      </c>
      <c r="F391" s="780" t="s">
        <v>1511</v>
      </c>
      <c r="G391" s="780" t="s">
        <v>101</v>
      </c>
      <c r="H391" s="780" t="s">
        <v>394</v>
      </c>
    </row>
    <row r="392" spans="1:8" x14ac:dyDescent="0.2">
      <c r="A392" s="11"/>
      <c r="B392" s="11"/>
      <c r="C392" s="11"/>
      <c r="D392" s="11" t="str">
        <f t="shared" si="17"/>
        <v>3º GRUPO E</v>
      </c>
      <c r="E392" s="780" t="s">
        <v>1375</v>
      </c>
      <c r="F392" s="780" t="s">
        <v>1512</v>
      </c>
      <c r="G392" s="780" t="s">
        <v>102</v>
      </c>
      <c r="H392" s="780" t="s">
        <v>395</v>
      </c>
    </row>
    <row r="393" spans="1:8" x14ac:dyDescent="0.2">
      <c r="A393" s="11"/>
      <c r="B393" s="11"/>
      <c r="C393" s="11"/>
      <c r="D393" s="11" t="str">
        <f t="shared" si="17"/>
        <v>4º GRUPO E</v>
      </c>
      <c r="E393" s="780" t="s">
        <v>1375</v>
      </c>
      <c r="F393" s="780" t="s">
        <v>1513</v>
      </c>
      <c r="G393" s="780" t="s">
        <v>103</v>
      </c>
      <c r="H393" s="780" t="s">
        <v>396</v>
      </c>
    </row>
    <row r="394" spans="1:8" x14ac:dyDescent="0.2">
      <c r="A394" s="11"/>
      <c r="B394" s="11"/>
      <c r="C394" s="11"/>
      <c r="D394" s="11" t="str">
        <f t="shared" si="17"/>
        <v>1º GRUPO F</v>
      </c>
      <c r="E394" s="780" t="s">
        <v>1375</v>
      </c>
      <c r="F394" s="780" t="s">
        <v>1514</v>
      </c>
      <c r="G394" s="780" t="s">
        <v>104</v>
      </c>
      <c r="H394" s="780" t="s">
        <v>397</v>
      </c>
    </row>
    <row r="395" spans="1:8" x14ac:dyDescent="0.2">
      <c r="A395" s="11"/>
      <c r="B395" s="11"/>
      <c r="C395" s="11"/>
      <c r="D395" s="11" t="str">
        <f t="shared" si="17"/>
        <v>2º GRUPO F</v>
      </c>
      <c r="E395" s="780" t="s">
        <v>1375</v>
      </c>
      <c r="F395" s="780" t="s">
        <v>1515</v>
      </c>
      <c r="G395" s="780" t="s">
        <v>105</v>
      </c>
      <c r="H395" s="780" t="s">
        <v>398</v>
      </c>
    </row>
    <row r="396" spans="1:8" x14ac:dyDescent="0.2">
      <c r="A396" s="11"/>
      <c r="B396" s="11"/>
      <c r="C396" s="11"/>
      <c r="D396" s="11" t="str">
        <f t="shared" si="17"/>
        <v>3º GRUPO F</v>
      </c>
      <c r="E396" s="780" t="s">
        <v>1375</v>
      </c>
      <c r="F396" s="780"/>
      <c r="G396" s="780" t="s">
        <v>106</v>
      </c>
      <c r="H396" s="780" t="s">
        <v>399</v>
      </c>
    </row>
    <row r="397" spans="1:8" x14ac:dyDescent="0.2">
      <c r="A397" s="11"/>
      <c r="B397" s="11"/>
      <c r="C397" s="11"/>
      <c r="D397" s="11" t="str">
        <f t="shared" si="17"/>
        <v>4º GRUPO F</v>
      </c>
      <c r="E397" s="780" t="s">
        <v>1375</v>
      </c>
      <c r="F397" s="780"/>
      <c r="G397" s="780" t="s">
        <v>107</v>
      </c>
      <c r="H397" s="780" t="s">
        <v>400</v>
      </c>
    </row>
    <row r="398" spans="1:8" x14ac:dyDescent="0.2">
      <c r="A398" s="11"/>
      <c r="B398" s="11"/>
      <c r="C398" s="11"/>
      <c r="D398" s="11" t="str">
        <f t="shared" si="17"/>
        <v>1º GRUPO G</v>
      </c>
      <c r="E398" s="780" t="s">
        <v>1375</v>
      </c>
      <c r="F398" s="780"/>
      <c r="G398" s="780" t="s">
        <v>516</v>
      </c>
      <c r="H398" s="780" t="s">
        <v>520</v>
      </c>
    </row>
    <row r="399" spans="1:8" x14ac:dyDescent="0.2">
      <c r="A399" s="11"/>
      <c r="B399" s="11"/>
      <c r="C399" s="11"/>
      <c r="D399" s="11" t="str">
        <f t="shared" si="17"/>
        <v>2º GRUPO G</v>
      </c>
      <c r="E399" s="780" t="s">
        <v>1375</v>
      </c>
      <c r="F399" s="780"/>
      <c r="G399" s="780" t="s">
        <v>517</v>
      </c>
      <c r="H399" s="780" t="s">
        <v>521</v>
      </c>
    </row>
    <row r="400" spans="1:8" x14ac:dyDescent="0.2">
      <c r="A400" s="11"/>
      <c r="B400" s="11"/>
      <c r="C400" s="11"/>
      <c r="D400" s="11" t="str">
        <f t="shared" si="17"/>
        <v>3º GRUPO G</v>
      </c>
      <c r="E400" s="780" t="s">
        <v>1375</v>
      </c>
      <c r="F400" s="780"/>
      <c r="G400" s="780" t="s">
        <v>518</v>
      </c>
      <c r="H400" s="780" t="s">
        <v>522</v>
      </c>
    </row>
    <row r="401" spans="1:8" x14ac:dyDescent="0.2">
      <c r="A401" s="11"/>
      <c r="B401" s="11"/>
      <c r="C401" s="11"/>
      <c r="D401" s="11" t="str">
        <f t="shared" si="17"/>
        <v>4º GRUPO G</v>
      </c>
      <c r="E401" s="780" t="s">
        <v>1375</v>
      </c>
      <c r="F401" s="780"/>
      <c r="G401" s="780" t="s">
        <v>519</v>
      </c>
      <c r="H401" s="780" t="s">
        <v>523</v>
      </c>
    </row>
    <row r="402" spans="1:8" x14ac:dyDescent="0.2">
      <c r="A402" s="11"/>
      <c r="B402" s="11"/>
      <c r="C402" s="11"/>
      <c r="D402" s="11" t="str">
        <f t="shared" si="17"/>
        <v>1º GRUPO H</v>
      </c>
      <c r="E402" s="780" t="s">
        <v>1375</v>
      </c>
      <c r="F402" s="780"/>
      <c r="G402" s="780" t="s">
        <v>524</v>
      </c>
      <c r="H402" s="780" t="s">
        <v>528</v>
      </c>
    </row>
    <row r="403" spans="1:8" x14ac:dyDescent="0.2">
      <c r="A403" s="11"/>
      <c r="B403" s="11"/>
      <c r="C403" s="11"/>
      <c r="D403" s="11" t="str">
        <f t="shared" si="17"/>
        <v>2º GRUPO H</v>
      </c>
      <c r="E403" s="780" t="s">
        <v>1375</v>
      </c>
      <c r="F403" s="11"/>
      <c r="G403" s="780" t="s">
        <v>525</v>
      </c>
      <c r="H403" s="780" t="s">
        <v>529</v>
      </c>
    </row>
    <row r="404" spans="1:8" x14ac:dyDescent="0.2">
      <c r="A404" s="11"/>
      <c r="B404" s="11"/>
      <c r="C404" s="11"/>
      <c r="D404" s="11" t="str">
        <f t="shared" si="17"/>
        <v>3º GRUPO H</v>
      </c>
      <c r="E404" s="780" t="s">
        <v>1375</v>
      </c>
      <c r="F404" s="11"/>
      <c r="G404" s="780" t="s">
        <v>526</v>
      </c>
      <c r="H404" s="780" t="s">
        <v>530</v>
      </c>
    </row>
    <row r="405" spans="1:8" x14ac:dyDescent="0.2">
      <c r="A405" s="11"/>
      <c r="B405" s="11"/>
      <c r="C405" s="11"/>
      <c r="D405" s="11" t="str">
        <f t="shared" si="17"/>
        <v>4º GRUPO H</v>
      </c>
      <c r="E405" s="780" t="s">
        <v>1375</v>
      </c>
      <c r="F405" s="11"/>
      <c r="G405" s="780" t="s">
        <v>527</v>
      </c>
      <c r="H405" s="780" t="s">
        <v>531</v>
      </c>
    </row>
    <row r="406" spans="1:8" x14ac:dyDescent="0.2">
      <c r="A406" s="11"/>
      <c r="B406" s="11"/>
      <c r="C406" s="11"/>
      <c r="D406" s="11" t="str">
        <f t="shared" si="17"/>
        <v>1º GRUPO I</v>
      </c>
      <c r="E406" s="780" t="s">
        <v>1375</v>
      </c>
      <c r="F406" s="11"/>
      <c r="G406" s="780" t="s">
        <v>532</v>
      </c>
      <c r="H406" s="780" t="s">
        <v>536</v>
      </c>
    </row>
    <row r="407" spans="1:8" x14ac:dyDescent="0.2">
      <c r="A407" s="11"/>
      <c r="B407" s="11"/>
      <c r="C407" s="11"/>
      <c r="D407" s="11" t="str">
        <f t="shared" si="17"/>
        <v>2º GRUPO I</v>
      </c>
      <c r="E407" s="780" t="s">
        <v>1375</v>
      </c>
      <c r="F407" s="11"/>
      <c r="G407" s="780" t="s">
        <v>533</v>
      </c>
      <c r="H407" s="780" t="s">
        <v>537</v>
      </c>
    </row>
    <row r="408" spans="1:8" x14ac:dyDescent="0.2">
      <c r="A408" s="11"/>
      <c r="B408" s="11"/>
      <c r="C408" s="11"/>
      <c r="D408" s="11" t="str">
        <f t="shared" si="17"/>
        <v>3º GRUPO I</v>
      </c>
      <c r="E408" s="780" t="s">
        <v>1375</v>
      </c>
      <c r="F408" s="11"/>
      <c r="G408" s="780" t="s">
        <v>534</v>
      </c>
      <c r="H408" s="780" t="s">
        <v>538</v>
      </c>
    </row>
    <row r="409" spans="1:8" x14ac:dyDescent="0.2">
      <c r="A409" s="11"/>
      <c r="B409" s="11"/>
      <c r="C409" s="11"/>
      <c r="D409" s="11" t="str">
        <f t="shared" si="17"/>
        <v>4º GRUPO I</v>
      </c>
      <c r="E409" s="780" t="s">
        <v>1375</v>
      </c>
      <c r="F409" s="11"/>
      <c r="G409" s="780" t="s">
        <v>535</v>
      </c>
      <c r="H409" s="780" t="s">
        <v>539</v>
      </c>
    </row>
    <row r="410" spans="1:8" x14ac:dyDescent="0.2">
      <c r="A410" s="11"/>
      <c r="B410" s="11"/>
      <c r="C410" s="11"/>
      <c r="D410" s="11" t="str">
        <f t="shared" si="17"/>
        <v>1º GRUPO J</v>
      </c>
      <c r="E410" s="780" t="s">
        <v>1375</v>
      </c>
      <c r="F410" s="11"/>
      <c r="G410" s="780" t="s">
        <v>540</v>
      </c>
      <c r="H410" s="780" t="s">
        <v>544</v>
      </c>
    </row>
    <row r="411" spans="1:8" x14ac:dyDescent="0.2">
      <c r="A411" s="11"/>
      <c r="B411" s="11"/>
      <c r="C411" s="11"/>
      <c r="D411" s="11" t="str">
        <f t="shared" si="17"/>
        <v>2º GRUPO J</v>
      </c>
      <c r="E411" s="780" t="s">
        <v>1375</v>
      </c>
      <c r="F411" s="11"/>
      <c r="G411" s="780" t="s">
        <v>541</v>
      </c>
      <c r="H411" s="780" t="s">
        <v>545</v>
      </c>
    </row>
    <row r="412" spans="1:8" x14ac:dyDescent="0.2">
      <c r="A412" s="11"/>
      <c r="B412" s="11"/>
      <c r="C412" s="11"/>
      <c r="D412" s="11" t="str">
        <f t="shared" si="17"/>
        <v>3º GRUPO J</v>
      </c>
      <c r="E412" s="780" t="s">
        <v>1375</v>
      </c>
      <c r="F412" s="11"/>
      <c r="G412" s="780" t="s">
        <v>542</v>
      </c>
      <c r="H412" s="780" t="s">
        <v>546</v>
      </c>
    </row>
    <row r="413" spans="1:8" x14ac:dyDescent="0.2">
      <c r="A413" s="11"/>
      <c r="B413" s="11"/>
      <c r="C413" s="11"/>
      <c r="D413" s="11" t="str">
        <f t="shared" si="17"/>
        <v>4º GRUPO J</v>
      </c>
      <c r="E413" s="780" t="s">
        <v>1375</v>
      </c>
      <c r="F413" s="11"/>
      <c r="G413" s="780" t="s">
        <v>543</v>
      </c>
      <c r="H413" s="780" t="s">
        <v>547</v>
      </c>
    </row>
    <row r="414" spans="1:8" x14ac:dyDescent="0.2">
      <c r="A414" s="11"/>
      <c r="B414" s="11"/>
      <c r="C414" s="11"/>
      <c r="D414" s="11" t="str">
        <f t="shared" si="17"/>
        <v>1º GRUPO K</v>
      </c>
      <c r="E414" s="780" t="s">
        <v>1375</v>
      </c>
      <c r="F414" s="11"/>
      <c r="G414" s="780" t="s">
        <v>548</v>
      </c>
      <c r="H414" s="780" t="s">
        <v>552</v>
      </c>
    </row>
    <row r="415" spans="1:8" x14ac:dyDescent="0.2">
      <c r="A415" s="11"/>
      <c r="B415" s="11"/>
      <c r="C415" s="11"/>
      <c r="D415" s="11" t="str">
        <f t="shared" si="17"/>
        <v>2º GRUPO K</v>
      </c>
      <c r="E415" s="780" t="s">
        <v>1375</v>
      </c>
      <c r="F415" s="11"/>
      <c r="G415" s="780" t="s">
        <v>549</v>
      </c>
      <c r="H415" s="780" t="s">
        <v>553</v>
      </c>
    </row>
    <row r="416" spans="1:8" x14ac:dyDescent="0.2">
      <c r="A416" s="11"/>
      <c r="B416" s="11"/>
      <c r="C416" s="11"/>
      <c r="D416" s="11" t="str">
        <f t="shared" si="17"/>
        <v>3º GRUPO K</v>
      </c>
      <c r="E416" s="780" t="s">
        <v>1375</v>
      </c>
      <c r="F416" s="11"/>
      <c r="G416" s="780" t="s">
        <v>550</v>
      </c>
      <c r="H416" s="780" t="s">
        <v>554</v>
      </c>
    </row>
    <row r="417" spans="1:8" x14ac:dyDescent="0.2">
      <c r="A417" s="11"/>
      <c r="B417" s="11"/>
      <c r="C417" s="11"/>
      <c r="D417" s="11" t="str">
        <f t="shared" si="17"/>
        <v>4º GRUPO K</v>
      </c>
      <c r="E417" s="780" t="s">
        <v>1375</v>
      </c>
      <c r="F417" s="11"/>
      <c r="G417" s="780" t="s">
        <v>551</v>
      </c>
      <c r="H417" s="780" t="s">
        <v>555</v>
      </c>
    </row>
    <row r="418" spans="1:8" x14ac:dyDescent="0.2">
      <c r="A418" s="11"/>
      <c r="B418" s="11"/>
      <c r="C418" s="11"/>
      <c r="D418" s="11" t="str">
        <f t="shared" si="17"/>
        <v>1º GRUPO L</v>
      </c>
      <c r="E418" s="780" t="s">
        <v>1375</v>
      </c>
      <c r="F418" s="11"/>
      <c r="G418" s="780" t="s">
        <v>556</v>
      </c>
      <c r="H418" s="780" t="s">
        <v>560</v>
      </c>
    </row>
    <row r="419" spans="1:8" x14ac:dyDescent="0.2">
      <c r="A419" s="11"/>
      <c r="B419" s="11"/>
      <c r="C419" s="11"/>
      <c r="D419" s="11" t="str">
        <f t="shared" si="17"/>
        <v>2º GRUPO L</v>
      </c>
      <c r="E419" s="780" t="s">
        <v>1375</v>
      </c>
      <c r="F419" s="11"/>
      <c r="G419" s="780" t="s">
        <v>557</v>
      </c>
      <c r="H419" s="780" t="s">
        <v>561</v>
      </c>
    </row>
    <row r="420" spans="1:8" x14ac:dyDescent="0.2">
      <c r="A420" s="11"/>
      <c r="B420" s="11"/>
      <c r="C420" s="11"/>
      <c r="D420" s="11" t="str">
        <f t="shared" si="17"/>
        <v>3º GRUPO L</v>
      </c>
      <c r="E420" s="780" t="s">
        <v>1375</v>
      </c>
      <c r="F420" s="11"/>
      <c r="G420" s="780" t="s">
        <v>558</v>
      </c>
      <c r="H420" s="780" t="s">
        <v>562</v>
      </c>
    </row>
    <row r="421" spans="1:8" x14ac:dyDescent="0.2">
      <c r="A421" s="11"/>
      <c r="B421" s="11"/>
      <c r="C421" s="11"/>
      <c r="D421" s="11" t="str">
        <f t="shared" si="17"/>
        <v>4º GRUPO L</v>
      </c>
      <c r="E421" s="780" t="s">
        <v>1375</v>
      </c>
      <c r="F421" s="11"/>
      <c r="G421" s="780" t="s">
        <v>559</v>
      </c>
      <c r="H421" s="780" t="s">
        <v>563</v>
      </c>
    </row>
    <row r="422" spans="1:8" x14ac:dyDescent="0.2">
      <c r="A422" s="11"/>
      <c r="B422" s="11"/>
      <c r="C422" s="11"/>
      <c r="D422" s="11" t="str">
        <f t="shared" si="17"/>
        <v>Dieciseisavofinalista</v>
      </c>
      <c r="E422" s="780" t="s">
        <v>1375</v>
      </c>
      <c r="F422" s="11"/>
      <c r="G422" s="780" t="s">
        <v>566</v>
      </c>
      <c r="H422" s="780" t="s">
        <v>567</v>
      </c>
    </row>
    <row r="423" spans="1:8" x14ac:dyDescent="0.2">
      <c r="A423" s="11"/>
      <c r="B423" s="11"/>
      <c r="C423" s="11"/>
      <c r="D423" s="11" t="str">
        <f t="shared" si="17"/>
        <v>Octavofinalista</v>
      </c>
      <c r="E423" s="780" t="s">
        <v>1375</v>
      </c>
      <c r="F423" s="11"/>
      <c r="G423" s="780" t="s">
        <v>1296</v>
      </c>
      <c r="H423" s="780" t="s">
        <v>401</v>
      </c>
    </row>
    <row r="424" spans="1:8" x14ac:dyDescent="0.2">
      <c r="A424" s="11"/>
      <c r="B424" s="11"/>
      <c r="C424" s="11"/>
      <c r="D424" s="11" t="str">
        <f t="shared" ref="D424:D446" si="18">IF($B$2,G424,H424)</f>
        <v>Cuartofinalista</v>
      </c>
      <c r="E424" s="780" t="s">
        <v>1375</v>
      </c>
      <c r="F424" s="11"/>
      <c r="G424" s="780" t="s">
        <v>58</v>
      </c>
      <c r="H424" s="780" t="s">
        <v>402</v>
      </c>
    </row>
    <row r="425" spans="1:8" x14ac:dyDescent="0.2">
      <c r="A425" s="11"/>
      <c r="B425" s="11"/>
      <c r="C425" s="11"/>
      <c r="D425" s="11" t="str">
        <f t="shared" si="18"/>
        <v>Semifinalista</v>
      </c>
      <c r="E425" s="780" t="s">
        <v>1375</v>
      </c>
      <c r="F425" s="11"/>
      <c r="G425" s="780" t="s">
        <v>61</v>
      </c>
      <c r="H425" s="780" t="s">
        <v>403</v>
      </c>
    </row>
    <row r="426" spans="1:8" x14ac:dyDescent="0.2">
      <c r="A426" s="11"/>
      <c r="B426" s="11"/>
      <c r="C426" s="11"/>
      <c r="D426" s="11" t="str">
        <f t="shared" si="18"/>
        <v>3º y 4º puesto</v>
      </c>
      <c r="E426" s="780" t="s">
        <v>1375</v>
      </c>
      <c r="F426" s="11"/>
      <c r="G426" s="780" t="s">
        <v>491</v>
      </c>
      <c r="H426" s="780" t="s">
        <v>492</v>
      </c>
    </row>
    <row r="427" spans="1:8" x14ac:dyDescent="0.2">
      <c r="A427" s="11"/>
      <c r="B427" s="11"/>
      <c r="C427" s="11"/>
      <c r="D427" s="11" t="str">
        <f t="shared" si="18"/>
        <v>Finalista</v>
      </c>
      <c r="E427" s="780" t="s">
        <v>1375</v>
      </c>
      <c r="F427" s="11"/>
      <c r="G427" s="780" t="s">
        <v>64</v>
      </c>
      <c r="H427" s="780" t="s">
        <v>404</v>
      </c>
    </row>
    <row r="428" spans="1:8" x14ac:dyDescent="0.2">
      <c r="A428" s="11"/>
      <c r="B428" s="11"/>
      <c r="C428" s="11"/>
      <c r="D428" s="11" t="str">
        <f t="shared" si="18"/>
        <v>J1</v>
      </c>
      <c r="E428" s="780" t="s">
        <v>1375</v>
      </c>
      <c r="F428" s="11"/>
      <c r="G428" s="780" t="s">
        <v>26</v>
      </c>
      <c r="H428" s="780" t="s">
        <v>273</v>
      </c>
    </row>
    <row r="429" spans="1:8" x14ac:dyDescent="0.2">
      <c r="A429" s="11"/>
      <c r="B429" s="11"/>
      <c r="C429" s="11"/>
      <c r="D429" s="11" t="str">
        <f t="shared" si="18"/>
        <v>J2</v>
      </c>
      <c r="E429" s="780" t="s">
        <v>1375</v>
      </c>
      <c r="F429" s="11"/>
      <c r="G429" s="780" t="s">
        <v>27</v>
      </c>
      <c r="H429" s="780" t="s">
        <v>274</v>
      </c>
    </row>
    <row r="430" spans="1:8" x14ac:dyDescent="0.2">
      <c r="A430" s="11"/>
      <c r="B430" s="11"/>
      <c r="C430" s="11"/>
      <c r="D430" s="11" t="str">
        <f t="shared" si="18"/>
        <v>J3</v>
      </c>
      <c r="E430" s="780" t="s">
        <v>1375</v>
      </c>
      <c r="F430" s="11"/>
      <c r="G430" s="780" t="s">
        <v>28</v>
      </c>
      <c r="H430" s="780" t="s">
        <v>275</v>
      </c>
    </row>
    <row r="431" spans="1:8" x14ac:dyDescent="0.2">
      <c r="A431" s="11"/>
      <c r="B431" s="11"/>
      <c r="C431" s="11"/>
      <c r="D431" s="11" t="str">
        <f t="shared" si="18"/>
        <v>Sistema de puntuación</v>
      </c>
      <c r="E431" s="780" t="s">
        <v>1375</v>
      </c>
      <c r="F431" s="11"/>
      <c r="G431" s="780" t="s">
        <v>1938</v>
      </c>
      <c r="H431" s="780" t="s">
        <v>1939</v>
      </c>
    </row>
    <row r="432" spans="1:8" x14ac:dyDescent="0.2">
      <c r="A432" s="11"/>
      <c r="B432" s="11"/>
      <c r="C432" s="11"/>
      <c r="D432" s="11">
        <f t="shared" si="18"/>
        <v>0</v>
      </c>
      <c r="E432" s="780" t="s">
        <v>1375</v>
      </c>
      <c r="F432" s="11"/>
      <c r="G432" s="780"/>
      <c r="H432" s="780"/>
    </row>
    <row r="433" spans="1:8" x14ac:dyDescent="0.2">
      <c r="A433" s="11"/>
      <c r="B433" s="11"/>
      <c r="C433" s="11"/>
      <c r="D433" s="11" t="str">
        <f t="shared" si="18"/>
        <v>PREDICTOR - Campeón</v>
      </c>
      <c r="E433" s="780" t="s">
        <v>1375</v>
      </c>
      <c r="F433" s="11"/>
      <c r="G433" s="780" t="s">
        <v>1530</v>
      </c>
      <c r="H433" s="780" t="s">
        <v>1531</v>
      </c>
    </row>
    <row r="434" spans="1:8" x14ac:dyDescent="0.2">
      <c r="A434" s="11"/>
      <c r="B434" s="11"/>
      <c r="C434" s="11"/>
      <c r="D434" s="11" t="str">
        <f t="shared" si="18"/>
        <v>PREDICTOR - Subcampeón</v>
      </c>
      <c r="E434" s="780" t="s">
        <v>1375</v>
      </c>
      <c r="F434" s="11"/>
      <c r="G434" s="780" t="s">
        <v>1581</v>
      </c>
      <c r="H434" s="780" t="s">
        <v>1582</v>
      </c>
    </row>
    <row r="435" spans="1:8" x14ac:dyDescent="0.2">
      <c r="A435" s="11"/>
      <c r="B435" s="11"/>
      <c r="C435" s="11"/>
      <c r="D435" s="11" t="str">
        <f t="shared" ref="D435" si="19">IF($B$2,G435,H435)</f>
        <v>PREDICTOR- 3º puesto</v>
      </c>
      <c r="E435" s="780" t="s">
        <v>1375</v>
      </c>
      <c r="F435" s="11"/>
      <c r="G435" s="780" t="s">
        <v>1579</v>
      </c>
      <c r="H435" s="780" t="s">
        <v>1580</v>
      </c>
    </row>
    <row r="436" spans="1:8" x14ac:dyDescent="0.2">
      <c r="A436" s="11"/>
      <c r="B436" s="11"/>
      <c r="C436" s="11"/>
      <c r="D436" s="11" t="str">
        <f t="shared" si="18"/>
        <v>PREDICTOR - Semifinales</v>
      </c>
      <c r="E436" s="780" t="s">
        <v>1375</v>
      </c>
      <c r="F436" s="11"/>
      <c r="G436" s="780" t="s">
        <v>1532</v>
      </c>
      <c r="H436" s="780" t="s">
        <v>1533</v>
      </c>
    </row>
    <row r="437" spans="1:8" x14ac:dyDescent="0.2">
      <c r="A437" s="11"/>
      <c r="B437" s="11"/>
      <c r="C437" s="11"/>
      <c r="D437" s="11" t="str">
        <f t="shared" si="18"/>
        <v>PREDICTOR - Cuartos de final</v>
      </c>
      <c r="E437" s="780" t="s">
        <v>1375</v>
      </c>
      <c r="F437" s="11"/>
      <c r="G437" s="780" t="s">
        <v>1534</v>
      </c>
      <c r="H437" s="780" t="s">
        <v>1535</v>
      </c>
    </row>
    <row r="438" spans="1:8" x14ac:dyDescent="0.2">
      <c r="A438" s="11"/>
      <c r="B438" s="11"/>
      <c r="C438" s="11"/>
      <c r="D438" s="11" t="str">
        <f t="shared" si="18"/>
        <v>PREDICTOR - Octavos de final</v>
      </c>
      <c r="E438" s="780" t="s">
        <v>1375</v>
      </c>
      <c r="F438" s="11"/>
      <c r="G438" s="780" t="s">
        <v>1536</v>
      </c>
      <c r="H438" s="780" t="s">
        <v>1537</v>
      </c>
    </row>
    <row r="439" spans="1:8" x14ac:dyDescent="0.2">
      <c r="A439" s="11"/>
      <c r="B439" s="11"/>
      <c r="C439" s="11"/>
      <c r="D439" s="11" t="str">
        <f t="shared" si="18"/>
        <v>PREDICTOR - Dieciseisavos de final</v>
      </c>
      <c r="E439" s="780" t="s">
        <v>1375</v>
      </c>
      <c r="F439" s="11"/>
      <c r="G439" s="780" t="s">
        <v>1573</v>
      </c>
      <c r="H439" s="780" t="s">
        <v>1574</v>
      </c>
    </row>
    <row r="440" spans="1:8" x14ac:dyDescent="0.2">
      <c r="A440" s="11"/>
      <c r="B440" s="11"/>
      <c r="C440" s="11"/>
      <c r="D440" s="11" t="str">
        <f t="shared" si="18"/>
        <v>PREDICTOR- Fase de Liga</v>
      </c>
      <c r="E440" s="780" t="s">
        <v>1375</v>
      </c>
      <c r="F440" s="11"/>
      <c r="G440" s="780" t="s">
        <v>1538</v>
      </c>
      <c r="H440" s="780" t="s">
        <v>1539</v>
      </c>
    </row>
    <row r="441" spans="1:8" x14ac:dyDescent="0.2">
      <c r="A441" s="11"/>
      <c r="B441" s="11"/>
      <c r="C441" s="11"/>
      <c r="D441" s="11" t="str">
        <f t="shared" si="18"/>
        <v>% Ajuste por desvío en Diferencia/Distancia de goles</v>
      </c>
      <c r="E441" s="780" t="s">
        <v>1375</v>
      </c>
      <c r="F441" s="11"/>
      <c r="G441" s="780" t="s">
        <v>1739</v>
      </c>
      <c r="H441" s="780" t="s">
        <v>1776</v>
      </c>
    </row>
    <row r="442" spans="1:8" x14ac:dyDescent="0.2">
      <c r="A442" s="11"/>
      <c r="B442" s="11"/>
      <c r="C442" s="11"/>
      <c r="D442" s="11" t="str">
        <f t="shared" si="18"/>
        <v>None</v>
      </c>
      <c r="E442" s="780" t="s">
        <v>1449</v>
      </c>
      <c r="F442" s="11"/>
      <c r="G442" s="780" t="s">
        <v>1927</v>
      </c>
      <c r="H442" s="11" t="s">
        <v>1927</v>
      </c>
    </row>
    <row r="443" spans="1:8" x14ac:dyDescent="0.2">
      <c r="A443" s="11"/>
      <c r="B443" s="11"/>
      <c r="C443" s="11"/>
      <c r="D443" s="11" t="str">
        <f t="shared" si="18"/>
        <v>**¿Qué es esto y cómo funciona?</v>
      </c>
      <c r="E443" s="780" t="s">
        <v>1375</v>
      </c>
      <c r="F443" s="11"/>
      <c r="G443" s="780" t="s">
        <v>1826</v>
      </c>
      <c r="H443" s="780" t="s">
        <v>1827</v>
      </c>
    </row>
    <row r="444" spans="1:8" x14ac:dyDescent="0.2">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x14ac:dyDescent="0.2">
      <c r="A445" s="11"/>
      <c r="B445" s="11"/>
      <c r="C445" s="11"/>
      <c r="D445" s="11" t="str">
        <f t="shared" si="18"/>
        <v>?</v>
      </c>
      <c r="E445" s="780" t="s">
        <v>1375</v>
      </c>
      <c r="F445" s="11"/>
      <c r="G445" s="780" t="s">
        <v>1831</v>
      </c>
      <c r="H445" s="780" t="s">
        <v>1831</v>
      </c>
    </row>
    <row r="446" spans="1:8" x14ac:dyDescent="0.2">
      <c r="A446" s="11"/>
      <c r="B446" s="11"/>
      <c r="C446" s="11"/>
      <c r="D446" s="11" t="str">
        <f t="shared" si="18"/>
        <v>https://matejero.es/puntuaciones-excel-mundial-2026/#%C2%BFQue_es_un_BONUS</v>
      </c>
      <c r="E446" s="780" t="s">
        <v>1375</v>
      </c>
      <c r="F446" s="11"/>
      <c r="G446" s="782" t="s">
        <v>1832</v>
      </c>
      <c r="H446" s="782" t="s">
        <v>1928</v>
      </c>
    </row>
    <row r="447" spans="1:8" x14ac:dyDescent="0.2">
      <c r="A447" s="11"/>
      <c r="B447" s="11"/>
      <c r="C447" s="11"/>
      <c r="D447" s="11"/>
      <c r="E447" s="780"/>
      <c r="F447" s="11"/>
      <c r="G447" s="781"/>
      <c r="H447" s="781"/>
    </row>
    <row r="448" spans="1:8" x14ac:dyDescent="0.2">
      <c r="A448" s="11"/>
      <c r="B448" s="11"/>
      <c r="C448" s="11"/>
      <c r="D448" s="11"/>
      <c r="E448" s="780"/>
      <c r="F448" s="11"/>
      <c r="G448" s="781"/>
      <c r="H448" s="781"/>
    </row>
    <row r="449" spans="1:8" x14ac:dyDescent="0.2">
      <c r="A449" s="11"/>
      <c r="B449" s="11"/>
      <c r="C449" s="11"/>
      <c r="D449" s="11"/>
      <c r="E449" s="11"/>
      <c r="F449" s="11"/>
      <c r="G449" s="11"/>
      <c r="H449" s="11"/>
    </row>
    <row r="450" spans="1:8" x14ac:dyDescent="0.2">
      <c r="A450" s="11"/>
      <c r="B450" s="11"/>
      <c r="C450" s="11"/>
      <c r="D450" s="11"/>
      <c r="E450" s="11"/>
      <c r="F450" s="11"/>
      <c r="G450" s="11"/>
      <c r="H450" s="11"/>
    </row>
    <row r="451" spans="1:8" x14ac:dyDescent="0.2">
      <c r="A451" s="11"/>
      <c r="B451" s="11"/>
      <c r="C451" s="11"/>
      <c r="D451" s="11" t="str">
        <f t="shared" ref="D451:D470" si="20">IF($B$2,G451,H451)</f>
        <v>CLASIFICACIÓN MUNDIAL 2026</v>
      </c>
      <c r="E451" s="11" t="s">
        <v>1589</v>
      </c>
      <c r="F451" s="11" t="s">
        <v>1590</v>
      </c>
      <c r="G451" s="783" t="s">
        <v>1610</v>
      </c>
      <c r="H451" s="783" t="s">
        <v>1611</v>
      </c>
    </row>
    <row r="452" spans="1:8" x14ac:dyDescent="0.2">
      <c r="A452" s="11"/>
      <c r="B452" s="11"/>
      <c r="C452" s="11"/>
      <c r="D452" s="11" t="str">
        <f t="shared" si="20"/>
        <v>Pos</v>
      </c>
      <c r="E452" s="11" t="s">
        <v>1589</v>
      </c>
      <c r="F452" s="11" t="s">
        <v>125</v>
      </c>
      <c r="G452" s="783" t="s">
        <v>14</v>
      </c>
      <c r="H452" s="783" t="s">
        <v>14</v>
      </c>
    </row>
    <row r="453" spans="1:8" x14ac:dyDescent="0.2">
      <c r="A453" s="11"/>
      <c r="B453" s="11"/>
      <c r="C453" s="11"/>
      <c r="D453" s="11" t="str">
        <f t="shared" si="20"/>
        <v>Jugador</v>
      </c>
      <c r="E453" s="11" t="s">
        <v>1589</v>
      </c>
      <c r="F453" s="11" t="s">
        <v>126</v>
      </c>
      <c r="G453" s="783" t="s">
        <v>1591</v>
      </c>
      <c r="H453" s="783" t="s">
        <v>1592</v>
      </c>
    </row>
    <row r="454" spans="1:8" x14ac:dyDescent="0.2">
      <c r="A454" s="11"/>
      <c r="B454" s="11"/>
      <c r="C454" s="11"/>
      <c r="D454" s="11" t="str">
        <f t="shared" si="20"/>
        <v>Puntos Totales</v>
      </c>
      <c r="E454" s="11" t="s">
        <v>1589</v>
      </c>
      <c r="F454" s="11" t="s">
        <v>127</v>
      </c>
      <c r="G454" s="783" t="s">
        <v>1593</v>
      </c>
      <c r="H454" s="783" t="s">
        <v>1594</v>
      </c>
    </row>
    <row r="455" spans="1:8" x14ac:dyDescent="0.2">
      <c r="A455" s="11"/>
      <c r="B455" s="11"/>
      <c r="C455" s="11"/>
      <c r="D455" s="11" t="str">
        <f t="shared" si="20"/>
        <v>F. Grupos</v>
      </c>
      <c r="E455" s="11" t="s">
        <v>1589</v>
      </c>
      <c r="F455" s="11" t="s">
        <v>128</v>
      </c>
      <c r="G455" s="783" t="s">
        <v>1595</v>
      </c>
      <c r="H455" s="783" t="s">
        <v>1627</v>
      </c>
    </row>
    <row r="456" spans="1:8" x14ac:dyDescent="0.2">
      <c r="A456" s="11"/>
      <c r="B456" s="11"/>
      <c r="C456" s="11"/>
      <c r="D456" s="11" t="str">
        <f t="shared" si="20"/>
        <v>Pos. Grupos</v>
      </c>
      <c r="E456" s="11" t="s">
        <v>1589</v>
      </c>
      <c r="F456" s="11" t="s">
        <v>129</v>
      </c>
      <c r="G456" s="783" t="s">
        <v>1596</v>
      </c>
      <c r="H456" s="783" t="s">
        <v>1628</v>
      </c>
    </row>
    <row r="457" spans="1:8" x14ac:dyDescent="0.2">
      <c r="A457" s="11"/>
      <c r="B457" s="11"/>
      <c r="C457" s="11"/>
      <c r="D457" s="11" t="str">
        <f t="shared" ref="D457:D458" si="21">IF($B$2,G457,H457)</f>
        <v>Equipos 1/16</v>
      </c>
      <c r="E457" s="11" t="s">
        <v>1589</v>
      </c>
      <c r="F457" s="11" t="s">
        <v>180</v>
      </c>
      <c r="G457" s="783" t="s">
        <v>1612</v>
      </c>
      <c r="H457" s="783" t="s">
        <v>1617</v>
      </c>
    </row>
    <row r="458" spans="1:8" x14ac:dyDescent="0.2">
      <c r="A458" s="11"/>
      <c r="B458" s="11"/>
      <c r="C458" s="11"/>
      <c r="D458" s="11" t="str">
        <f t="shared" si="21"/>
        <v>Partidos 1/16</v>
      </c>
      <c r="E458" s="11" t="s">
        <v>1589</v>
      </c>
      <c r="F458" s="11" t="s">
        <v>181</v>
      </c>
      <c r="G458" s="783" t="s">
        <v>1613</v>
      </c>
      <c r="H458" s="783" t="s">
        <v>1614</v>
      </c>
    </row>
    <row r="459" spans="1:8" x14ac:dyDescent="0.2">
      <c r="A459" s="11"/>
      <c r="B459" s="11"/>
      <c r="C459" s="11"/>
      <c r="D459" s="11" t="str">
        <f t="shared" si="20"/>
        <v>Equipos 1/8</v>
      </c>
      <c r="E459" s="11" t="s">
        <v>1589</v>
      </c>
      <c r="F459" s="11" t="s">
        <v>180</v>
      </c>
      <c r="G459" s="783" t="s">
        <v>1597</v>
      </c>
      <c r="H459" s="783" t="s">
        <v>1618</v>
      </c>
    </row>
    <row r="460" spans="1:8" x14ac:dyDescent="0.2">
      <c r="A460" s="11"/>
      <c r="B460" s="11"/>
      <c r="C460" s="11"/>
      <c r="D460" s="11" t="str">
        <f t="shared" si="20"/>
        <v>Partidos 1/8</v>
      </c>
      <c r="E460" s="11" t="s">
        <v>1589</v>
      </c>
      <c r="F460" s="11" t="s">
        <v>181</v>
      </c>
      <c r="G460" s="783" t="s">
        <v>1598</v>
      </c>
      <c r="H460" s="783" t="s">
        <v>1599</v>
      </c>
    </row>
    <row r="461" spans="1:8" x14ac:dyDescent="0.2">
      <c r="A461" s="11"/>
      <c r="B461" s="11"/>
      <c r="C461" s="11"/>
      <c r="D461" s="11" t="str">
        <f t="shared" si="20"/>
        <v>Equipos 1/4</v>
      </c>
      <c r="E461" s="11" t="s">
        <v>1589</v>
      </c>
      <c r="F461" s="11" t="s">
        <v>182</v>
      </c>
      <c r="G461" s="783" t="s">
        <v>1600</v>
      </c>
      <c r="H461" s="783" t="s">
        <v>1619</v>
      </c>
    </row>
    <row r="462" spans="1:8" x14ac:dyDescent="0.2">
      <c r="A462" s="11"/>
      <c r="B462" s="11"/>
      <c r="C462" s="11"/>
      <c r="D462" s="11" t="str">
        <f t="shared" si="20"/>
        <v>Partidos 1/4</v>
      </c>
      <c r="E462" s="11" t="s">
        <v>1589</v>
      </c>
      <c r="F462" s="11" t="s">
        <v>28</v>
      </c>
      <c r="G462" s="783" t="s">
        <v>1601</v>
      </c>
      <c r="H462" s="783" t="s">
        <v>1602</v>
      </c>
    </row>
    <row r="463" spans="1:8" x14ac:dyDescent="0.2">
      <c r="A463" s="11"/>
      <c r="B463" s="11"/>
      <c r="C463" s="11"/>
      <c r="D463" s="11" t="str">
        <f t="shared" si="20"/>
        <v>Equipos 1/2</v>
      </c>
      <c r="E463" s="11" t="s">
        <v>1589</v>
      </c>
      <c r="F463" s="11" t="s">
        <v>188</v>
      </c>
      <c r="G463" s="783" t="s">
        <v>1603</v>
      </c>
      <c r="H463" s="783" t="s">
        <v>1620</v>
      </c>
    </row>
    <row r="464" spans="1:8" x14ac:dyDescent="0.2">
      <c r="A464" s="11"/>
      <c r="B464" s="11"/>
      <c r="C464" s="11"/>
      <c r="D464" s="11" t="str">
        <f t="shared" si="20"/>
        <v>Partidos 1/2</v>
      </c>
      <c r="E464" s="11" t="s">
        <v>1589</v>
      </c>
      <c r="F464" s="11" t="s">
        <v>1198</v>
      </c>
      <c r="G464" s="783" t="s">
        <v>1604</v>
      </c>
      <c r="H464" s="783" t="s">
        <v>1605</v>
      </c>
    </row>
    <row r="465" spans="1:8" x14ac:dyDescent="0.2">
      <c r="A465" s="11"/>
      <c r="B465" s="11"/>
      <c r="C465" s="11"/>
      <c r="D465" s="11" t="str">
        <f t="shared" si="20"/>
        <v>Equipos 3-4</v>
      </c>
      <c r="E465" s="11" t="s">
        <v>1589</v>
      </c>
      <c r="F465" s="11"/>
      <c r="G465" s="783" t="s">
        <v>1615</v>
      </c>
      <c r="H465" s="783" t="s">
        <v>1616</v>
      </c>
    </row>
    <row r="466" spans="1:8" x14ac:dyDescent="0.2">
      <c r="A466" s="11"/>
      <c r="B466" s="11"/>
      <c r="C466" s="11"/>
      <c r="D466" s="11" t="str">
        <f t="shared" si="20"/>
        <v>Equipos Final</v>
      </c>
      <c r="E466" s="11" t="s">
        <v>1589</v>
      </c>
      <c r="F466" s="11" t="s">
        <v>1606</v>
      </c>
      <c r="G466" s="783" t="s">
        <v>1607</v>
      </c>
      <c r="H466" s="783" t="s">
        <v>1621</v>
      </c>
    </row>
    <row r="467" spans="1:8" x14ac:dyDescent="0.2">
      <c r="A467" s="11"/>
      <c r="B467" s="11"/>
      <c r="C467" s="11"/>
      <c r="D467" s="11" t="str">
        <f t="shared" ref="D467" si="22">IF($B$2,G467,H467)</f>
        <v>Partido 3-4</v>
      </c>
      <c r="E467" s="11" t="s">
        <v>1589</v>
      </c>
      <c r="F467" s="11"/>
      <c r="G467" s="783" t="s">
        <v>1622</v>
      </c>
      <c r="H467" s="783" t="s">
        <v>1623</v>
      </c>
    </row>
    <row r="468" spans="1:8" x14ac:dyDescent="0.2">
      <c r="A468" s="11"/>
      <c r="B468" s="11"/>
      <c r="C468" s="11"/>
      <c r="D468" s="11" t="str">
        <f t="shared" si="20"/>
        <v>Partido Final</v>
      </c>
      <c r="E468" s="11" t="s">
        <v>1589</v>
      </c>
      <c r="F468" s="11" t="s">
        <v>190</v>
      </c>
      <c r="G468" s="783" t="s">
        <v>1467</v>
      </c>
      <c r="H468" s="783" t="s">
        <v>1608</v>
      </c>
    </row>
    <row r="469" spans="1:8" x14ac:dyDescent="0.2">
      <c r="A469" s="11"/>
      <c r="B469" s="11"/>
      <c r="C469" s="11"/>
      <c r="D469" s="11" t="str">
        <f t="shared" ref="D469" si="23">IF($B$2,G469,H469)</f>
        <v xml:space="preserve">Cuadro de Honor </v>
      </c>
      <c r="E469" s="11" t="s">
        <v>1589</v>
      </c>
      <c r="F469" s="11" t="s">
        <v>1609</v>
      </c>
      <c r="G469" s="783" t="s">
        <v>1624</v>
      </c>
      <c r="H469" s="783" t="s">
        <v>1626</v>
      </c>
    </row>
    <row r="470" spans="1:8" x14ac:dyDescent="0.2">
      <c r="A470" s="11"/>
      <c r="B470" s="11"/>
      <c r="C470" s="11"/>
      <c r="D470" s="11" t="str">
        <f t="shared" si="20"/>
        <v xml:space="preserve">Predictor </v>
      </c>
      <c r="E470" s="11" t="s">
        <v>1589</v>
      </c>
      <c r="F470" s="11" t="s">
        <v>1609</v>
      </c>
      <c r="G470" s="783" t="s">
        <v>1625</v>
      </c>
      <c r="H470" s="783" t="s">
        <v>1625</v>
      </c>
    </row>
    <row r="471" spans="1:8" x14ac:dyDescent="0.2">
      <c r="A471" s="11"/>
      <c r="B471" s="11"/>
      <c r="C471" s="11"/>
      <c r="D471" s="11"/>
      <c r="E471" s="11"/>
      <c r="F471" s="11"/>
      <c r="G471" s="11"/>
      <c r="H471" s="11"/>
    </row>
    <row r="472" spans="1:8" x14ac:dyDescent="0.2">
      <c r="A472" s="11"/>
      <c r="B472" s="11"/>
      <c r="C472" s="11"/>
      <c r="D472" s="11"/>
      <c r="E472" s="11"/>
      <c r="F472" s="11"/>
      <c r="G472" s="11"/>
      <c r="H472" s="11"/>
    </row>
    <row r="473" spans="1:8" x14ac:dyDescent="0.2">
      <c r="A473" s="11"/>
      <c r="B473" s="11"/>
      <c r="C473" s="11"/>
      <c r="D473" s="11"/>
      <c r="E473" s="11"/>
      <c r="F473" s="11"/>
      <c r="G473" s="11"/>
      <c r="H473" s="11"/>
    </row>
    <row r="474" spans="1:8" x14ac:dyDescent="0.2">
      <c r="A474" s="11"/>
      <c r="B474" s="11"/>
      <c r="C474" s="11"/>
      <c r="D474" s="11" t="str">
        <f t="shared" ref="D474:D475" si="24">IF($B$2,G474,H474)</f>
        <v>Selecciona día:</v>
      </c>
      <c r="E474" s="11" t="s">
        <v>1650</v>
      </c>
      <c r="F474" s="11" t="s">
        <v>115</v>
      </c>
      <c r="G474" s="11" t="s">
        <v>1651</v>
      </c>
      <c r="H474" s="11" t="s">
        <v>1652</v>
      </c>
    </row>
    <row r="475" spans="1:8" x14ac:dyDescent="0.2">
      <c r="A475" s="11"/>
      <c r="B475" s="11"/>
      <c r="C475" s="11"/>
      <c r="D475" s="11" t="str">
        <f t="shared" si="24"/>
        <v>Nombre</v>
      </c>
      <c r="E475" s="11" t="s">
        <v>1650</v>
      </c>
      <c r="F475" s="11" t="s">
        <v>126</v>
      </c>
      <c r="G475" s="11" t="s">
        <v>42</v>
      </c>
      <c r="H475" s="11" t="s">
        <v>268</v>
      </c>
    </row>
    <row r="476" spans="1:8" x14ac:dyDescent="0.2">
      <c r="A476" s="11"/>
      <c r="B476" s="11"/>
      <c r="C476" s="11"/>
      <c r="D476" s="11"/>
      <c r="E476" s="11"/>
      <c r="F476" s="11"/>
      <c r="G476" s="11"/>
      <c r="H476" s="11"/>
    </row>
    <row r="477" spans="1:8" x14ac:dyDescent="0.2">
      <c r="A477" s="11"/>
      <c r="B477" s="11"/>
      <c r="C477" s="11"/>
      <c r="D477" s="11"/>
      <c r="E477" s="11"/>
      <c r="F477" s="11"/>
      <c r="G477" s="11"/>
      <c r="H477" s="11"/>
    </row>
    <row r="478" spans="1:8" x14ac:dyDescent="0.2">
      <c r="A478" s="11"/>
      <c r="B478" s="11"/>
      <c r="C478" s="11"/>
      <c r="D478" s="11" t="str">
        <f t="shared" ref="D478:D481" si="25">IF($B$2,G478,H478)</f>
        <v>Selecciona día:</v>
      </c>
      <c r="E478" s="11" t="s">
        <v>1653</v>
      </c>
      <c r="F478" s="11" t="s">
        <v>512</v>
      </c>
      <c r="G478" s="11" t="s">
        <v>1651</v>
      </c>
      <c r="H478" s="11" t="s">
        <v>1652</v>
      </c>
    </row>
    <row r="479" spans="1:8" x14ac:dyDescent="0.2">
      <c r="A479" s="11"/>
      <c r="B479" s="11"/>
      <c r="C479" s="11"/>
      <c r="D479" s="11" t="str">
        <f t="shared" si="25"/>
        <v>Pos</v>
      </c>
      <c r="E479" s="11" t="s">
        <v>1653</v>
      </c>
      <c r="F479" s="11" t="s">
        <v>128</v>
      </c>
      <c r="G479" s="11" t="s">
        <v>14</v>
      </c>
      <c r="H479" s="11" t="s">
        <v>14</v>
      </c>
    </row>
    <row r="480" spans="1:8" x14ac:dyDescent="0.2">
      <c r="A480" s="11"/>
      <c r="B480" s="11"/>
      <c r="C480" s="11"/>
      <c r="D480" s="11" t="str">
        <f t="shared" si="25"/>
        <v>Nombre</v>
      </c>
      <c r="E480" s="11" t="s">
        <v>1653</v>
      </c>
      <c r="F480" s="11" t="s">
        <v>129</v>
      </c>
      <c r="G480" s="11" t="s">
        <v>42</v>
      </c>
      <c r="H480" s="11" t="s">
        <v>268</v>
      </c>
    </row>
    <row r="481" spans="1:8" x14ac:dyDescent="0.2">
      <c r="A481" s="11"/>
      <c r="B481" s="11"/>
      <c r="C481" s="11"/>
      <c r="D481" s="11" t="str">
        <f t="shared" si="25"/>
        <v>Puntos Día / Eliminatoria</v>
      </c>
      <c r="E481" s="11" t="s">
        <v>1653</v>
      </c>
      <c r="F481" s="11" t="s">
        <v>180</v>
      </c>
      <c r="G481" s="11" t="s">
        <v>1654</v>
      </c>
      <c r="H481" s="11" t="s">
        <v>1655</v>
      </c>
    </row>
    <row r="482" spans="1:8" x14ac:dyDescent="0.2">
      <c r="A482" s="11"/>
      <c r="B482" s="11"/>
      <c r="C482" s="11"/>
      <c r="D482" s="11"/>
      <c r="E482" s="11"/>
      <c r="F482" s="11"/>
      <c r="G482" s="11"/>
      <c r="H482" s="11"/>
    </row>
    <row r="483" spans="1:8" x14ac:dyDescent="0.2">
      <c r="A483" s="11"/>
      <c r="B483" s="11"/>
      <c r="C483" s="11"/>
      <c r="D483" s="11"/>
      <c r="E483" s="11"/>
      <c r="F483" s="11"/>
      <c r="G483" s="11"/>
      <c r="H483" s="11"/>
    </row>
    <row r="484" spans="1:8" x14ac:dyDescent="0.2">
      <c r="A484" s="11"/>
      <c r="B484" s="11"/>
      <c r="C484" s="11"/>
      <c r="D484" s="11" t="str">
        <f>IF($B$2,G484,H484)</f>
        <v xml:space="preserve">Puntos en juego </v>
      </c>
      <c r="E484" s="11" t="s">
        <v>1656</v>
      </c>
      <c r="F484" s="11"/>
      <c r="G484" s="11" t="s">
        <v>1657</v>
      </c>
      <c r="H484" s="8" t="s">
        <v>1658</v>
      </c>
    </row>
    <row r="485" spans="1:8" x14ac:dyDescent="0.2">
      <c r="A485" s="11"/>
      <c r="B485" s="11"/>
      <c r="C485" s="11"/>
      <c r="D485" s="11" t="str">
        <f t="shared" ref="D485:D515" si="26">IF($B$2,G485,H485)</f>
        <v xml:space="preserve">Máximo de puntos hasta </v>
      </c>
      <c r="E485" s="11" t="s">
        <v>1656</v>
      </c>
      <c r="F485" s="11"/>
      <c r="G485" s="11" t="s">
        <v>1659</v>
      </c>
      <c r="H485" s="8" t="s">
        <v>1660</v>
      </c>
    </row>
    <row r="486" spans="1:8" x14ac:dyDescent="0.2">
      <c r="A486" s="11"/>
      <c r="B486" s="11"/>
      <c r="C486" s="11"/>
      <c r="D486" s="11" t="str">
        <f t="shared" si="26"/>
        <v xml:space="preserve">Máximo de puntos incluido </v>
      </c>
      <c r="E486" s="11" t="s">
        <v>1656</v>
      </c>
      <c r="F486" s="11"/>
      <c r="G486" s="11" t="s">
        <v>1661</v>
      </c>
      <c r="H486" s="8" t="s">
        <v>1662</v>
      </c>
    </row>
    <row r="487" spans="1:8" x14ac:dyDescent="0.2">
      <c r="A487" s="11"/>
      <c r="B487" s="11"/>
      <c r="C487" s="11"/>
      <c r="D487" s="11" t="str">
        <f t="shared" si="26"/>
        <v xml:space="preserve">Quedan por repartir: </v>
      </c>
      <c r="E487" s="11" t="s">
        <v>1656</v>
      </c>
      <c r="F487" s="11"/>
      <c r="G487" s="11" t="s">
        <v>1663</v>
      </c>
      <c r="H487" s="8" t="s">
        <v>1664</v>
      </c>
    </row>
    <row r="488" spans="1:8" x14ac:dyDescent="0.2">
      <c r="A488" s="11"/>
      <c r="B488" s="11"/>
      <c r="C488" s="11"/>
      <c r="D488" s="11" t="str">
        <f t="shared" si="26"/>
        <v>Puntos máximos totales a repartir hoy (Global):</v>
      </c>
      <c r="E488" s="11" t="s">
        <v>1656</v>
      </c>
      <c r="F488" s="11"/>
      <c r="G488" s="11" t="s">
        <v>1665</v>
      </c>
      <c r="H488" s="8" t="s">
        <v>1666</v>
      </c>
    </row>
    <row r="489" spans="1:8" x14ac:dyDescent="0.2">
      <c r="A489" s="11"/>
      <c r="B489" s="11"/>
      <c r="C489" s="11"/>
      <c r="D489" s="11" t="str">
        <f t="shared" si="26"/>
        <v>Puntos repartidos hoy (Global)</v>
      </c>
      <c r="E489" s="11" t="s">
        <v>1656</v>
      </c>
      <c r="F489" s="11"/>
      <c r="G489" s="11" t="s">
        <v>1667</v>
      </c>
      <c r="H489" s="8" t="s">
        <v>1668</v>
      </c>
    </row>
    <row r="490" spans="1:8" x14ac:dyDescent="0.2">
      <c r="A490" s="11"/>
      <c r="B490" s="11"/>
      <c r="C490" s="11"/>
      <c r="D490" s="11" t="str">
        <f t="shared" si="26"/>
        <v xml:space="preserve">¿Cúantos han acertado el máximo de puntos </v>
      </c>
      <c r="E490" s="11" t="s">
        <v>1656</v>
      </c>
      <c r="F490" s="11"/>
      <c r="G490" s="11" t="s">
        <v>1669</v>
      </c>
      <c r="H490" s="8" t="s">
        <v>1670</v>
      </c>
    </row>
    <row r="491" spans="1:8" x14ac:dyDescent="0.2">
      <c r="A491" s="11"/>
      <c r="B491" s="11"/>
      <c r="C491" s="11"/>
      <c r="D491" s="11" t="str">
        <f>IF($B$2,G491,H491)</f>
        <v xml:space="preserve">¿Cúantos se han llevado algún punto </v>
      </c>
      <c r="E491" s="11" t="s">
        <v>1656</v>
      </c>
      <c r="F491" s="11"/>
      <c r="G491" s="11" t="s">
        <v>1671</v>
      </c>
      <c r="H491" s="8" t="s">
        <v>1672</v>
      </c>
    </row>
    <row r="492" spans="1:8" x14ac:dyDescent="0.2">
      <c r="A492" s="11"/>
      <c r="B492" s="11"/>
      <c r="C492" s="11"/>
      <c r="D492" s="11" t="str">
        <f t="shared" si="26"/>
        <v xml:space="preserve">¿Cúantos no han acertado nada </v>
      </c>
      <c r="E492" s="11" t="s">
        <v>1656</v>
      </c>
      <c r="F492" s="11"/>
      <c r="G492" s="11" t="s">
        <v>1673</v>
      </c>
      <c r="H492" s="8" t="s">
        <v>1674</v>
      </c>
    </row>
    <row r="493" spans="1:8" x14ac:dyDescent="0.2">
      <c r="A493" s="11"/>
      <c r="B493" s="11"/>
      <c r="C493" s="11"/>
      <c r="D493" s="11" t="str">
        <f t="shared" si="26"/>
        <v xml:space="preserve">Media de puntos sumados </v>
      </c>
      <c r="E493" s="11" t="s">
        <v>1656</v>
      </c>
      <c r="F493" s="11"/>
      <c r="G493" s="11" t="s">
        <v>1675</v>
      </c>
      <c r="H493" s="8" t="s">
        <v>1676</v>
      </c>
    </row>
    <row r="494" spans="1:8" x14ac:dyDescent="0.2">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x14ac:dyDescent="0.2">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x14ac:dyDescent="0.2">
      <c r="A496" s="11"/>
      <c r="B496" s="11"/>
      <c r="C496" s="11"/>
      <c r="D496" s="11" t="str">
        <f t="shared" si="26"/>
        <v>Dia seleccionado en "Daily Prediction"</v>
      </c>
      <c r="E496" s="11" t="s">
        <v>1656</v>
      </c>
      <c r="F496" s="11"/>
      <c r="G496" s="11" t="s">
        <v>1680</v>
      </c>
      <c r="H496" s="8" t="s">
        <v>1681</v>
      </c>
    </row>
    <row r="497" spans="1:8" x14ac:dyDescent="0.2">
      <c r="A497" s="11"/>
      <c r="B497" s="11"/>
      <c r="C497" s="11"/>
      <c r="D497" s="11" t="str">
        <f t="shared" si="26"/>
        <v>Puntos</v>
      </c>
      <c r="E497" s="11" t="s">
        <v>1656</v>
      </c>
      <c r="F497" s="11"/>
      <c r="G497" s="11" t="s">
        <v>1381</v>
      </c>
      <c r="H497" s="8" t="s">
        <v>1382</v>
      </c>
    </row>
    <row r="498" spans="1:8" x14ac:dyDescent="0.2">
      <c r="A498" s="11"/>
      <c r="B498" s="11"/>
      <c r="C498" s="11"/>
      <c r="D498" s="11" t="str">
        <f t="shared" si="26"/>
        <v>Resultados más pronósticados</v>
      </c>
      <c r="E498" s="11" t="s">
        <v>1656</v>
      </c>
      <c r="F498" s="11"/>
      <c r="G498" s="11" t="s">
        <v>1682</v>
      </c>
      <c r="H498" s="8" t="s">
        <v>1683</v>
      </c>
    </row>
    <row r="499" spans="1:8" x14ac:dyDescent="0.2">
      <c r="A499" s="11"/>
      <c r="B499" s="11"/>
      <c r="C499" s="11"/>
      <c r="D499" s="11" t="str">
        <f t="shared" si="26"/>
        <v>Resultado</v>
      </c>
      <c r="E499" s="11" t="s">
        <v>1656</v>
      </c>
      <c r="F499" s="11"/>
      <c r="G499" s="11" t="s">
        <v>1684</v>
      </c>
      <c r="H499" s="8" t="s">
        <v>1685</v>
      </c>
    </row>
    <row r="500" spans="1:8" x14ac:dyDescent="0.2">
      <c r="A500" s="11"/>
      <c r="B500" s="11"/>
      <c r="C500" s="11"/>
      <c r="D500" s="11" t="str">
        <f t="shared" si="26"/>
        <v>Nº de veces</v>
      </c>
      <c r="E500" s="11" t="s">
        <v>1656</v>
      </c>
      <c r="F500" s="11"/>
      <c r="G500" s="11" t="s">
        <v>1686</v>
      </c>
      <c r="H500" s="8" t="s">
        <v>1687</v>
      </c>
    </row>
    <row r="501" spans="1:8" x14ac:dyDescent="0.2">
      <c r="A501" s="11"/>
      <c r="B501" s="11"/>
      <c r="C501" s="11"/>
      <c r="D501" s="11" t="str">
        <f t="shared" si="26"/>
        <v>Selecciona un partido de hoy:↗</v>
      </c>
      <c r="E501" s="11" t="s">
        <v>1656</v>
      </c>
      <c r="F501" s="11"/>
      <c r="G501" s="11" t="s">
        <v>1923</v>
      </c>
      <c r="H501" s="8" t="s">
        <v>1924</v>
      </c>
    </row>
    <row r="502" spans="1:8" x14ac:dyDescent="0.2">
      <c r="A502" s="11"/>
      <c r="B502" s="11"/>
      <c r="C502" s="11"/>
      <c r="D502" s="11" t="str">
        <f t="shared" si="26"/>
        <v>(No cuentan los resultados no predichos)*</v>
      </c>
      <c r="E502" s="11" t="s">
        <v>1656</v>
      </c>
      <c r="F502" s="11"/>
      <c r="G502" s="11" t="s">
        <v>1688</v>
      </c>
      <c r="H502" s="8" t="s">
        <v>1689</v>
      </c>
    </row>
    <row r="503" spans="1:8" x14ac:dyDescent="0.2">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x14ac:dyDescent="0.2">
      <c r="A504" s="11"/>
      <c r="B504" s="11"/>
      <c r="C504" s="11"/>
      <c r="D504" s="11" t="str">
        <f t="shared" si="26"/>
        <v>Este gráfico de abajo solo aparece en los partidos de la fase de grupos</v>
      </c>
      <c r="E504" s="11" t="s">
        <v>1656</v>
      </c>
      <c r="F504" s="11"/>
      <c r="G504" s="11" t="s">
        <v>1692</v>
      </c>
      <c r="H504" s="11" t="s">
        <v>1693</v>
      </c>
    </row>
    <row r="505" spans="1:8" x14ac:dyDescent="0.2">
      <c r="A505" s="11"/>
      <c r="B505" s="11"/>
      <c r="C505" s="11"/>
      <c r="D505" s="11" t="str">
        <f t="shared" si="26"/>
        <v>Faltan</v>
      </c>
      <c r="E505" s="11" t="s">
        <v>1656</v>
      </c>
      <c r="F505" s="11"/>
      <c r="G505" s="8" t="s">
        <v>1694</v>
      </c>
      <c r="H505" s="8" t="s">
        <v>1695</v>
      </c>
    </row>
    <row r="506" spans="1:8" x14ac:dyDescent="0.2">
      <c r="A506" s="11"/>
      <c r="B506" s="11"/>
      <c r="C506" s="11"/>
      <c r="D506" s="11" t="str">
        <f t="shared" si="26"/>
        <v>días para que empiece el Mundial 2026</v>
      </c>
      <c r="E506" s="11" t="s">
        <v>1656</v>
      </c>
      <c r="F506" s="11"/>
      <c r="G506" s="8" t="s">
        <v>1780</v>
      </c>
      <c r="H506" s="8" t="s">
        <v>1785</v>
      </c>
    </row>
    <row r="507" spans="1:8" x14ac:dyDescent="0.2">
      <c r="A507" s="11"/>
      <c r="B507" s="11"/>
      <c r="C507" s="11"/>
      <c r="D507" s="11" t="str">
        <f t="shared" si="26"/>
        <v>Es el día</v>
      </c>
      <c r="E507" s="11" t="s">
        <v>1656</v>
      </c>
      <c r="F507" s="11"/>
      <c r="G507" s="8" t="s">
        <v>1696</v>
      </c>
      <c r="H507" s="8" t="s">
        <v>1697</v>
      </c>
    </row>
    <row r="508" spans="1:8" x14ac:dyDescent="0.2">
      <c r="A508" s="11"/>
      <c r="B508" s="11"/>
      <c r="C508" s="11"/>
      <c r="D508" s="11" t="str">
        <f t="shared" si="26"/>
        <v>del Mundial 2026</v>
      </c>
      <c r="E508" s="11" t="s">
        <v>1656</v>
      </c>
      <c r="F508" s="11"/>
      <c r="G508" s="8" t="s">
        <v>1779</v>
      </c>
      <c r="H508" s="8" t="s">
        <v>1304</v>
      </c>
    </row>
    <row r="509" spans="1:8" x14ac:dyDescent="0.2">
      <c r="A509" s="11"/>
      <c r="B509" s="11"/>
      <c r="C509" s="11"/>
      <c r="D509" s="11" t="str">
        <f t="shared" si="26"/>
        <v>Quedan</v>
      </c>
      <c r="E509" s="11" t="s">
        <v>1656</v>
      </c>
      <c r="F509" s="11"/>
      <c r="G509" s="8" t="s">
        <v>1698</v>
      </c>
      <c r="H509" s="8" t="s">
        <v>1699</v>
      </c>
    </row>
    <row r="510" spans="1:8" x14ac:dyDescent="0.2">
      <c r="A510" s="11"/>
      <c r="B510" s="11"/>
      <c r="C510" s="11"/>
      <c r="D510" s="11" t="str">
        <f t="shared" si="26"/>
        <v>días para que acabe el Mundial 2026</v>
      </c>
      <c r="E510" s="11" t="s">
        <v>1656</v>
      </c>
      <c r="F510" s="11"/>
      <c r="G510" s="8" t="s">
        <v>1777</v>
      </c>
      <c r="H510" s="8" t="s">
        <v>1778</v>
      </c>
    </row>
    <row r="511" spans="1:8" x14ac:dyDescent="0.2">
      <c r="A511" s="11"/>
      <c r="B511" s="11"/>
      <c r="C511" s="11"/>
      <c r="D511" s="11" t="str">
        <f t="shared" si="26"/>
        <v>Se han marcado un total de</v>
      </c>
      <c r="E511" s="11" t="s">
        <v>1656</v>
      </c>
      <c r="F511" s="11"/>
      <c r="G511" s="8" t="s">
        <v>1700</v>
      </c>
      <c r="H511" s="8" t="s">
        <v>1701</v>
      </c>
    </row>
    <row r="512" spans="1:8" x14ac:dyDescent="0.2">
      <c r="A512" s="11"/>
      <c r="B512" s="11"/>
      <c r="C512" s="11"/>
      <c r="D512" s="11" t="str">
        <f t="shared" si="26"/>
        <v>goles en el Mundial de Clubes sin contar tandas de penalti</v>
      </c>
      <c r="E512" s="11" t="s">
        <v>1656</v>
      </c>
      <c r="F512" s="11"/>
      <c r="G512" s="8" t="s">
        <v>1702</v>
      </c>
      <c r="H512" s="8" t="s">
        <v>1703</v>
      </c>
    </row>
    <row r="513" spans="1:8" x14ac:dyDescent="0.2">
      <c r="A513" s="11"/>
      <c r="B513" s="11"/>
      <c r="C513" s="11"/>
      <c r="D513" s="11" t="str">
        <f t="shared" si="26"/>
        <v>Espero que disfrutéis del Excel del Mundial de Clubes</v>
      </c>
      <c r="E513" s="11" t="s">
        <v>1656</v>
      </c>
      <c r="F513" s="11"/>
      <c r="G513" s="8" t="s">
        <v>1704</v>
      </c>
      <c r="H513" s="8" t="s">
        <v>1705</v>
      </c>
    </row>
    <row r="514" spans="1:8" x14ac:dyDescent="0.2">
      <c r="A514" s="11"/>
      <c r="B514" s="11"/>
      <c r="C514" s="11"/>
      <c r="D514" s="11"/>
      <c r="E514" s="11"/>
      <c r="F514" s="11"/>
      <c r="G514" s="11"/>
      <c r="H514" s="11"/>
    </row>
    <row r="515" spans="1:8" x14ac:dyDescent="0.2">
      <c r="A515" s="11"/>
      <c r="B515" s="11"/>
      <c r="C515" s="11"/>
      <c r="D515" s="11" t="str">
        <f t="shared" si="26"/>
        <v>Gráfico solo en fase de grupos</v>
      </c>
      <c r="E515" s="11" t="s">
        <v>1656</v>
      </c>
      <c r="F515" s="11"/>
      <c r="G515" s="8" t="s">
        <v>1905</v>
      </c>
      <c r="H515" s="11" t="s">
        <v>1904</v>
      </c>
    </row>
    <row r="1419" spans="4:4" x14ac:dyDescent="0.2">
      <c r="D1419" s="11" t="s">
        <v>1317</v>
      </c>
    </row>
    <row r="1420" spans="4:4" x14ac:dyDescent="0.2">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3203125" defaultRowHeight="15" x14ac:dyDescent="0.2"/>
  <cols>
    <col min="1" max="2" width="10.83203125" style="21" hidden="1" customWidth="1"/>
    <col min="3" max="3" width="2.33203125" customWidth="1"/>
    <col min="4" max="4" width="46.1640625" customWidth="1"/>
    <col min="5" max="6" width="12.83203125" customWidth="1"/>
    <col min="7" max="7" width="3.83203125" customWidth="1"/>
    <col min="8" max="8" width="32.1640625" customWidth="1"/>
    <col min="9" max="9" width="26.6640625" bestFit="1" customWidth="1"/>
    <col min="10" max="11" width="2.33203125" customWidth="1"/>
    <col min="12" max="12" width="19" bestFit="1" customWidth="1"/>
    <col min="13" max="20" width="11.33203125" customWidth="1"/>
    <col min="21" max="22" width="10.83203125" customWidth="1"/>
    <col min="23" max="23" width="23.83203125" customWidth="1"/>
    <col min="24" max="24" width="21.33203125" customWidth="1"/>
    <col min="25" max="25" width="24.5" customWidth="1"/>
    <col min="26" max="26" width="17.83203125" customWidth="1"/>
    <col min="27" max="53" width="10.83203125" customWidth="1"/>
  </cols>
  <sheetData>
    <row r="1" spans="1:53" x14ac:dyDescent="0.2">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x14ac:dyDescent="0.2">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x14ac:dyDescent="0.2">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6" thickBot="1" x14ac:dyDescent="0.25">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x14ac:dyDescent="0.25">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6" thickBot="1" x14ac:dyDescent="0.25">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x14ac:dyDescent="0.2">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x14ac:dyDescent="0.2">
      <c r="A8" s="25"/>
      <c r="B8" s="25"/>
      <c r="C8" s="17"/>
      <c r="D8" s="462" t="str">
        <f>Idiomas!D484&amp;TEXT($E$5,"dd/mm/aa")&amp;" (Individual)"</f>
        <v>Puntos en juego 11/06/26 (Individual)</v>
      </c>
      <c r="E8" s="463">
        <f ca="1">IFERROR(SUMIF(ADMIN!$G$6:$G$258,$F$5,ADMIN!$F$6:$F$258),"")</f>
        <v>6</v>
      </c>
      <c r="F8" s="464">
        <f ca="1">IFERROR(E8/$B$46,0)</f>
        <v>4.6367851622874804E-3</v>
      </c>
      <c r="G8" s="17"/>
      <c r="H8" s="462" t="str" cm="1">
        <f t="array" aca="1" ref="H8:I10" ca="1">_xlfn.SORTBY(OFFSET($Y$35,0,0,COUNTA(_xlfn.ANCHORARRAY($Y$35)),2),OFFSET(Z35,0,0,COUNTA(_xlfn.ANCHORARRAY($Y$35))),-1)</f>
        <v>1|2-1</v>
      </c>
      <c r="I8" s="712">
        <f ca="1"/>
        <v>3</v>
      </c>
      <c r="J8" s="713" cm="1">
        <f t="array" aca="1" ref="J8:J10"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K10"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0</v>
      </c>
      <c r="N8" s="477">
        <f ca="1">IFERROR(COUNTIF(ADMIN!$S$130:INDEX(ADMIN!$S$130:$FD$161,32,ADMIN!$D$5*3-1),Stats!$L8)-SUM(O8:T8),0)</f>
        <v>0</v>
      </c>
      <c r="O8" s="477">
        <f ca="1">COUNTIF(ADMIN!$S$182:INDEX(ADMIN!$S$182:$FD$197,16,ADMIN!$D$5*3-1),Stats!$L8)-SUM(P8:T8)</f>
        <v>4</v>
      </c>
      <c r="P8" s="477">
        <f ca="1">COUNTIF(ADMIN!$S$210:INDEX(ADMIN!$S$210:$FD$217,8,ADMIN!$D$5*3-1),Stats!$L8)-SUM(Q8:T8)</f>
        <v>0</v>
      </c>
      <c r="Q8" s="477">
        <f ca="1">COUNTIF(ADMIN!$S$226:INDEX(ADMIN!$S$226:$FD$229,4,ADMIN!$D$5*3-1),Stats!$L8)-SUM(R8:T8)</f>
        <v>0</v>
      </c>
      <c r="R8" s="477">
        <f ca="1">IFERROR(COUNTIF(ADMIN!$S$252:INDEX(ADMIN!$S$252:$FD$252,1,ADMIN!$D$5*3-1),Stats!$L8),0)</f>
        <v>1</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x14ac:dyDescent="0.2">
      <c r="A9" s="25"/>
      <c r="B9" s="25"/>
      <c r="C9" s="17"/>
      <c r="D9" s="465" t="str">
        <f>Idiomas!D485&amp;TEXT($E$5,"dd/mm/aa")&amp;" (Individual)"</f>
        <v>Máximo de puntos hasta 11/06/26 (Individual)</v>
      </c>
      <c r="E9" s="463">
        <f ca="1">IFERROR(SUMIF($A$22:$A$45,"&lt;"&amp;$F$5,$B$22:$B$45),"")</f>
        <v>0</v>
      </c>
      <c r="F9" s="464">
        <f ca="1">IFERROR(E9/$B$46,0)</f>
        <v>0</v>
      </c>
      <c r="G9" s="17"/>
      <c r="H9" s="465" t="str">
        <f ca="1"/>
        <v>1|1-0</v>
      </c>
      <c r="I9" s="712">
        <f ca="1"/>
        <v>1</v>
      </c>
      <c r="J9" s="713">
        <f ca="1"/>
        <v>0</v>
      </c>
      <c r="K9" s="412">
        <f ca="1"/>
        <v>0</v>
      </c>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x14ac:dyDescent="0.2">
      <c r="A10" s="25"/>
      <c r="B10" s="25"/>
      <c r="C10" s="17"/>
      <c r="D10" s="462" t="str">
        <f>Idiomas!D486&amp;TEXT($E$5,"dd/mm/aa")&amp;" (Individual)"</f>
        <v>Máximo de puntos incluido 11/06/26 (Individual)</v>
      </c>
      <c r="E10" s="463">
        <f ca="1">IFERROR(SUMIF($A$22:$A$45,"&lt;="&amp;$F$5,$B$22:$B$45),"")</f>
        <v>6</v>
      </c>
      <c r="F10" s="464">
        <f ca="1">IFERROR(E10/$B$46,0)</f>
        <v>4.6367851622874804E-3</v>
      </c>
      <c r="G10" s="17"/>
      <c r="H10" s="462" t="str">
        <f ca="1"/>
        <v>1|2-0</v>
      </c>
      <c r="I10" s="712">
        <f ca="1"/>
        <v>1</v>
      </c>
      <c r="J10" s="713">
        <f ca="1"/>
        <v>1</v>
      </c>
      <c r="K10" s="412">
        <f ca="1"/>
        <v>0</v>
      </c>
      <c r="L10" s="139" t="str">
        <f ca="1">Horarios!Q5</f>
        <v>Argelia</v>
      </c>
      <c r="M10" s="477">
        <f ca="1">ADMIN!$D$5-SUM(N10:T10)</f>
        <v>0</v>
      </c>
      <c r="N10" s="477">
        <f ca="1">IFERROR(COUNTIF(ADMIN!$S$130:INDEX(ADMIN!$S$130:$FD$161,32,ADMIN!$D$5*3-1),Stats!$L10)-SUM(O10:T10),0)</f>
        <v>5</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x14ac:dyDescent="0.2">
      <c r="A11" s="25"/>
      <c r="B11" s="25"/>
      <c r="C11" s="17"/>
      <c r="D11" s="465" t="str">
        <f>Idiomas!D487&amp;" (Individual)"</f>
        <v>Quedan por repartir:  (Individual)</v>
      </c>
      <c r="E11" s="463">
        <f ca="1">IFERROR(SUMIF($A$22:$A$45,"&gt;"&amp;$F$5,$B$22:$B$45),0)</f>
        <v>1288</v>
      </c>
      <c r="F11" s="464">
        <f ca="1">IFERROR(1-F10,0)</f>
        <v>0.99536321483771251</v>
      </c>
      <c r="G11" s="17"/>
      <c r="H11" s="465"/>
      <c r="I11" s="712"/>
      <c r="J11" s="713"/>
      <c r="K11" s="412"/>
      <c r="L11" s="138" t="str">
        <f ca="1">Horarios!Q6</f>
        <v>Argentina</v>
      </c>
      <c r="M11" s="479">
        <f ca="1">ADMIN!$D$5-SUM(N11:T11)</f>
        <v>0</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3</v>
      </c>
      <c r="R11" s="479">
        <f ca="1">IFERROR(COUNTIF(ADMIN!$S$252:INDEX(ADMIN!$S$252:$FD$252,1,ADMIN!$D$5*3-1),Stats!$L11),0)</f>
        <v>0</v>
      </c>
      <c r="S11" s="479">
        <f ca="1">IFERROR(COUNTIF(ADMIN!$S$251:INDEX(ADMIN!$S$251:$FD$251,1,ADMIN!$D$5*3-1),Stats!$L11),0)</f>
        <v>2</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x14ac:dyDescent="0.2">
      <c r="A12" s="25"/>
      <c r="B12" s="25"/>
      <c r="C12" s="17"/>
      <c r="D12" s="462" t="str">
        <f>Idiomas!D488</f>
        <v>Puntos máximos totales a repartir hoy (Global):</v>
      </c>
      <c r="E12" s="463">
        <f ca="1">IFERROR($E$8*ADMIN!$D$5,0)</f>
        <v>30</v>
      </c>
      <c r="F12" s="464">
        <f ca="1">IFERROR(E12/B47,0)</f>
        <v>4.6367851622874804E-3</v>
      </c>
      <c r="G12" s="17"/>
      <c r="H12" s="462"/>
      <c r="I12" s="712"/>
      <c r="J12" s="713"/>
      <c r="K12" s="412"/>
      <c r="L12" s="139" t="str">
        <f ca="1">Horarios!Q7</f>
        <v>Australia</v>
      </c>
      <c r="M12" s="477">
        <f ca="1">ADMIN!$D$5-SUM(N12:T12)</f>
        <v>0</v>
      </c>
      <c r="N12" s="477">
        <f ca="1">IFERROR(COUNTIF(ADMIN!$S$130:INDEX(ADMIN!$S$130:$FD$161,32,ADMIN!$D$5*3-1),Stats!$L12)-SUM(O12:T12),0)</f>
        <v>5</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x14ac:dyDescent="0.2">
      <c r="A13" s="25"/>
      <c r="B13" s="25"/>
      <c r="C13" s="17"/>
      <c r="D13" s="465" t="str">
        <f>Idiomas!D489</f>
        <v>Puntos repartidos hoy (Global)</v>
      </c>
      <c r="E13" s="463">
        <f ca="1">IFERROR(SUM(DailyClas!$G$4:INDEX(DailyClas!$G$4:$G$63,ADMIN!$D$5)),0)</f>
        <v>14</v>
      </c>
      <c r="F13" s="464">
        <f ca="1">IFERROR(E13/E12,0)</f>
        <v>0.46666666666666667</v>
      </c>
      <c r="G13" s="17"/>
      <c r="H13" s="465"/>
      <c r="I13" s="712"/>
      <c r="J13" s="713"/>
      <c r="K13" s="412"/>
      <c r="L13" s="138" t="str">
        <f ca="1">Horarios!Q8</f>
        <v>Austria</v>
      </c>
      <c r="M13" s="479">
        <f ca="1">ADMIN!$D$5-SUM(N13:T13)</f>
        <v>0</v>
      </c>
      <c r="N13" s="479">
        <f ca="1">IFERROR(COUNTIF(ADMIN!$S$130:INDEX(ADMIN!$S$130:$FD$161,32,ADMIN!$D$5*3-1),Stats!$L13)-SUM(O13:T13),0)</f>
        <v>5</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x14ac:dyDescent="0.2">
      <c r="A14" s="25"/>
      <c r="B14" s="25"/>
      <c r="C14" s="17"/>
      <c r="D14" s="462" t="str">
        <f>Idiomas!D490&amp;TEXT($E$5,"dd/mm/aa")&amp;"?"</f>
        <v>¿Cúantos han acertado el máximo de puntos 11/06/26?</v>
      </c>
      <c r="E14" s="463">
        <f ca="1">IFERROR(IF(SUM(ADMIN!$D$8:$D$47)=0,0,COUNTIF(DailyClas!$G$4:INDEX(DailyClas!$G:$G,ADMIN!$D$5+3),Stats!E8)),0)</f>
        <v>1</v>
      </c>
      <c r="F14" s="464">
        <f ca="1">IFERROR(E14/ADMIN!$D$5,0)</f>
        <v>0.2</v>
      </c>
      <c r="G14" s="17"/>
      <c r="H14" s="462"/>
      <c r="I14" s="712"/>
      <c r="J14" s="713"/>
      <c r="K14" s="412"/>
      <c r="L14" s="139" t="str">
        <f ca="1">Horarios!Q9</f>
        <v>Bélgica</v>
      </c>
      <c r="M14" s="477">
        <f ca="1">ADMIN!$D$5-SUM(N14:T14)</f>
        <v>0</v>
      </c>
      <c r="N14" s="477">
        <f ca="1">IFERROR(COUNTIF(ADMIN!$S$130:INDEX(ADMIN!$S$130:$FD$161,32,ADMIN!$D$5*3-1),Stats!$L14)-SUM(O14:T14),0)</f>
        <v>1</v>
      </c>
      <c r="O14" s="477">
        <f ca="1">COUNTIF(ADMIN!$S$182:INDEX(ADMIN!$S$182:$FD$197,16,ADMIN!$D$5*3-1),Stats!$L14)-SUM(P14:T14)</f>
        <v>2</v>
      </c>
      <c r="P14" s="477">
        <f ca="1">COUNTIF(ADMIN!$S$210:INDEX(ADMIN!$S$210:$FD$217,8,ADMIN!$D$5*3-1),Stats!$L14)-SUM(Q14:T14)</f>
        <v>2</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x14ac:dyDescent="0.2">
      <c r="A15" s="25"/>
      <c r="B15" s="25"/>
      <c r="C15" s="17"/>
      <c r="D15" s="465" t="str">
        <f>Idiomas!D491&amp;TEXT($E$5,"dd/mm/aa")&amp;"?"</f>
        <v>¿Cúantos se han llevado algún punto 11/06/26?</v>
      </c>
      <c r="E15" s="463">
        <f ca="1">IFERROR(COUNTIF(DailyClas!$G$4:INDEX(DailyClas!$G$4:$G$63,ADMIN!$D$5),"&gt;0"),0)</f>
        <v>5</v>
      </c>
      <c r="F15" s="464">
        <f ca="1">IFERROR(E15/ADMIN!$D$5,0)</f>
        <v>1</v>
      </c>
      <c r="G15" s="17"/>
      <c r="H15" s="465"/>
      <c r="I15" s="712"/>
      <c r="J15" s="713"/>
      <c r="K15" s="412"/>
      <c r="L15" s="138" t="str">
        <f ca="1">Horarios!Q10</f>
        <v>Bosnia y Herzegovina</v>
      </c>
      <c r="M15" s="479">
        <f ca="1">ADMIN!$D$5-SUM(N15:T15)</f>
        <v>0</v>
      </c>
      <c r="N15" s="479">
        <f ca="1">IFERROR(COUNTIF(ADMIN!$S$130:INDEX(ADMIN!$S$130:$FD$161,32,ADMIN!$D$5*3-1),Stats!$L15)-SUM(O15:T15),0)</f>
        <v>5</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x14ac:dyDescent="0.2">
      <c r="A16" s="25"/>
      <c r="B16" s="25"/>
      <c r="C16" s="17"/>
      <c r="D16" s="462" t="str">
        <f>Idiomas!D492&amp;TEXT($E$5,"dd/mm/aa")&amp;"?"</f>
        <v>¿Cúantos no han acertado nada 11/06/26?</v>
      </c>
      <c r="E16" s="463">
        <f ca="1">IFERROR(IF(SUM(ADMIN!$D$8:$D$47)=0,0,COUNTIF(DailyClas!$G$4:INDEX(DailyClas!$G$4:$G$63,ADMIN!$D$5),0)),0)</f>
        <v>0</v>
      </c>
      <c r="F16" s="464">
        <f ca="1">IFERROR(E16/ADMIN!$D$5,0)</f>
        <v>0</v>
      </c>
      <c r="G16" s="17"/>
      <c r="H16" s="462"/>
      <c r="I16" s="712"/>
      <c r="J16" s="713"/>
      <c r="K16" s="412"/>
      <c r="L16" s="139" t="str">
        <f ca="1">Horarios!Q11</f>
        <v>Brasil</v>
      </c>
      <c r="M16" s="477">
        <f ca="1">ADMIN!$D$5-SUM(N16:T16)</f>
        <v>0</v>
      </c>
      <c r="N16" s="477">
        <f ca="1">IFERROR(COUNTIF(ADMIN!$S$130:INDEX(ADMIN!$S$130:$FD$161,32,ADMIN!$D$5*3-1),Stats!$L16)-SUM(O16:T16),0)</f>
        <v>1</v>
      </c>
      <c r="O16" s="477">
        <f ca="1">COUNTIF(ADMIN!$S$182:INDEX(ADMIN!$S$182:$FD$197,16,ADMIN!$D$5*3-1),Stats!$L16)-SUM(P16:T16)</f>
        <v>0</v>
      </c>
      <c r="P16" s="477">
        <f ca="1">COUNTIF(ADMIN!$S$210:INDEX(ADMIN!$S$210:$FD$217,8,ADMIN!$D$5*3-1),Stats!$L16)-SUM(Q16:T16)</f>
        <v>3</v>
      </c>
      <c r="Q16" s="477">
        <f ca="1">COUNTIF(ADMIN!$S$226:INDEX(ADMIN!$S$226:$FD$229,4,ADMIN!$D$5*3-1),Stats!$L16)-SUM(R16:T16)</f>
        <v>1</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x14ac:dyDescent="0.2">
      <c r="A17" s="25"/>
      <c r="B17" s="25"/>
      <c r="C17" s="17"/>
      <c r="D17" s="466" t="str">
        <f>Idiomas!D493&amp;TEXT($E$5,"dd/mm/aa")&amp;"?"</f>
        <v>Media de puntos sumados 11/06/26?</v>
      </c>
      <c r="E17" s="467">
        <f ca="1">IFERROR(AVERAGE(DailyClas!$G$4:INDEX(DailyClas!$G$4:$G$63,ADMIN!$D$5)),0)</f>
        <v>2.8</v>
      </c>
      <c r="F17" s="468"/>
      <c r="G17" s="17"/>
      <c r="H17" s="465"/>
      <c r="I17" s="712"/>
      <c r="J17" s="714"/>
      <c r="K17" s="412"/>
      <c r="L17" s="138" t="str">
        <f ca="1">Horarios!Q12</f>
        <v>Cabo Verde</v>
      </c>
      <c r="M17" s="479">
        <f ca="1">ADMIN!$D$5-SUM(N17:T17)</f>
        <v>0</v>
      </c>
      <c r="N17" s="479">
        <f ca="1">IFERROR(COUNTIF(ADMIN!$S$130:INDEX(ADMIN!$S$130:$FD$161,32,ADMIN!$D$5*3-1),Stats!$L17)-SUM(O17:T17),0)</f>
        <v>5</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x14ac:dyDescent="0.2">
      <c r="A18" s="25"/>
      <c r="B18" s="25"/>
      <c r="C18" s="17"/>
      <c r="D18" s="17"/>
      <c r="E18" s="17"/>
      <c r="F18" s="17"/>
      <c r="G18" s="17"/>
      <c r="H18" s="786"/>
      <c r="I18" s="787"/>
      <c r="J18" s="412"/>
      <c r="K18" s="412"/>
      <c r="L18" s="139" t="str">
        <f ca="1">Horarios!Q13</f>
        <v>Canadá</v>
      </c>
      <c r="M18" s="477">
        <f ca="1">ADMIN!$D$5-SUM(N18:T18)</f>
        <v>0</v>
      </c>
      <c r="N18" s="477">
        <f ca="1">IFERROR(COUNTIF(ADMIN!$S$130:INDEX(ADMIN!$S$130:$FD$161,32,ADMIN!$D$5*3-1),Stats!$L18)-SUM(O18:T18),0)</f>
        <v>0</v>
      </c>
      <c r="O18" s="477">
        <f ca="1">COUNTIF(ADMIN!$S$182:INDEX(ADMIN!$S$182:$FD$197,16,ADMIN!$D$5*3-1),Stats!$L18)-SUM(P18:T18)</f>
        <v>5</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x14ac:dyDescent="0.2">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x14ac:dyDescent="0.2">
      <c r="A20" s="25"/>
      <c r="B20" s="25"/>
      <c r="C20" s="17"/>
      <c r="D20" s="17"/>
      <c r="E20" s="17"/>
      <c r="F20" s="17"/>
      <c r="G20" s="17"/>
      <c r="H20" s="786"/>
      <c r="I20" s="787"/>
      <c r="J20" s="483"/>
      <c r="K20" s="483"/>
      <c r="L20" s="139" t="str">
        <f ca="1">Horarios!Q15</f>
        <v>Colombia</v>
      </c>
      <c r="M20" s="477">
        <f ca="1">ADMIN!$D$5-SUM(N20:T20)</f>
        <v>0</v>
      </c>
      <c r="N20" s="477">
        <f ca="1">IFERROR(COUNTIF(ADMIN!$S$130:INDEX(ADMIN!$S$130:$FD$161,32,ADMIN!$D$5*3-1),Stats!$L20)-SUM(O20:T20),0)</f>
        <v>0</v>
      </c>
      <c r="O20" s="477">
        <f ca="1">COUNTIF(ADMIN!$S$182:INDEX(ADMIN!$S$182:$FD$197,16,ADMIN!$D$5*3-1),Stats!$L20)-SUM(P20:T20)</f>
        <v>2</v>
      </c>
      <c r="P20" s="477">
        <f ca="1">COUNTIF(ADMIN!$S$210:INDEX(ADMIN!$S$210:$FD$217,8,ADMIN!$D$5*3-1),Stats!$L20)-SUM(Q20:T20)</f>
        <v>3</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x14ac:dyDescent="0.2">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x14ac:dyDescent="0.2">
      <c r="A22" s="25">
        <v>1</v>
      </c>
      <c r="B22" s="25">
        <f ca="1">IFERROR(SUMIF(ADMIN!$G$6:$G$258,A22,ADMIN!$F$6:$F$258),"")</f>
        <v>6</v>
      </c>
      <c r="C22" s="17"/>
      <c r="D22" s="17"/>
      <c r="E22" s="17"/>
      <c r="F22" s="17"/>
      <c r="G22" s="17"/>
      <c r="H22" s="786"/>
      <c r="I22" s="787"/>
      <c r="J22" s="483"/>
      <c r="K22" s="483"/>
      <c r="L22" s="139" t="str">
        <f ca="1">Horarios!Q17</f>
        <v>Costa de Marfil</v>
      </c>
      <c r="M22" s="477">
        <f ca="1">ADMIN!$D$5-SUM(N22:T22)</f>
        <v>0</v>
      </c>
      <c r="N22" s="477">
        <f ca="1">IFERROR(COUNTIF(ADMIN!$S$130:INDEX(ADMIN!$S$130:$FD$161,32,ADMIN!$D$5*3-1),Stats!$L22)-SUM(O22:T22),0)</f>
        <v>5</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x14ac:dyDescent="0.2">
      <c r="A23" s="25">
        <v>2</v>
      </c>
      <c r="B23" s="25">
        <f ca="1">IFERROR(SUMIF(ADMIN!$G$6:$G$258,A23,ADMIN!$F$6:$F$258),"")</f>
        <v>12</v>
      </c>
      <c r="C23" s="17"/>
      <c r="D23" s="17"/>
      <c r="E23" s="17"/>
      <c r="F23" s="17"/>
      <c r="G23" s="17"/>
      <c r="H23" s="786"/>
      <c r="I23" s="787"/>
      <c r="J23" s="483"/>
      <c r="K23" s="483"/>
      <c r="L23" s="138" t="str">
        <f ca="1">Horarios!Q18</f>
        <v>Croacia</v>
      </c>
      <c r="M23" s="479">
        <f ca="1">ADMIN!$D$5-SUM(N23:T23)</f>
        <v>0</v>
      </c>
      <c r="N23" s="479">
        <f ca="1">IFERROR(COUNTIF(ADMIN!$S$130:INDEX(ADMIN!$S$130:$FD$161,32,ADMIN!$D$5*3-1),Stats!$L23)-SUM(O23:T23),0)</f>
        <v>4</v>
      </c>
      <c r="O23" s="479">
        <f ca="1">COUNTIF(ADMIN!$S$182:INDEX(ADMIN!$S$182:$FD$197,16,ADMIN!$D$5*3-1),Stats!$L23)-SUM(P23:T23)</f>
        <v>1</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x14ac:dyDescent="0.2">
      <c r="A24" s="25">
        <v>3</v>
      </c>
      <c r="B24" s="25">
        <f ca="1">IFERROR(SUMIF(ADMIN!$G$6:$G$258,A24,ADMIN!$F$6:$F$258),"")</f>
        <v>12</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x14ac:dyDescent="0.2">
      <c r="A25" s="25">
        <v>4</v>
      </c>
      <c r="B25" s="25">
        <f ca="1">IFERROR(SUMIF(ADMIN!$G$6:$G$258,A25,ADMIN!$F$6:$F$258),"")</f>
        <v>30</v>
      </c>
      <c r="C25" s="17"/>
      <c r="D25" s="17"/>
      <c r="E25" s="17"/>
      <c r="F25" s="17"/>
      <c r="G25" s="17"/>
      <c r="H25" s="786"/>
      <c r="I25" s="787"/>
      <c r="J25" s="483"/>
      <c r="K25" s="483"/>
      <c r="L25" s="138" t="str">
        <f ca="1">Horarios!Q20</f>
        <v>Ecuador</v>
      </c>
      <c r="M25" s="479">
        <f ca="1">ADMIN!$D$5-SUM(N25:T25)</f>
        <v>0</v>
      </c>
      <c r="N25" s="479">
        <f ca="1">IFERROR(COUNTIF(ADMIN!$S$130:INDEX(ADMIN!$S$130:$FD$161,32,ADMIN!$D$5*3-1),Stats!$L25)-SUM(O25:T25),0)</f>
        <v>3</v>
      </c>
      <c r="O25" s="479">
        <f ca="1">COUNTIF(ADMIN!$S$182:INDEX(ADMIN!$S$182:$FD$197,16,ADMIN!$D$5*3-1),Stats!$L25)-SUM(P25:T25)</f>
        <v>2</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x14ac:dyDescent="0.2">
      <c r="A26" s="25">
        <v>5</v>
      </c>
      <c r="B26" s="25">
        <f ca="1">IFERROR(SUMIF(ADMIN!$G$6:$G$258,A26,ADMIN!$F$6:$F$258),"")</f>
        <v>24</v>
      </c>
      <c r="C26" s="17"/>
      <c r="D26" s="17"/>
      <c r="E26" s="17"/>
      <c r="F26" s="17"/>
      <c r="G26" s="17"/>
      <c r="H26" s="786"/>
      <c r="I26" s="787"/>
      <c r="J26" s="483"/>
      <c r="K26" s="483"/>
      <c r="L26" s="139" t="str">
        <f ca="1">Horarios!Q21</f>
        <v>Egipto</v>
      </c>
      <c r="M26" s="477">
        <f ca="1">ADMIN!$D$5-SUM(N26:T26)</f>
        <v>0</v>
      </c>
      <c r="N26" s="477">
        <f ca="1">IFERROR(COUNTIF(ADMIN!$S$130:INDEX(ADMIN!$S$130:$FD$161,32,ADMIN!$D$5*3-1),Stats!$L26)-SUM(O26:T26),0)</f>
        <v>0</v>
      </c>
      <c r="O26" s="477">
        <f ca="1">COUNTIF(ADMIN!$S$182:INDEX(ADMIN!$S$182:$FD$197,16,ADMIN!$D$5*3-1),Stats!$L26)-SUM(P26:T26)</f>
        <v>5</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x14ac:dyDescent="0.2">
      <c r="A27" s="25">
        <v>6</v>
      </c>
      <c r="B27" s="25">
        <f ca="1">IFERROR(SUMIF(ADMIN!$G$6:$G$258,A27,ADMIN!$F$6:$F$258),"")</f>
        <v>18</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x14ac:dyDescent="0.2">
      <c r="A28" s="25">
        <v>7</v>
      </c>
      <c r="B28" s="25">
        <f ca="1">IFERROR(SUMIF(ADMIN!$G$6:$G$258,A28,ADMIN!$F$6:$F$258),"")</f>
        <v>30</v>
      </c>
      <c r="C28" s="17"/>
      <c r="D28" s="17"/>
      <c r="E28" s="17"/>
      <c r="F28" s="17"/>
      <c r="G28" s="17"/>
      <c r="H28" s="786"/>
      <c r="I28" s="787"/>
      <c r="J28" s="483"/>
      <c r="K28" s="483"/>
      <c r="L28" s="139" t="str">
        <f ca="1">Horarios!Q23</f>
        <v>España</v>
      </c>
      <c r="M28" s="477">
        <f ca="1">ADMIN!$D$5-SUM(N28:T28)</f>
        <v>0</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4</v>
      </c>
      <c r="S28" s="477">
        <f ca="1">IFERROR(COUNTIF(ADMIN!$S$251:INDEX(ADMIN!$S$251:$FD$251,1,ADMIN!$D$5*3-1),Stats!$L28),0)</f>
        <v>0</v>
      </c>
      <c r="T28" s="478">
        <f ca="1">IFERROR(COUNTIF(ADMIN!$S$250:INDEX(ADMIN!$S$250:$FD$250,1,ADMIN!$D$5*3-1),Stats!$L28),0)</f>
        <v>1</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x14ac:dyDescent="0.2">
      <c r="A29" s="25">
        <v>8</v>
      </c>
      <c r="B29" s="25">
        <f ca="1">IFERROR(SUMIF(ADMIN!$G$6:$G$258,A29,ADMIN!$F$6:$F$258),"")</f>
        <v>24</v>
      </c>
      <c r="C29" s="17"/>
      <c r="D29" s="17"/>
      <c r="E29" s="17"/>
      <c r="F29" s="17"/>
      <c r="G29" s="17"/>
      <c r="H29" s="786"/>
      <c r="I29" s="787"/>
      <c r="J29" s="483"/>
      <c r="K29" s="483"/>
      <c r="L29" s="138" t="str">
        <f ca="1">Horarios!Q24</f>
        <v>Estados Unidos</v>
      </c>
      <c r="M29" s="479">
        <f ca="1">ADMIN!$D$5-SUM(N29:T29)</f>
        <v>0</v>
      </c>
      <c r="N29" s="479">
        <f ca="1">IFERROR(COUNTIF(ADMIN!$S$130:INDEX(ADMIN!$S$130:$FD$161,32,ADMIN!$D$5*3-1),Stats!$L29)-SUM(O29:T29),0)</f>
        <v>0</v>
      </c>
      <c r="O29" s="479">
        <f ca="1">COUNTIF(ADMIN!$S$182:INDEX(ADMIN!$S$182:$FD$197,16,ADMIN!$D$5*3-1),Stats!$L29)-SUM(P29:T29)</f>
        <v>2</v>
      </c>
      <c r="P29" s="479">
        <f ca="1">COUNTIF(ADMIN!$S$210:INDEX(ADMIN!$S$210:$FD$217,8,ADMIN!$D$5*3-1),Stats!$L29)-SUM(Q29:T29)</f>
        <v>3</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x14ac:dyDescent="0.2">
      <c r="A30" s="25">
        <v>9</v>
      </c>
      <c r="B30" s="25">
        <f ca="1">IFERROR(SUMIF(ADMIN!$G$6:$G$258,A30,ADMIN!$F$6:$F$258),"")</f>
        <v>18</v>
      </c>
      <c r="C30" s="17"/>
      <c r="D30" s="17"/>
      <c r="E30" s="17"/>
      <c r="F30" s="17"/>
      <c r="G30" s="17"/>
      <c r="H30" s="786"/>
      <c r="I30" s="787"/>
      <c r="J30" s="483"/>
      <c r="K30" s="483"/>
      <c r="L30" s="139" t="str">
        <f ca="1">Horarios!Q25</f>
        <v>Francia</v>
      </c>
      <c r="M30" s="477">
        <f ca="1">ADMIN!$D$5-SUM(N30:T30)</f>
        <v>0</v>
      </c>
      <c r="N30" s="477">
        <f ca="1">IFERROR(COUNTIF(ADMIN!$S$130:INDEX(ADMIN!$S$130:$FD$161,32,ADMIN!$D$5*3-1),Stats!$L30)-SUM(O30:T30),0)</f>
        <v>0</v>
      </c>
      <c r="O30" s="477">
        <f ca="1">COUNTIF(ADMIN!$S$182:INDEX(ADMIN!$S$182:$FD$197,16,ADMIN!$D$5*3-1),Stats!$L30)-SUM(P30:T30)</f>
        <v>1</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4</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x14ac:dyDescent="0.2">
      <c r="A31" s="25">
        <v>10</v>
      </c>
      <c r="B31" s="25">
        <f ca="1">IFERROR(SUMIF(ADMIN!$G$6:$G$258,A31,ADMIN!$F$6:$F$258),"")</f>
        <v>30</v>
      </c>
      <c r="C31" s="17"/>
      <c r="D31" s="17"/>
      <c r="E31" s="17"/>
      <c r="F31" s="17"/>
      <c r="G31" s="17"/>
      <c r="H31" s="788"/>
      <c r="I31" s="789"/>
      <c r="J31" s="483"/>
      <c r="K31" s="483"/>
      <c r="L31" s="138" t="str">
        <f ca="1">Horarios!Q26</f>
        <v>Ghana</v>
      </c>
      <c r="M31" s="479">
        <f ca="1">ADMIN!$D$5-SUM(N31:T31)</f>
        <v>0</v>
      </c>
      <c r="N31" s="479">
        <f ca="1">IFERROR(COUNTIF(ADMIN!$S$130:INDEX(ADMIN!$S$130:$FD$161,32,ADMIN!$D$5*3-1),Stats!$L31)-SUM(O31:T31),0)</f>
        <v>5</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x14ac:dyDescent="0.2">
      <c r="A32" s="25">
        <v>11</v>
      </c>
      <c r="B32" s="25">
        <f ca="1">IFERROR(SUMIF(ADMIN!$G$6:$G$258,A32,ADMIN!$F$6:$F$258),"")</f>
        <v>24</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x14ac:dyDescent="0.2">
      <c r="A33" s="25">
        <v>12</v>
      </c>
      <c r="B33" s="25">
        <f ca="1">IFERROR(SUMIF(ADMIN!$G$6:$G$258,A33,ADMIN!$F$6:$F$258),"")</f>
        <v>24</v>
      </c>
      <c r="C33" s="17"/>
      <c r="D33" s="17"/>
      <c r="E33" s="17"/>
      <c r="F33" s="17"/>
      <c r="G33" s="17"/>
      <c r="H33" s="17"/>
      <c r="I33" s="17"/>
      <c r="J33" s="483"/>
      <c r="K33" s="483"/>
      <c r="L33" s="138" t="str">
        <f ca="1">Horarios!Q28</f>
        <v>Inglaterra</v>
      </c>
      <c r="M33" s="479">
        <f ca="1">ADMIN!$D$5-SUM(N33:T33)</f>
        <v>0</v>
      </c>
      <c r="N33" s="479">
        <f ca="1">IFERROR(COUNTIF(ADMIN!$S$130:INDEX(ADMIN!$S$130:$FD$161,32,ADMIN!$D$5*3-1),Stats!$L33)-SUM(O33:T33),0)</f>
        <v>0</v>
      </c>
      <c r="O33" s="479">
        <f ca="1">COUNTIF(ADMIN!$S$182:INDEX(ADMIN!$S$182:$FD$197,16,ADMIN!$D$5*3-1),Stats!$L33)-SUM(P33:T33)</f>
        <v>0</v>
      </c>
      <c r="P33" s="479">
        <f ca="1">COUNTIF(ADMIN!$S$210:INDEX(ADMIN!$S$210:$FD$217,8,ADMIN!$D$5*3-1),Stats!$L33)-SUM(Q33:T33)</f>
        <v>1</v>
      </c>
      <c r="Q33" s="479">
        <f ca="1">COUNTIF(ADMIN!$S$226:INDEX(ADMIN!$S$226:$FD$229,4,ADMIN!$D$5*3-1),Stats!$L33)-SUM(R33:T33)</f>
        <v>1</v>
      </c>
      <c r="R33" s="479">
        <f ca="1">IFERROR(COUNTIF(ADMIN!$S$252:INDEX(ADMIN!$S$252:$FD$252,1,ADMIN!$D$5*3-1),Stats!$L33),0)</f>
        <v>0</v>
      </c>
      <c r="S33" s="479">
        <f ca="1">IFERROR(COUNTIF(ADMIN!$S$251:INDEX(ADMIN!$S$251:$FD$251,1,ADMIN!$D$5*3-1),Stats!$L33),0)</f>
        <v>3</v>
      </c>
      <c r="T33" s="480">
        <f ca="1">IFERROR(COUNTIF(ADMIN!$S$250:INDEX(ADMIN!$S$250:$FD$250,1,ADMIN!$D$5*3-1),Stats!$L33),0)</f>
        <v>0</v>
      </c>
      <c r="U33" s="25"/>
      <c r="V33" s="11">
        <f t="shared" ca="1" si="0"/>
        <v>5</v>
      </c>
      <c r="W33" s="11"/>
      <c r="X33" s="11"/>
      <c r="Y33" s="11"/>
      <c r="Z33" s="11" t="e" cm="1" vm="2">
        <f t="array" aca="1" ref="Z33" ca="1">IFERROR(IF(_xlfn.ANCHORARRAY(Z35)&lt;&gt;"",COUNTIF(INDEX(OFFSET(DailyPrediction!$F$4,0,0,ADMIN!$D$3,COUNTA(DailyPrediction!$A$4:$A$23)),,MATCH(Stats!$I$5,OFFSET(DailyPrediction!$F$2,0,0,1,COUNTA(DailyPrediction!$A$4:$A$23)),0)),_xlfn.ANCHORARRAY(Z35)),""),"")</f>
        <v>#VALUE!</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x14ac:dyDescent="0.2">
      <c r="A34" s="25">
        <v>13</v>
      </c>
      <c r="B34" s="25">
        <f ca="1">IFERROR(SUMIF(ADMIN!$G$6:$G$258,A34,ADMIN!$F$6:$F$258),"")</f>
        <v>24</v>
      </c>
      <c r="C34" s="17"/>
      <c r="D34" s="25">
        <f ca="1">IFERROR(IF(OR(AND($F$5&lt;19,LEFT($H$8,1)="1"),AND($F$5&lt;19,LEFT($H$8,1)="2"),AND($F$5&lt;19,LEFT($H$8,1)="X")),1,0),0)</f>
        <v>1</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x14ac:dyDescent="0.2">
      <c r="A35" s="25">
        <v>14</v>
      </c>
      <c r="B35" s="25">
        <f ca="1">IFERROR(SUMIF(ADMIN!$G$6:$G$258,A35,ADMIN!$F$6:$F$258),"")</f>
        <v>34</v>
      </c>
      <c r="C35" s="17"/>
      <c r="D35" s="25">
        <v>1</v>
      </c>
      <c r="E35" s="25">
        <f ca="1">SUMIFS(_xlfn.ANCHORARRAY($Z$35),_xlfn.ANCHORARRAY($AH$35),D35)</f>
        <v>5</v>
      </c>
      <c r="F35" s="25">
        <f ca="1">IFERROR(E35/SUM($E$35:E37),0)</f>
        <v>1</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W37" ca="1">IFERROR(IF(_xlfn.ANCHORARRAY(Y35)&lt;&gt;"",COUNTIF(INDEX(DailyPrediction!$G$4:$AQ$58,,MATCH(Stats!$I$5,DailyPrediction!$G$2:$AQ$2,0)),_xlfn.ANCHORARRAY(Y35)),""),"")</f>
        <v>1</v>
      </c>
      <c r="X35" s="11" t="str" cm="1">
        <f t="array" aca="1" ref="X35:X37" ca="1">IFERROR(_xlfn._xlws.SORT(_xlfn.UNIQUE(_xlfn._xlws.FILTER(INDEX(DailyPrediction!$G$4:$AQ$58,,MATCH(Stats!$I$5,DailyPrediction!$G$2:$AQ$2,0)),LEN(INDEX(DailyPrediction!$G$4:$AQ$58,,MATCH(Stats!$I$5,DailyPrediction!$G$2:$AQ$2,0)))&gt;1))),Idiomas!D501)</f>
        <v>1|1-0</v>
      </c>
      <c r="Y35" s="11" t="str" cm="1">
        <f t="array" aca="1" ref="Y35:Y37"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1|1-0</v>
      </c>
      <c r="Z35" s="11" cm="1">
        <f t="array" aca="1" ref="Z35:Z37" ca="1">IFERROR(IF(_xlfn.ANCHORARRAY(Y35)&lt;&gt;"",COUNTIF(INDEX(OFFSET(DailyPrediction!$G$4,0,0,ADMIN!$D$5,COUNTA(DailyPrediction!$A$4:$A$35)),,MATCH(Stats!$I$5,OFFSET(DailyPrediction!$G$2,0,0,1,COUNTA(DailyPrediction!$A$4:$A$35)),0)),_xlfn.ANCHORARRAY(Y35)),""),"")</f>
        <v>1</v>
      </c>
      <c r="AA35" s="11" cm="1">
        <f t="array" aca="1" ref="AA35:AA37"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AB37"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7" ca="1">_xlfn.SORTBY(OFFSET($Y$35,0,0,COUNTA(_xlfn.ANCHORARRAY($Y$35)),3),OFFSET(Z35,0,0,COUNTA(_xlfn.ANCHORARRAY($Y$35))),-1)</f>
        <v>1|2-1</v>
      </c>
      <c r="AD35" s="11">
        <f ca="1"/>
        <v>3</v>
      </c>
      <c r="AE35" s="11">
        <f ca="1"/>
        <v>1</v>
      </c>
      <c r="AF35" s="11"/>
      <c r="AG35" s="11" t="str" cm="1">
        <f t="array" aca="1" ref="AG35" ca="1">_xlfn.UNIQUE(_xlfn._xlws.FILTER(DailyPrediction!$A$4:$A$35,DailyPrediction!$A$4:$A$35&lt;&gt;""))</f>
        <v>México-Sudáfrica</v>
      </c>
      <c r="AH35" s="11" t="str" cm="1">
        <f t="array" aca="1" ref="AH35:AH37" ca="1">LEFT(OFFSET(_xlfn.ANCHORARRAY(Y35),0,0,COUNTA(_xlfn.ANCHORARRAY(Y35)),1))</f>
        <v>1</v>
      </c>
      <c r="AI35" s="11" t="str" cm="1">
        <f t="array" aca="1" ref="AI35:AI37"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1|1-0</v>
      </c>
      <c r="AJ35" s="11" t="str" cm="1">
        <f t="array" aca="1" ref="AJ35:AJ37" ca="1">IFERROR(_xlfn._xlws.SORT(_xlfn.UNIQUE(INDEX(OFFSET(DailyPrediction!$G$4,0,0,ADMIN!$D$5,COUNTA(_xlfn.ANCHORARRAY(DailyPrediction!$G$2))),,MATCH(Stats!$I$5,OFFSET(DailyPrediction!$G$2,0,0,1,COUNTA(_xlfn.ANCHORARRAY(DailyPrediction!$G$2))),0)),0)),Idiomas!D501)</f>
        <v>1|1-0</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x14ac:dyDescent="0.2">
      <c r="A36" s="25">
        <v>15</v>
      </c>
      <c r="B36" s="25">
        <f ca="1">IFERROR(SUMIF(ADMIN!$G$6:$G$258,A36,ADMIN!$F$6:$F$258),"")</f>
        <v>66</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0</v>
      </c>
      <c r="N36" s="477">
        <f ca="1">IFERROR(COUNTIF(ADMIN!$S$130:INDEX(ADMIN!$S$130:$FD$161,32,ADMIN!$D$5*3-1),Stats!$L36)-SUM(O36:T36),0)</f>
        <v>4</v>
      </c>
      <c r="O36" s="477">
        <f ca="1">COUNTIF(ADMIN!$S$182:INDEX(ADMIN!$S$182:$FD$197,16,ADMIN!$D$5*3-1),Stats!$L36)-SUM(P36:T36)</f>
        <v>0</v>
      </c>
      <c r="P36" s="477">
        <f ca="1">COUNTIF(ADMIN!$S$210:INDEX(ADMIN!$S$210:$FD$217,8,ADMIN!$D$5*3-1),Stats!$L36)-SUM(Q36:T36)</f>
        <v>1</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f ca="1"/>
        <v>1</v>
      </c>
      <c r="X36" s="11" t="str">
        <f ca="1"/>
        <v>1|2-0</v>
      </c>
      <c r="Y36" s="11" t="str">
        <f ca="1"/>
        <v>1|2-0</v>
      </c>
      <c r="Z36" s="11">
        <f ca="1"/>
        <v>1</v>
      </c>
      <c r="AA36" s="11">
        <f ca="1"/>
        <v>0</v>
      </c>
      <c r="AB36" s="11">
        <f ca="1"/>
        <v>0</v>
      </c>
      <c r="AC36" s="11" t="str">
        <f ca="1"/>
        <v>1|1-0</v>
      </c>
      <c r="AD36" s="11">
        <f ca="1"/>
        <v>1</v>
      </c>
      <c r="AE36" s="11">
        <f ca="1"/>
        <v>0</v>
      </c>
      <c r="AF36" s="11"/>
      <c r="AG36" s="11"/>
      <c r="AH36" s="11" t="str">
        <f ca="1"/>
        <v>1</v>
      </c>
      <c r="AI36" s="11" t="str">
        <f ca="1"/>
        <v>1|2-0</v>
      </c>
      <c r="AJ36" s="11" t="str">
        <f ca="1"/>
        <v>1|2-0</v>
      </c>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x14ac:dyDescent="0.2">
      <c r="A37" s="25">
        <v>16</v>
      </c>
      <c r="B37" s="25">
        <f ca="1">IFERROR(SUMIF(ADMIN!$G$6:$G$258,A37,ADMIN!$F$6:$F$258),"")</f>
        <v>66</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f ca="1"/>
        <v>3</v>
      </c>
      <c r="X37" s="11" t="str">
        <f ca="1"/>
        <v>1|2-1</v>
      </c>
      <c r="Y37" s="11" t="str">
        <f ca="1"/>
        <v>1|2-1</v>
      </c>
      <c r="Z37" s="11">
        <f ca="1"/>
        <v>3</v>
      </c>
      <c r="AA37" s="11">
        <f ca="1"/>
        <v>1</v>
      </c>
      <c r="AB37" s="11">
        <f ca="1"/>
        <v>0</v>
      </c>
      <c r="AC37" s="11" t="str">
        <f ca="1"/>
        <v>1|2-0</v>
      </c>
      <c r="AD37" s="11">
        <f ca="1"/>
        <v>1</v>
      </c>
      <c r="AE37" s="11">
        <f ca="1"/>
        <v>0</v>
      </c>
      <c r="AF37" s="11"/>
      <c r="AG37" s="11"/>
      <c r="AH37" s="11" t="str">
        <f ca="1"/>
        <v>1</v>
      </c>
      <c r="AI37" s="11" t="str">
        <f ca="1"/>
        <v>1|2-1</v>
      </c>
      <c r="AJ37" s="11" t="str">
        <f ca="1"/>
        <v>1|2-1</v>
      </c>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x14ac:dyDescent="0.2">
      <c r="A38" s="25">
        <v>17</v>
      </c>
      <c r="B38" s="25">
        <f ca="1">IFERROR(SUMIF(ADMIN!$G$6:$G$258,A38,ADMIN!$F$6:$F$258),"")</f>
        <v>66</v>
      </c>
      <c r="C38" s="17"/>
      <c r="D38" s="25"/>
      <c r="E38" s="25"/>
      <c r="F38" s="25"/>
      <c r="G38" s="17"/>
      <c r="H38" s="17"/>
      <c r="I38" s="17"/>
      <c r="J38" s="25"/>
      <c r="K38" s="25"/>
      <c r="L38" s="139" t="str">
        <f ca="1">Horarios!Q33</f>
        <v>Marruecos</v>
      </c>
      <c r="M38" s="477">
        <f ca="1">ADMIN!$D$5-SUM(N38:T38)</f>
        <v>0</v>
      </c>
      <c r="N38" s="477">
        <f ca="1">IFERROR(COUNTIF(ADMIN!$S$130:INDEX(ADMIN!$S$130:$FD$161,32,ADMIN!$D$5*3-1),Stats!$L38)-SUM(O38:T38),0)</f>
        <v>4</v>
      </c>
      <c r="O38" s="477">
        <f ca="1">COUNTIF(ADMIN!$S$182:INDEX(ADMIN!$S$182:$FD$197,16,ADMIN!$D$5*3-1),Stats!$L38)-SUM(P38:T38)</f>
        <v>0</v>
      </c>
      <c r="P38" s="477">
        <f ca="1">COUNTIF(ADMIN!$S$210:INDEX(ADMIN!$S$210:$FD$217,8,ADMIN!$D$5*3-1),Stats!$L38)-SUM(Q38:T38)</f>
        <v>1</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x14ac:dyDescent="0.2">
      <c r="A39" s="25">
        <v>18</v>
      </c>
      <c r="B39" s="25">
        <f ca="1">IFERROR(SUMIF(ADMIN!$G$6:$G$258,A39,ADMIN!$F$6:$F$258),"")</f>
        <v>44</v>
      </c>
      <c r="C39" s="17"/>
      <c r="D39" s="461"/>
      <c r="E39" s="461"/>
      <c r="F39" s="461"/>
      <c r="G39" s="17"/>
      <c r="H39" s="17"/>
      <c r="I39" s="17"/>
      <c r="J39" s="25"/>
      <c r="K39" s="25"/>
      <c r="L39" s="138" t="str">
        <f ca="1">Horarios!Q34</f>
        <v>México</v>
      </c>
      <c r="M39" s="479">
        <f ca="1">ADMIN!$D$5-SUM(N39:T39)</f>
        <v>0</v>
      </c>
      <c r="N39" s="479">
        <f ca="1">IFERROR(COUNTIF(ADMIN!$S$130:INDEX(ADMIN!$S$130:$FD$161,32,ADMIN!$D$5*3-1),Stats!$L39)-SUM(O39:T39),0)</f>
        <v>2</v>
      </c>
      <c r="O39" s="479">
        <f ca="1">COUNTIF(ADMIN!$S$182:INDEX(ADMIN!$S$182:$FD$197,16,ADMIN!$D$5*3-1),Stats!$L39)-SUM(P39:T39)</f>
        <v>3</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x14ac:dyDescent="0.2">
      <c r="A40" s="25">
        <v>19</v>
      </c>
      <c r="B40" s="25">
        <f ca="1">IFERROR(SUMIF(ADMIN!$G$6:$G$258,A40,ADMIN!$F$6:$F$258),"")</f>
        <v>64</v>
      </c>
      <c r="C40" s="17"/>
      <c r="D40" s="461"/>
      <c r="E40" s="461"/>
      <c r="F40" s="461"/>
      <c r="G40" s="17"/>
      <c r="H40" s="17"/>
      <c r="I40" s="17"/>
      <c r="J40" s="25"/>
      <c r="K40" s="25"/>
      <c r="L40" s="139" t="str">
        <f ca="1">Horarios!Q35</f>
        <v>Noruega</v>
      </c>
      <c r="M40" s="477">
        <f ca="1">ADMIN!$D$5-SUM(N40:T40)</f>
        <v>0</v>
      </c>
      <c r="N40" s="477">
        <f ca="1">IFERROR(COUNTIF(ADMIN!$S$130:INDEX(ADMIN!$S$130:$FD$161,32,ADMIN!$D$5*3-1),Stats!$L40)-SUM(O40:T40),0)</f>
        <v>0</v>
      </c>
      <c r="O40" s="477">
        <f ca="1">COUNTIF(ADMIN!$S$182:INDEX(ADMIN!$S$182:$FD$197,16,ADMIN!$D$5*3-1),Stats!$L40)-SUM(P40:T40)</f>
        <v>5</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x14ac:dyDescent="0.2">
      <c r="A41" s="25">
        <v>20</v>
      </c>
      <c r="B41" s="25">
        <f ca="1">IFERROR(SUMIF(ADMIN!$G$6:$G$258,A41,ADMIN!$F$6:$F$258),"")</f>
        <v>192</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x14ac:dyDescent="0.2">
      <c r="A42" s="25">
        <v>21</v>
      </c>
      <c r="B42" s="25">
        <f ca="1">IFERROR(SUMIF(ADMIN!$G$6:$G$258,A42,ADMIN!$F$6:$F$258),"")</f>
        <v>136</v>
      </c>
      <c r="C42" s="17"/>
      <c r="D42" s="17"/>
      <c r="E42" s="17"/>
      <c r="F42" s="461"/>
      <c r="G42" s="17"/>
      <c r="H42" s="17"/>
      <c r="I42" s="17"/>
      <c r="J42" s="25"/>
      <c r="K42" s="25"/>
      <c r="L42" s="139" t="str">
        <f ca="1">Horarios!Q37</f>
        <v>Países Bajos</v>
      </c>
      <c r="M42" s="477">
        <f ca="1">ADMIN!$D$5-SUM(N42:T42)</f>
        <v>0</v>
      </c>
      <c r="N42" s="477">
        <f ca="1">IFERROR(COUNTIF(ADMIN!$S$130:INDEX(ADMIN!$S$130:$FD$161,32,ADMIN!$D$5*3-1),Stats!$L42)-SUM(O42:T42),0)</f>
        <v>1</v>
      </c>
      <c r="O42" s="477">
        <f ca="1">COUNTIF(ADMIN!$S$182:INDEX(ADMIN!$S$182:$FD$197,16,ADMIN!$D$5*3-1),Stats!$L42)-SUM(P42:T42)</f>
        <v>0</v>
      </c>
      <c r="P42" s="477">
        <f ca="1">COUNTIF(ADMIN!$S$210:INDEX(ADMIN!$S$210:$FD$217,8,ADMIN!$D$5*3-1),Stats!$L42)-SUM(Q42:T42)</f>
        <v>4</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x14ac:dyDescent="0.2">
      <c r="A43" s="25">
        <v>22</v>
      </c>
      <c r="B43" s="25">
        <f ca="1">IFERROR(SUMIF(ADMIN!$G$6:$G$258,A43,ADMIN!$F$6:$F$258),"")</f>
        <v>92</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x14ac:dyDescent="0.2">
      <c r="A44" s="25">
        <v>23</v>
      </c>
      <c r="B44" s="25">
        <f ca="1">IFERROR(SUMIF(ADMIN!$G$6:$G$258,A44,ADMIN!$F$6:$F$258),"")</f>
        <v>78</v>
      </c>
      <c r="C44" s="17"/>
      <c r="D44" s="461"/>
      <c r="E44" s="461"/>
      <c r="F44" s="461"/>
      <c r="G44" s="17"/>
      <c r="H44" s="17"/>
      <c r="I44" s="17"/>
      <c r="J44" s="25"/>
      <c r="K44" s="25"/>
      <c r="L44" s="139" t="str">
        <f ca="1">Horarios!Q39</f>
        <v>Paraguay</v>
      </c>
      <c r="M44" s="477">
        <f ca="1">ADMIN!$D$5-SUM(N44:T44)</f>
        <v>0</v>
      </c>
      <c r="N44" s="477">
        <f ca="1">IFERROR(COUNTIF(ADMIN!$S$130:INDEX(ADMIN!$S$130:$FD$161,32,ADMIN!$D$5*3-1),Stats!$L44)-SUM(O44:T44),0)</f>
        <v>5</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x14ac:dyDescent="0.2">
      <c r="A45" s="25">
        <v>24</v>
      </c>
      <c r="B45" s="25">
        <f ca="1">IFERROR(SUMIF(ADMIN!$G$6:$G$258,A45,ADMIN!$F$6:$F$258),"")</f>
        <v>180</v>
      </c>
      <c r="C45" s="17"/>
      <c r="D45" s="461"/>
      <c r="E45" s="461" t="str">
        <f ca="1">IF(Home!E41&lt;Home!E42,"",IF(Home!E41&gt;=Home!E42,Idiomas!D511&amp;" "&amp;SUM(WORLDCUP!$BJ$6:$BJ$53,WORLDCUP!$AC$101:$AD$147)&amp;" "&amp;Idiomas!D512,""))</f>
        <v>Se han marcado un total de 311 goles en el Mundial de Clubes sin contar tandas de penalti</v>
      </c>
      <c r="F45" s="461"/>
      <c r="G45" s="17"/>
      <c r="H45" s="17"/>
      <c r="I45" s="17"/>
      <c r="J45" s="25"/>
      <c r="K45" s="25"/>
      <c r="L45" s="138" t="str">
        <f ca="1">Horarios!Q40</f>
        <v>Portugal</v>
      </c>
      <c r="M45" s="479">
        <f ca="1">ADMIN!$D$5-SUM(N45:T45)</f>
        <v>0</v>
      </c>
      <c r="N45" s="479">
        <f ca="1">IFERROR(COUNTIF(ADMIN!$S$130:INDEX(ADMIN!$S$130:$FD$161,32,ADMIN!$D$5*3-1),Stats!$L45)-SUM(O45:T45),0)</f>
        <v>1</v>
      </c>
      <c r="O45" s="479">
        <f ca="1">COUNTIF(ADMIN!$S$182:INDEX(ADMIN!$S$182:$FD$197,16,ADMIN!$D$5*3-1),Stats!$L45)-SUM(P45:T45)</f>
        <v>4</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x14ac:dyDescent="0.2">
      <c r="A46" s="25"/>
      <c r="B46" s="411">
        <f ca="1">SUM(B22:B45)</f>
        <v>1294</v>
      </c>
      <c r="C46" s="17"/>
      <c r="D46" s="461"/>
      <c r="E46" s="461"/>
      <c r="F46" s="461"/>
      <c r="G46" s="17"/>
      <c r="H46" s="17"/>
      <c r="I46" s="17"/>
      <c r="J46" s="25"/>
      <c r="K46" s="25"/>
      <c r="L46" s="139" t="str">
        <f ca="1">Horarios!Q41</f>
        <v>RD Congo</v>
      </c>
      <c r="M46" s="477">
        <f ca="1">ADMIN!$D$5-SUM(N46:T46)</f>
        <v>0</v>
      </c>
      <c r="N46" s="477">
        <f ca="1">IFERROR(COUNTIF(ADMIN!$S$130:INDEX(ADMIN!$S$130:$FD$161,32,ADMIN!$D$5*3-1),Stats!$L46)-SUM(O46:T46),0)</f>
        <v>5</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x14ac:dyDescent="0.2">
      <c r="A47" s="25"/>
      <c r="B47" s="25">
        <f ca="1">B46*ADMIN!$D$5</f>
        <v>6470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x14ac:dyDescent="0.2">
      <c r="A48" s="25"/>
      <c r="B48" s="25"/>
      <c r="C48" s="17"/>
      <c r="D48" s="17"/>
      <c r="E48" s="17"/>
      <c r="F48" s="17"/>
      <c r="G48" s="17"/>
      <c r="H48" s="17"/>
      <c r="I48" s="17"/>
      <c r="J48" s="25"/>
      <c r="K48" s="25"/>
      <c r="L48" s="139" t="str">
        <f ca="1">Horarios!Q43</f>
        <v>Senegal</v>
      </c>
      <c r="M48" s="477">
        <f ca="1">ADMIN!$D$5-SUM(N48:T48)</f>
        <v>0</v>
      </c>
      <c r="N48" s="477">
        <f ca="1">IFERROR(COUNTIF(ADMIN!$S$130:INDEX(ADMIN!$S$130:$FD$161,32,ADMIN!$D$5*3-1),Stats!$L48)-SUM(O48:T48),0)</f>
        <v>4</v>
      </c>
      <c r="O48" s="477">
        <f ca="1">COUNTIF(ADMIN!$S$182:INDEX(ADMIN!$S$182:$FD$197,16,ADMIN!$D$5*3-1),Stats!$L48)-SUM(P48:T48)</f>
        <v>1</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x14ac:dyDescent="0.2">
      <c r="A49" s="25"/>
      <c r="B49" s="25"/>
      <c r="C49" s="17"/>
      <c r="D49" s="17"/>
      <c r="E49" s="17"/>
      <c r="F49" s="17"/>
      <c r="G49" s="17"/>
      <c r="H49" s="17"/>
      <c r="I49" s="17"/>
      <c r="J49" s="25"/>
      <c r="K49" s="25"/>
      <c r="L49" s="138" t="str">
        <f ca="1">Horarios!Q44</f>
        <v>Sudáfrica</v>
      </c>
      <c r="M49" s="479">
        <f ca="1">ADMIN!$D$5-SUM(N49:T49)</f>
        <v>0</v>
      </c>
      <c r="N49" s="479">
        <f ca="1">IFERROR(COUNTIF(ADMIN!$S$130:INDEX(ADMIN!$S$130:$FD$161,32,ADMIN!$D$5*3-1),Stats!$L49)-SUM(O49:T49),0)</f>
        <v>5</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x14ac:dyDescent="0.2">
      <c r="A50" s="25"/>
      <c r="B50" s="25"/>
      <c r="C50" s="17"/>
      <c r="D50" s="17"/>
      <c r="E50" s="17"/>
      <c r="F50" s="17"/>
      <c r="G50" s="17"/>
      <c r="H50" s="17"/>
      <c r="I50" s="17"/>
      <c r="J50" s="25"/>
      <c r="K50" s="25"/>
      <c r="L50" s="139" t="str">
        <f ca="1">Horarios!Q45</f>
        <v>Suecia</v>
      </c>
      <c r="M50" s="477">
        <f ca="1">ADMIN!$D$5-SUM(N50:T50)</f>
        <v>0</v>
      </c>
      <c r="N50" s="477">
        <f ca="1">IFERROR(COUNTIF(ADMIN!$S$130:INDEX(ADMIN!$S$130:$FD$161,32,ADMIN!$D$5*3-1),Stats!$L50)-SUM(O50:T50),0)</f>
        <v>5</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x14ac:dyDescent="0.2">
      <c r="A51" s="25"/>
      <c r="B51" s="25"/>
      <c r="C51" s="17"/>
      <c r="D51" s="17"/>
      <c r="E51" s="17"/>
      <c r="F51" s="17"/>
      <c r="G51" s="17"/>
      <c r="H51" s="17"/>
      <c r="I51" s="17"/>
      <c r="J51" s="25"/>
      <c r="K51" s="25"/>
      <c r="L51" s="138" t="str">
        <f ca="1">Horarios!Q46</f>
        <v>Suiza</v>
      </c>
      <c r="M51" s="479">
        <f ca="1">ADMIN!$D$5-SUM(N51:T51)</f>
        <v>0</v>
      </c>
      <c r="N51" s="479">
        <f ca="1">IFERROR(COUNTIF(ADMIN!$S$130:INDEX(ADMIN!$S$130:$FD$161,32,ADMIN!$D$5*3-1),Stats!$L51)-SUM(O51:T51),0)</f>
        <v>0</v>
      </c>
      <c r="O51" s="479">
        <f ca="1">COUNTIF(ADMIN!$S$182:INDEX(ADMIN!$S$182:$FD$197,16,ADMIN!$D$5*3-1),Stats!$L51)-SUM(P51:T51)</f>
        <v>3</v>
      </c>
      <c r="P51" s="479">
        <f ca="1">COUNTIF(ADMIN!$S$210:INDEX(ADMIN!$S$210:$FD$217,8,ADMIN!$D$5*3-1),Stats!$L51)-SUM(Q51:T51)</f>
        <v>2</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x14ac:dyDescent="0.2">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x14ac:dyDescent="0.2">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x14ac:dyDescent="0.2">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6" thickBot="1" x14ac:dyDescent="0.25">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x14ac:dyDescent="0.2">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x14ac:dyDescent="0.2">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x14ac:dyDescent="0.2">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x14ac:dyDescent="0.2">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x14ac:dyDescent="0.2">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x14ac:dyDescent="0.2">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x14ac:dyDescent="0.2">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x14ac:dyDescent="0.2">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x14ac:dyDescent="0.2">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x14ac:dyDescent="0.2">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x14ac:dyDescent="0.2">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x14ac:dyDescent="0.2">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x14ac:dyDescent="0.2">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x14ac:dyDescent="0.2">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x14ac:dyDescent="0.2">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x14ac:dyDescent="0.2">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20" customWidth="1"/>
    <col min="2" max="2" width="2.6640625" style="8" customWidth="1"/>
    <col min="3" max="3" width="5.6640625" style="1" bestFit="1" customWidth="1"/>
    <col min="4" max="5" width="3.33203125" style="1" customWidth="1"/>
    <col min="6" max="6" width="6.1640625" style="1" customWidth="1"/>
    <col min="7" max="7" width="2.5" style="1" bestFit="1" customWidth="1"/>
    <col min="8" max="9" width="3.83203125" style="1" customWidth="1"/>
    <col min="10" max="10" width="4.5" style="1" customWidth="1"/>
    <col min="11" max="11" width="4.8320312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640625" style="1" bestFit="1" customWidth="1"/>
    <col min="19" max="19" width="2.5" style="1" bestFit="1" customWidth="1"/>
    <col min="20" max="20" width="4.33203125" style="1" bestFit="1" customWidth="1"/>
    <col min="21" max="22" width="3.6640625" style="1" customWidth="1"/>
    <col min="23" max="23" width="4.83203125" style="1" customWidth="1"/>
    <col min="24" max="24" width="4.33203125" style="20" hidden="1" customWidth="1"/>
    <col min="25" max="25" width="2.83203125" style="8" customWidth="1"/>
    <col min="26" max="26" width="7.5" style="8" bestFit="1" customWidth="1"/>
    <col min="27" max="27" width="5.83203125" style="1" customWidth="1"/>
    <col min="28" max="29" width="4.33203125" style="1" customWidth="1"/>
    <col min="30" max="30" width="2.83203125" style="8" customWidth="1"/>
    <col min="31" max="31" width="5.83203125" style="1" customWidth="1"/>
    <col min="32" max="33" width="4.33203125" style="1" customWidth="1"/>
    <col min="34" max="34" width="2.83203125" style="8" customWidth="1"/>
    <col min="35" max="35" width="5.83203125" style="1" customWidth="1"/>
    <col min="36" max="37" width="4.33203125" style="1" customWidth="1"/>
    <col min="38" max="38" width="2.83203125" style="8" customWidth="1"/>
    <col min="39" max="39" width="5.83203125" style="1" customWidth="1"/>
    <col min="40" max="41" width="4.33203125" style="1" customWidth="1"/>
    <col min="42" max="42" width="2.83203125" style="8" customWidth="1"/>
    <col min="43" max="43" width="5.83203125" style="1" customWidth="1"/>
    <col min="44" max="45" width="4.33203125" style="1" customWidth="1"/>
    <col min="46" max="46" width="2.83203125" style="8" customWidth="1"/>
    <col min="47" max="47" width="5.83203125" style="1" customWidth="1"/>
    <col min="48" max="49" width="4.33203125" style="1" customWidth="1"/>
    <col min="50" max="50" width="4" style="1" bestFit="1" customWidth="1"/>
    <col min="51" max="51" width="3.33203125" style="1" customWidth="1"/>
    <col min="52" max="54" width="7.83203125" style="1" customWidth="1"/>
    <col min="55" max="55" width="3.33203125" style="1" customWidth="1"/>
    <col min="56" max="58" width="2.5" style="1" bestFit="1" customWidth="1"/>
    <col min="59" max="59" width="18.5" style="1" customWidth="1"/>
    <col min="60" max="67" width="4.83203125" style="1" customWidth="1"/>
    <col min="68" max="68" width="10.83203125" style="1" customWidth="1"/>
    <col min="69" max="16384" width="10.83203125" style="1" hidden="1"/>
  </cols>
  <sheetData>
    <row r="1" spans="1:67" ht="8" customHeight="1" x14ac:dyDescent="0.2">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 customHeight="1" thickBot="1" x14ac:dyDescent="0.25">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6" thickBot="1" x14ac:dyDescent="0.25">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1</v>
      </c>
      <c r="Q3" s="511">
        <f>IF(ISBLANK(INDEX(WORLDCUP!$AD$4:$AD$147,MATCH(M3,WORLDCUP!$AH$4:$AH$147,0))),"",INDEX(WORLDCUP!$AD$4:$AD$147,MATCH(M3,WORLDCUP!$AH$4:$AH$147,0)))</f>
        <v>1</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1</v>
      </c>
      <c r="AC3" s="521" t="str">
        <f>+IF(ISBLANK(INDEX(WORLDCUP!$AB$101:$AB$147,MATCH(Y3,WORLDCUP!$Z$101:$Z$147,0))),"","( "&amp;INDEX(WORLDCUP!$AB$101:$AB$147,MATCH(Y3,WORLDCUP!$Z$101:$Z$147,0))&amp;" )")</f>
        <v>( 3 )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6" thickBot="1" x14ac:dyDescent="0.25">
      <c r="A4" s="19">
        <v>2</v>
      </c>
      <c r="B4" s="536"/>
      <c r="C4" s="537" t="str">
        <f ca="1">+MID(INDEX(WORLDCUP!$AA$4:$AA$147,MATCH(A4,WORLDCUP!$AH$4:$AH$147,0)),1,3)</f>
        <v>Cor</v>
      </c>
      <c r="D4" s="538">
        <f>IF(ISBLANK(INDEX(WORLDCUP!$AC$4:$AC$147,MATCH(A4,WORLDCUP!$AH$4:$AH$147,0))),"",INDEX(WORLDCUP!$AC$4:$AC$147,MATCH(A4,WORLDCUP!$AH$4:$AH$147,0)))</f>
        <v>2</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9</v>
      </c>
      <c r="J4" s="543">
        <f ca="1">+INDEX(WORLDCUP!$AT$6:$AT$97,MATCH(L4,WORLDCUP!$AI$6:$AI$97,0))</f>
        <v>6</v>
      </c>
      <c r="K4" s="544" t="str">
        <f ca="1">+INDEX(WORLDCUP!$AR$6:$AR$97,MATCH(L4,WORLDCUP!$AI$6:$AI$97,0))&amp;"-"&amp;INDEX(WORLDCUP!$AS$6:$AS$97,MATCH(L4,WORLDCUP!$AI$6:$AI$97,0))</f>
        <v>6-0</v>
      </c>
      <c r="L4" s="19" t="s">
        <v>645</v>
      </c>
      <c r="M4" s="19">
        <v>15</v>
      </c>
      <c r="N4" s="545"/>
      <c r="O4" s="537" t="str">
        <f ca="1">+MID(INDEX(WORLDCUP!$AA$4:$AA$147,MATCH(M4,WORLDCUP!$AH$4:$AH$147,0)),1,3)</f>
        <v>Irá</v>
      </c>
      <c r="P4" s="538">
        <f>IF(ISBLANK(INDEX(WORLDCUP!$AC$4:$AC$147,MATCH(M4,WORLDCUP!$AH$4:$AH$147,0))),"",INDEX(WORLDCUP!$AC$4:$AC$147,MATCH(M4,WORLDCUP!$AH$4:$AH$147,0)))</f>
        <v>2</v>
      </c>
      <c r="Q4" s="538">
        <f>IF(ISBLANK(INDEX(WORLDCUP!$AD$4:$AD$147,MATCH(M4,WORLDCUP!$AH$4:$AH$147,0))),"",INDEX(WORLDCUP!$AD$4:$AD$147,MATCH(M4,WORLDCUP!$AH$4:$AH$147,0)))</f>
        <v>2</v>
      </c>
      <c r="R4" s="539" t="str">
        <f ca="1">+MID(INDEX(WORLDCUP!$AF$4:$AF$147,MATCH(M4,WORLDCUP!$AH$4:$AH$147,0)),1,3)</f>
        <v>Nue</v>
      </c>
      <c r="S4" s="540">
        <v>1</v>
      </c>
      <c r="T4" s="541" t="str">
        <f ca="1">+MID(INDEX(WORLDCUP!$AL$6:$AL$97,MATCH(X4,WORLDCUP!$AI$6:$AI$97,0)),1,3)</f>
        <v>Bél</v>
      </c>
      <c r="U4" s="542">
        <f ca="1">+INDEX(WORLDCUP!$AM$6:$AM$97,MATCH(X4,WORLDCUP!$AI$6:$AI$97,0))</f>
        <v>5</v>
      </c>
      <c r="V4" s="543">
        <f ca="1">+INDEX(WORLDCUP!$AT$6:$AT$97,MATCH(X4,WORLDCUP!$AI$6:$AI$97,0))</f>
        <v>4</v>
      </c>
      <c r="W4" s="544" t="str">
        <f ca="1">+INDEX(WORLDCUP!$AR$6:$AR$97,MATCH(X4,WORLDCUP!$AI$6:$AI$97,0))&amp;"-"&amp;INDEX(WORLDCUP!$AS$6:$AS$97,MATCH(X4,WORLDCUP!$AI$6:$AI$97,0))</f>
        <v>6-2</v>
      </c>
      <c r="X4" s="19" t="s">
        <v>667</v>
      </c>
      <c r="Y4" s="19">
        <v>74</v>
      </c>
      <c r="Z4" s="518" t="s">
        <v>722</v>
      </c>
      <c r="AA4" s="519" t="str">
        <f ca="1">+MID(INDEX(WORLDCUP!$AF$101:$AF$147,MATCH(Y4,WORLDCUP!$Z$101:$Z$147,0)),1,IF(WORLDCUP!$H$113&lt;144,6,3))</f>
        <v>Par</v>
      </c>
      <c r="AB4" s="546">
        <f>+IF(ISBLANK(INDEX(WORLDCUP!$AD$101:$AD$147,MATCH(Y4,WORLDCUP!$Z$101:$Z$147,0))),"",INDEX(WORLDCUP!$AD$101:$AD$147,MATCH(Y4,WORLDCUP!$Z$101:$Z$147,0)))</f>
        <v>1</v>
      </c>
      <c r="AC4" s="547" t="str">
        <f>+IF(ISBLANK(INDEX(WORLDCUP!$AE$101:$AE$147,MATCH(Y4,WORLDCUP!$Z$101:$Z$147,0))),"","( "&amp;INDEX(WORLDCUP!$AE$101:$AE$147,MATCH(Y4,WORLDCUP!$Z$101:$Z$147,0))&amp;" )")</f>
        <v>( 4 )</v>
      </c>
      <c r="AD4" s="548">
        <v>89</v>
      </c>
      <c r="AE4" s="549" t="str">
        <f ca="1">+MID(INDEX(WORLDCUP!$AA$101:$AA$147,MATCH(AD4,WORLDCUP!$Z$101:$Z$147,0)),1,3)</f>
        <v>Par</v>
      </c>
      <c r="AF4" s="550">
        <f>+IF(ISBLANK(INDEX(WORLDCUP!$AC$101:$AC$147,MATCH(AD4,WORLDCUP!$Z$101:$Z$147,0))),"",INDEX(WORLDCUP!$AC$101:$AC$147,MATCH(AD4,WORLDCUP!$Z$101:$Z$147,0)))</f>
        <v>0</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1</v>
      </c>
      <c r="BJ4" s="557">
        <f ca="1">COUNTIF(ADMIN!$M$182:$M$197,Fixture!BG4)-BK4-BL4-BM4-BN4-BO4</f>
        <v>0</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x14ac:dyDescent="0.2">
      <c r="A5" s="19">
        <v>25</v>
      </c>
      <c r="B5" s="536"/>
      <c r="C5" s="537" t="str">
        <f ca="1">+MID(INDEX(WORLDCUP!$AA$4:$AA$147,MATCH(A5,WORLDCUP!$AH$4:$AH$147,0)),1,3)</f>
        <v>Rep</v>
      </c>
      <c r="D5" s="538">
        <f>IF(ISBLANK(INDEX(WORLDCUP!$AC$4:$AC$147,MATCH(A5,WORLDCUP!$AH$4:$AH$147,0))),"",INDEX(WORLDCUP!$AC$4:$AC$147,MATCH(A5,WORLDCUP!$AH$4:$AH$147,0)))</f>
        <v>1</v>
      </c>
      <c r="E5" s="538">
        <f>IF(ISBLANK(INDEX(WORLDCUP!$AD$4:$AD$147,MATCH(A5,WORLDCUP!$AH$4:$AH$147,0))),"",INDEX(WORLDCUP!$AD$4:$AD$147,MATCH(A5,WORLDCUP!$AH$4:$AH$147,0)))</f>
        <v>1</v>
      </c>
      <c r="F5" s="539" t="str">
        <f ca="1">+MID(INDEX(WORLDCUP!$AF$4:$AF$147,MATCH(A5,WORLDCUP!$AH$4:$AH$147,0)),1,3)</f>
        <v>Sud</v>
      </c>
      <c r="G5" s="560">
        <v>2</v>
      </c>
      <c r="H5" s="561" t="str">
        <f ca="1">+MID(INDEX(WORLDCUP!$AL$6:$AL$97,MATCH(L5,WORLDCUP!$AI$6:$AI$97,0)),1,3)</f>
        <v>Sud</v>
      </c>
      <c r="I5" s="229">
        <f ca="1">+INDEX(WORLDCUP!$AM$6:$AM$97,MATCH(L5,WORLDCUP!$AI$6:$AI$97,0))</f>
        <v>4</v>
      </c>
      <c r="J5" s="230">
        <f ca="1">+INDEX(WORLDCUP!$AT$6:$AT$97,MATCH(L5,WORLDCUP!$AI$6:$AI$97,0))</f>
        <v>-1</v>
      </c>
      <c r="K5" s="231" t="str">
        <f ca="1">+INDEX(WORLDCUP!$AR$6:$AR$97,MATCH(L5,WORLDCUP!$AI$6:$AI$97,0))&amp;"-"&amp;INDEX(WORLDCUP!$AS$6:$AS$97,MATCH(L5,WORLDCUP!$AI$6:$AI$97,0))</f>
        <v>2-3</v>
      </c>
      <c r="L5" s="19" t="s">
        <v>646</v>
      </c>
      <c r="M5" s="19">
        <v>39</v>
      </c>
      <c r="N5" s="545"/>
      <c r="O5" s="537" t="str">
        <f ca="1">+MID(INDEX(WORLDCUP!$AA$4:$AA$147,MATCH(M5,WORLDCUP!$AH$4:$AH$147,0)),1,3)</f>
        <v>Bél</v>
      </c>
      <c r="P5" s="538">
        <f>IF(ISBLANK(INDEX(WORLDCUP!$AC$4:$AC$147,MATCH(M5,WORLDCUP!$AH$4:$AH$147,0))),"",INDEX(WORLDCUP!$AC$4:$AC$147,MATCH(M5,WORLDCUP!$AH$4:$AH$147,0)))</f>
        <v>0</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Egi</v>
      </c>
      <c r="U5" s="229">
        <f ca="1">+INDEX(WORLDCUP!$AM$6:$AM$97,MATCH(X5,WORLDCUP!$AI$6:$AI$97,0))</f>
        <v>5</v>
      </c>
      <c r="V5" s="230">
        <f ca="1">+INDEX(WORLDCUP!$AT$6:$AT$97,MATCH(X5,WORLDCUP!$AI$6:$AI$97,0))</f>
        <v>2</v>
      </c>
      <c r="W5" s="231" t="str">
        <f ca="1">+INDEX(WORLDCUP!$AR$6:$AR$97,MATCH(X5,WORLDCUP!$AI$6:$AI$97,0))&amp;"-"&amp;INDEX(WORLDCUP!$AS$6:$AS$97,MATCH(X5,WORLDCUP!$AI$6:$AI$97,0))</f>
        <v>5-3</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1</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6" thickBot="1" x14ac:dyDescent="0.25">
      <c r="A6" s="19">
        <v>28</v>
      </c>
      <c r="B6" s="536"/>
      <c r="C6" s="537" t="str">
        <f ca="1">+MID(INDEX(WORLDCUP!$AA$4:$AA$147,MATCH(A6,WORLDCUP!$AH$4:$AH$147,0)),1,3)</f>
        <v>Méx</v>
      </c>
      <c r="D6" s="538">
        <f>IF(ISBLANK(INDEX(WORLDCUP!$AC$4:$AC$147,MATCH(A6,WORLDCUP!$AH$4:$AH$147,0))),"",INDEX(WORLDCUP!$AC$4:$AC$147,MATCH(A6,WORLDCUP!$AH$4:$AH$147,0)))</f>
        <v>1</v>
      </c>
      <c r="E6" s="538">
        <f>IF(ISBLANK(INDEX(WORLDCUP!$AD$4:$AD$147,MATCH(A6,WORLDCUP!$AH$4:$AH$147,0))),"",INDEX(WORLDCUP!$AD$4:$AD$147,MATCH(A6,WORLDCUP!$AH$4:$AH$147,0)))</f>
        <v>0</v>
      </c>
      <c r="F6" s="539" t="str">
        <f ca="1">+MID(INDEX(WORLDCUP!$AF$4:$AF$147,MATCH(A6,WORLDCUP!$AH$4:$AH$147,0)),1,3)</f>
        <v>Cor</v>
      </c>
      <c r="G6" s="560">
        <v>3</v>
      </c>
      <c r="H6" s="561" t="str">
        <f ca="1">+MID(INDEX(WORLDCUP!$AL$6:$AL$97,MATCH(L6,WORLDCUP!$AI$6:$AI$97,0)),1,3)</f>
        <v>Cor</v>
      </c>
      <c r="I6" s="229">
        <f ca="1">+INDEX(WORLDCUP!$AM$6:$AM$97,MATCH(L6,WORLDCUP!$AI$6:$AI$97,0))</f>
        <v>3</v>
      </c>
      <c r="J6" s="230">
        <f ca="1">+INDEX(WORLDCUP!$AT$6:$AT$97,MATCH(L6,WORLDCUP!$AI$6:$AI$97,0))</f>
        <v>-1</v>
      </c>
      <c r="K6" s="231" t="str">
        <f ca="1">+INDEX(WORLDCUP!$AR$6:$AR$97,MATCH(L6,WORLDCUP!$AI$6:$AI$97,0))&amp;"-"&amp;INDEX(WORLDCUP!$AS$6:$AS$97,MATCH(L6,WORLDCUP!$AI$6:$AI$97,0))</f>
        <v>2-3</v>
      </c>
      <c r="L6" s="19" t="s">
        <v>89</v>
      </c>
      <c r="M6" s="19">
        <v>40</v>
      </c>
      <c r="N6" s="545"/>
      <c r="O6" s="537" t="str">
        <f ca="1">+MID(INDEX(WORLDCUP!$AA$4:$AA$147,MATCH(M6,WORLDCUP!$AH$4:$AH$147,0)),1,3)</f>
        <v>Nue</v>
      </c>
      <c r="P6" s="538">
        <f>IF(ISBLANK(INDEX(WORLDCUP!$AC$4:$AC$147,MATCH(M6,WORLDCUP!$AH$4:$AH$147,0))),"",INDEX(WORLDCUP!$AC$4:$AC$147,MATCH(M6,WORLDCUP!$AH$4:$AH$147,0)))</f>
        <v>1</v>
      </c>
      <c r="Q6" s="538">
        <f>IF(ISBLANK(INDEX(WORLDCUP!$AD$4:$AD$147,MATCH(M6,WORLDCUP!$AH$4:$AH$147,0))),"",INDEX(WORLDCUP!$AD$4:$AD$147,MATCH(M6,WORLDCUP!$AH$4:$AH$147,0)))</f>
        <v>3</v>
      </c>
      <c r="R6" s="539" t="str">
        <f ca="1">+MID(INDEX(WORLDCUP!$AF$4:$AF$147,MATCH(M6,WORLDCUP!$AH$4:$AH$147,0)),1,3)</f>
        <v>Egi</v>
      </c>
      <c r="S6" s="560">
        <v>3</v>
      </c>
      <c r="T6" s="561" t="str">
        <f ca="1">+MID(INDEX(WORLDCUP!$AL$6:$AL$97,MATCH(X6,WORLDCUP!$AI$6:$AI$97,0)),1,3)</f>
        <v>Irá</v>
      </c>
      <c r="U6" s="229">
        <f ca="1">+INDEX(WORLDCUP!$AM$6:$AM$97,MATCH(X6,WORLDCUP!$AI$6:$AI$97,0))</f>
        <v>3</v>
      </c>
      <c r="V6" s="230">
        <f ca="1">+INDEX(WORLDCUP!$AT$6:$AT$97,MATCH(X6,WORLDCUP!$AI$6:$AI$97,0))</f>
        <v>0</v>
      </c>
      <c r="W6" s="231" t="str">
        <f ca="1">+INDEX(WORLDCUP!$AR$6:$AR$97,MATCH(X6,WORLDCUP!$AI$6:$AI$97,0))&amp;"-"&amp;INDEX(WORLDCUP!$AS$6:$AS$97,MATCH(X6,WORLDCUP!$AI$6:$AI$97,0))</f>
        <v>3-3</v>
      </c>
      <c r="X6" s="19" t="s">
        <v>435</v>
      </c>
      <c r="Y6" s="19">
        <v>77</v>
      </c>
      <c r="Z6" s="518" t="s">
        <v>673</v>
      </c>
      <c r="AA6" s="519" t="str">
        <f ca="1">+MID(INDEX(WORLDCUP!$AA$101:$AA$147,MATCH(Y6,WORLDCUP!$Z$101:$Z$147,0)),1,3)</f>
        <v>Fra</v>
      </c>
      <c r="AB6" s="565">
        <f>+IF(ISBLANK(INDEX(WORLDCUP!$AC$101:$AC$147,MATCH(Y6,WORLDCUP!$Z$101:$Z$147,0))),"",INDEX(WORLDCUP!$AC$101:$AC$147,MATCH(Y6,WORLDCUP!$Z$101:$Z$147,0)))</f>
        <v>3</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0</v>
      </c>
      <c r="BI6" s="556">
        <f ca="1">COUNTIF(ADMIN!$M$130:$M$161,Fixture!BG6)-BJ6-BK6-BL6-BM6-BN6-BO6</f>
        <v>1</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6" thickBot="1" x14ac:dyDescent="0.25">
      <c r="A7" s="19">
        <v>53</v>
      </c>
      <c r="B7" s="536"/>
      <c r="C7" s="537" t="str">
        <f ca="1">+MID(INDEX(WORLDCUP!$AA$4:$AA$147,MATCH(A7,WORLDCUP!$AH$4:$AH$147,0)),1,3)</f>
        <v>Rep</v>
      </c>
      <c r="D7" s="538">
        <f>IF(ISBLANK(INDEX(WORLDCUP!$AC$4:$AC$147,MATCH(A7,WORLDCUP!$AH$4:$AH$147,0))),"",INDEX(WORLDCUP!$AC$4:$AC$147,MATCH(A7,WORLDCUP!$AH$4:$AH$147,0)))</f>
        <v>0</v>
      </c>
      <c r="E7" s="538">
        <f>IF(ISBLANK(INDEX(WORLDCUP!$AD$4:$AD$147,MATCH(A7,WORLDCUP!$AH$4:$AH$147,0))),"",INDEX(WORLDCUP!$AD$4:$AD$147,MATCH(A7,WORLDCUP!$AH$4:$AH$147,0)))</f>
        <v>3</v>
      </c>
      <c r="F7" s="539" t="str">
        <f ca="1">+MID(INDEX(WORLDCUP!$AF$4:$AF$147,MATCH(A7,WORLDCUP!$AH$4:$AH$147,0)),1,3)</f>
        <v>Méx</v>
      </c>
      <c r="G7" s="560">
        <v>4</v>
      </c>
      <c r="H7" s="569" t="str">
        <f ca="1">+MID(INDEX(WORLDCUP!$AL$6:$AL$97,MATCH(L7,WORLDCUP!$AI$6:$AI$97,0)),1,3)</f>
        <v>Rep</v>
      </c>
      <c r="I7" s="570">
        <f ca="1">+INDEX(WORLDCUP!$AM$6:$AM$97,MATCH(L7,WORLDCUP!$AI$6:$AI$97,0))</f>
        <v>1</v>
      </c>
      <c r="J7" s="571">
        <f ca="1">+INDEX(WORLDCUP!$AT$6:$AT$97,MATCH(L7,WORLDCUP!$AI$6:$AI$97,0))</f>
        <v>-4</v>
      </c>
      <c r="K7" s="572" t="str">
        <f ca="1">+INDEX(WORLDCUP!$AR$6:$AR$97,MATCH(L7,WORLDCUP!$AI$6:$AI$97,0))&amp;"-"&amp;INDEX(WORLDCUP!$AS$6:$AS$97,MATCH(L7,WORLDCUP!$AI$6:$AI$97,0))</f>
        <v>2-6</v>
      </c>
      <c r="L7" s="19" t="s">
        <v>647</v>
      </c>
      <c r="M7" s="19">
        <v>63</v>
      </c>
      <c r="N7" s="545"/>
      <c r="O7" s="537" t="str">
        <f ca="1">+MID(INDEX(WORLDCUP!$AA$4:$AA$147,MATCH(M7,WORLDCUP!$AH$4:$AH$147,0)),1,3)</f>
        <v>Egi</v>
      </c>
      <c r="P7" s="538">
        <f>IF(ISBLANK(INDEX(WORLDCUP!$AC$4:$AC$147,MATCH(M7,WORLDCUP!$AH$4:$AH$147,0))),"",INDEX(WORLDCUP!$AC$4:$AC$147,MATCH(M7,WORLDCUP!$AH$4:$AH$147,0)))</f>
        <v>1</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Nue</v>
      </c>
      <c r="U7" s="570">
        <f ca="1">+INDEX(WORLDCUP!$AM$6:$AM$97,MATCH(X7,WORLDCUP!$AI$6:$AI$97,0))</f>
        <v>1</v>
      </c>
      <c r="V7" s="571">
        <f ca="1">+INDEX(WORLDCUP!$AT$6:$AT$97,MATCH(X7,WORLDCUP!$AI$6:$AI$97,0))</f>
        <v>-6</v>
      </c>
      <c r="W7" s="572" t="str">
        <f ca="1">+INDEX(WORLDCUP!$AR$6:$AR$97,MATCH(X7,WORLDCUP!$AI$6:$AI$97,0))&amp;"-"&amp;INDEX(WORLDCUP!$AS$6:$AS$97,MATCH(X7,WORLDCUP!$AI$6:$AI$97,0))</f>
        <v>4-10</v>
      </c>
      <c r="X7" s="19" t="s">
        <v>669</v>
      </c>
      <c r="Y7" s="19">
        <v>77</v>
      </c>
      <c r="Z7" s="518" t="s">
        <v>723</v>
      </c>
      <c r="AA7" s="573" t="str">
        <f ca="1">+MID(INDEX(WORLDCUP!$AF$101:$AF$147,MATCH(Y7,WORLDCUP!$Z$101:$Z$147,0)),1,IF(WORLDCUP!$H$113&lt;144,6,3))</f>
        <v>Sue</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Fra</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1</v>
      </c>
      <c r="BO7" s="559">
        <f ca="1">COUNTIF(ADMIN!$M$250,Fixture!BG7)</f>
        <v>0</v>
      </c>
    </row>
    <row r="8" spans="1:67" ht="16" thickBot="1" x14ac:dyDescent="0.25">
      <c r="A8" s="19">
        <v>54</v>
      </c>
      <c r="B8" s="579"/>
      <c r="C8" s="580" t="str">
        <f ca="1">+MID(INDEX(WORLDCUP!$AA$4:$AA$147,MATCH(A8,WORLDCUP!$AH$4:$AH$147,0)),1,3)</f>
        <v>Sud</v>
      </c>
      <c r="D8" s="581">
        <f>IF(ISBLANK(INDEX(WORLDCUP!$AC$4:$AC$147,MATCH(A8,WORLDCUP!$AH$4:$AH$147,0))),"",INDEX(WORLDCUP!$AC$4:$AC$147,MATCH(A8,WORLDCUP!$AH$4:$AH$147,0)))</f>
        <v>1</v>
      </c>
      <c r="E8" s="581">
        <f>IF(ISBLANK(INDEX(WORLDCUP!$AD$4:$AD$147,MATCH(A8,WORLDCUP!$AH$4:$AH$147,0))),"",INDEX(WORLDCUP!$AD$4:$AD$147,MATCH(A8,WORLDCUP!$AH$4:$AH$147,0)))</f>
        <v>0</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1</v>
      </c>
      <c r="Q8" s="581">
        <f>IF(ISBLANK(INDEX(WORLDCUP!$AD$4:$AD$147,MATCH(M8,WORLDCUP!$AH$4:$AH$147,0))),"",INDEX(WORLDCUP!$AD$4:$AD$147,MATCH(M8,WORLDCUP!$AH$4:$AH$147,0)))</f>
        <v>5</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Mar</v>
      </c>
      <c r="AJ8" s="577">
        <f>+IF(ISBLANK(INDEX(WORLDCUP!$AD$101:$AD$147,MATCH(AH8,WORLDCUP!$Z$101:$Z$147,0))),"",INDEX(WORLDCUP!$AD$101:$AD$147,MATCH(AH8,WORLDCUP!$Z$101:$Z$147,0)))</f>
        <v>0</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0</v>
      </c>
      <c r="BI8" s="556">
        <f ca="1">COUNTIF(ADMIN!$M$130:$M$161,Fixture!BG8)-BJ8-BK8-BL8-BM8-BN8-BO8</f>
        <v>1</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6" thickBot="1" x14ac:dyDescent="0.25">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Sud</v>
      </c>
      <c r="AB9" s="520">
        <f>+IF(ISBLANK(INDEX(WORLDCUP!$AC$101:$AC$147,MATCH(Y9,WORLDCUP!$Z$101:$Z$147,0))),"",INDEX(WORLDCUP!$AC$101:$AC$147,MATCH(Y9,WORLDCUP!$Z$101:$Z$147,0)))</f>
        <v>0</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6" thickBot="1" x14ac:dyDescent="0.25">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Can</v>
      </c>
      <c r="AB10" s="546">
        <f>+IF(ISBLANK(INDEX(WORLDCUP!$AD$101:$AD$147,MATCH(Y10,WORLDCUP!$Z$101:$Z$147,0))),"",INDEX(WORLDCUP!$AD$101:$AD$147,MATCH(Y10,WORLDCUP!$Z$101:$Z$147,0)))</f>
        <v>1</v>
      </c>
      <c r="AC10" s="547" t="str">
        <f>+IF(ISBLANK(INDEX(WORLDCUP!$AE$101:$AE$147,MATCH(Y10,WORLDCUP!$Z$101:$Z$147,0))),"","( "&amp;INDEX(WORLDCUP!$AE$101:$AE$147,MATCH(Y10,WORLDCUP!$Z$101:$Z$147,0))&amp;" )")</f>
        <v/>
      </c>
      <c r="AD10" s="592">
        <v>90</v>
      </c>
      <c r="AE10" s="549" t="str">
        <f ca="1">+MID(INDEX(WORLDCUP!$AA$101:$AA$147,MATCH(AD10,WORLDCUP!$Z$101:$Z$147,0)),1,3)</f>
        <v>Can</v>
      </c>
      <c r="AF10" s="550">
        <f>+IF(ISBLANK(INDEX(WORLDCUP!$AC$101:$AC$147,MATCH(AD10,WORLDCUP!$Z$101:$Z$147,0))),"",INDEX(WORLDCUP!$AC$101:$AC$147,MATCH(AD10,WORLDCUP!$Z$101:$Z$147,0)))</f>
        <v>0</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x14ac:dyDescent="0.2">
      <c r="A11" s="19">
        <v>3</v>
      </c>
      <c r="B11" s="595" t="s">
        <v>1</v>
      </c>
      <c r="C11" s="510" t="str">
        <f ca="1">+MID(INDEX(WORLDCUP!$AA$4:$AA$147,MATCH(A11,WORLDCUP!$AH$4:$AH$147,0)),1,3)</f>
        <v>Can</v>
      </c>
      <c r="D11" s="511">
        <f>IF(ISBLANK(INDEX(WORLDCUP!$AC$4:$AC$147,MATCH(A11,WORLDCUP!$AH$4:$AH$147,0))),"",INDEX(WORLDCUP!$AC$4:$AC$147,MATCH(A11,WORLDCUP!$AH$4:$AH$147,0)))</f>
        <v>1</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0</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Mar</v>
      </c>
      <c r="AF11" s="550">
        <f>+IF(ISBLANK(INDEX(WORLDCUP!$AD$101:$AD$147,MATCH(AD11,WORLDCUP!$Z$101:$Z$147,0))),"",INDEX(WORLDCUP!$AD$101:$AD$147,MATCH(AD11,WORLDCUP!$Z$101:$Z$147,0)))</f>
        <v>3</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6" thickBot="1" x14ac:dyDescent="0.25">
      <c r="A12" s="19">
        <v>8</v>
      </c>
      <c r="B12" s="597"/>
      <c r="C12" s="537" t="str">
        <f ca="1">+MID(INDEX(WORLDCUP!$AA$4:$AA$147,MATCH(A12,WORLDCUP!$AH$4:$AH$147,0)),1,3)</f>
        <v>Cat</v>
      </c>
      <c r="D12" s="538">
        <f>IF(ISBLANK(INDEX(WORLDCUP!$AC$4:$AC$147,MATCH(A12,WORLDCUP!$AH$4:$AH$147,0))),"",INDEX(WORLDCUP!$AC$4:$AC$147,MATCH(A12,WORLDCUP!$AH$4:$AH$147,0)))</f>
        <v>1</v>
      </c>
      <c r="E12" s="538">
        <f>IF(ISBLANK(INDEX(WORLDCUP!$AD$4:$AD$147,MATCH(A12,WORLDCUP!$AH$4:$AH$147,0))),"",INDEX(WORLDCUP!$AD$4:$AD$147,MATCH(A12,WORLDCUP!$AH$4:$AH$147,0)))</f>
        <v>1</v>
      </c>
      <c r="F12" s="539" t="str">
        <f ca="1">+MID(INDEX(WORLDCUP!$AF$4:$AF$147,MATCH(A12,WORLDCUP!$AH$4:$AH$147,0)),1,3)</f>
        <v>Sui</v>
      </c>
      <c r="G12" s="540">
        <v>1</v>
      </c>
      <c r="H12" s="541" t="str">
        <f ca="1">+MID(INDEX(WORLDCUP!$AL$6:$AL$97,MATCH(L12,WORLDCUP!$AI$6:$AI$97,0)),1,3)</f>
        <v>Sui</v>
      </c>
      <c r="I12" s="542">
        <f ca="1">+INDEX(WORLDCUP!$AM$6:$AM$97,MATCH(L12,WORLDCUP!$AI$6:$AI$97,0))</f>
        <v>7</v>
      </c>
      <c r="J12" s="543">
        <f ca="1">+INDEX(WORLDCUP!$AT$6:$AT$97,MATCH(L12,WORLDCUP!$AI$6:$AI$97,0))</f>
        <v>4</v>
      </c>
      <c r="K12" s="544" t="str">
        <f ca="1">+INDEX(WORLDCUP!$AR$6:$AR$97,MATCH(L12,WORLDCUP!$AI$6:$AI$97,0))&amp;"-"&amp;INDEX(WORLDCUP!$AS$6:$AS$97,MATCH(L12,WORLDCUP!$AI$6:$AI$97,0))</f>
        <v>7-3</v>
      </c>
      <c r="L12" s="19" t="s">
        <v>648</v>
      </c>
      <c r="M12" s="19">
        <v>13</v>
      </c>
      <c r="N12" s="598"/>
      <c r="O12" s="537" t="str">
        <f ca="1">+MID(INDEX(WORLDCUP!$AA$4:$AA$147,MATCH(M12,WORLDCUP!$AH$4:$AH$147,0)),1,3)</f>
        <v>Ara</v>
      </c>
      <c r="P12" s="538">
        <f>IF(ISBLANK(INDEX(WORLDCUP!$AC$4:$AC$147,MATCH(M12,WORLDCUP!$AH$4:$AH$147,0))),"",INDEX(WORLDCUP!$AC$4:$AC$147,MATCH(M12,WORLDCUP!$AH$4:$AH$147,0)))</f>
        <v>1</v>
      </c>
      <c r="Q12" s="538">
        <f>IF(ISBLANK(INDEX(WORLDCUP!$AD$4:$AD$147,MATCH(M12,WORLDCUP!$AH$4:$AH$147,0))),"",INDEX(WORLDCUP!$AD$4:$AD$147,MATCH(M12,WORLDCUP!$AH$4:$AH$147,0)))</f>
        <v>1</v>
      </c>
      <c r="R12" s="539" t="str">
        <f ca="1">+MID(INDEX(WORLDCUP!$AF$4:$AF$147,MATCH(M12,WORLDCUP!$AH$4:$AH$147,0)),1,3)</f>
        <v>Uru</v>
      </c>
      <c r="S12" s="540">
        <v>1</v>
      </c>
      <c r="T12" s="541" t="str">
        <f ca="1">+MID(INDEX(WORLDCUP!$AL$6:$AL$97,MATCH(X12,WORLDCUP!$AI$6:$AI$97,0)),1,3)</f>
        <v>Esp</v>
      </c>
      <c r="U12" s="542">
        <f ca="1">+INDEX(WORLDCUP!$AM$6:$AM$97,MATCH(X12,WORLDCUP!$AI$6:$AI$97,0))</f>
        <v>7</v>
      </c>
      <c r="V12" s="543">
        <f ca="1">+INDEX(WORLDCUP!$AT$6:$AT$97,MATCH(X12,WORLDCUP!$AI$6:$AI$97,0))</f>
        <v>5</v>
      </c>
      <c r="W12" s="544" t="str">
        <f ca="1">+INDEX(WORLDCUP!$AR$6:$AR$97,MATCH(X12,WORLDCUP!$AI$6:$AI$97,0))&amp;"-"&amp;INDEX(WORLDCUP!$AS$6:$AS$97,MATCH(X12,WORLDCUP!$AI$6:$AI$97,0))</f>
        <v>5-0</v>
      </c>
      <c r="X12" s="19" t="s">
        <v>670</v>
      </c>
      <c r="Y12" s="19">
        <v>75</v>
      </c>
      <c r="Z12" s="518" t="s">
        <v>664</v>
      </c>
      <c r="AA12" s="519" t="str">
        <f ca="1">+MID(INDEX(WORLDCUP!$AA$101:$AA$147,MATCH(Y12,WORLDCUP!$Z$101:$Z$147,0)),1,3)</f>
        <v>Paí</v>
      </c>
      <c r="AB12" s="565">
        <f>+IF(ISBLANK(INDEX(WORLDCUP!$AC$101:$AC$147,MATCH(Y12,WORLDCUP!$Z$101:$Z$147,0))),"",INDEX(WORLDCUP!$AC$101:$AC$147,MATCH(Y12,WORLDCUP!$Z$101:$Z$147,0)))</f>
        <v>1</v>
      </c>
      <c r="AC12" s="599" t="str">
        <f>+IF(ISBLANK(INDEX(WORLDCUP!$AB$101:$AB$147,MATCH(Y12,WORLDCUP!$Z$101:$Z$147,0))),"","( "&amp;INDEX(WORLDCUP!$AB$101:$AB$147,MATCH(Y12,WORLDCUP!$Z$101:$Z$147,0))&amp;" )")</f>
        <v>( 2 )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1</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6" thickBot="1" x14ac:dyDescent="0.25">
      <c r="A13" s="19">
        <v>26</v>
      </c>
      <c r="B13" s="597"/>
      <c r="C13" s="537" t="str">
        <f ca="1">+MID(INDEX(WORLDCUP!$AA$4:$AA$147,MATCH(A13,WORLDCUP!$AH$4:$AH$147,0)),1,3)</f>
        <v>Sui</v>
      </c>
      <c r="D13" s="538">
        <f>IF(ISBLANK(INDEX(WORLDCUP!$AC$4:$AC$147,MATCH(A13,WORLDCUP!$AH$4:$AH$147,0))),"",INDEX(WORLDCUP!$AC$4:$AC$147,MATCH(A13,WORLDCUP!$AH$4:$AH$147,0)))</f>
        <v>4</v>
      </c>
      <c r="E13" s="538">
        <f>IF(ISBLANK(INDEX(WORLDCUP!$AD$4:$AD$147,MATCH(A13,WORLDCUP!$AH$4:$AH$147,0))),"",INDEX(WORLDCUP!$AD$4:$AD$147,MATCH(A13,WORLDCUP!$AH$4:$AH$147,0)))</f>
        <v>1</v>
      </c>
      <c r="F13" s="539" t="str">
        <f ca="1">+MID(INDEX(WORLDCUP!$AF$4:$AF$147,MATCH(A13,WORLDCUP!$AH$4:$AH$147,0)),1,3)</f>
        <v>Bos</v>
      </c>
      <c r="G13" s="560">
        <v>2</v>
      </c>
      <c r="H13" s="561" t="str">
        <f ca="1">+MID(INDEX(WORLDCUP!$AL$6:$AL$97,MATCH(L13,WORLDCUP!$AI$6:$AI$97,0)),1,3)</f>
        <v>Can</v>
      </c>
      <c r="I13" s="229">
        <f ca="1">+INDEX(WORLDCUP!$AM$6:$AM$97,MATCH(L13,WORLDCUP!$AI$6:$AI$97,0))</f>
        <v>4</v>
      </c>
      <c r="J13" s="230">
        <f ca="1">+INDEX(WORLDCUP!$AT$6:$AT$97,MATCH(L13,WORLDCUP!$AI$6:$AI$97,0))</f>
        <v>5</v>
      </c>
      <c r="K13" s="231" t="str">
        <f ca="1">+INDEX(WORLDCUP!$AR$6:$AR$97,MATCH(L13,WORLDCUP!$AI$6:$AI$97,0))&amp;"-"&amp;INDEX(WORLDCUP!$AS$6:$AS$97,MATCH(L13,WORLDCUP!$AI$6:$AI$97,0))</f>
        <v>8-3</v>
      </c>
      <c r="L13" s="19" t="s">
        <v>649</v>
      </c>
      <c r="M13" s="19">
        <v>38</v>
      </c>
      <c r="N13" s="598"/>
      <c r="O13" s="537" t="str">
        <f ca="1">+MID(INDEX(WORLDCUP!$AA$4:$AA$147,MATCH(M13,WORLDCUP!$AH$4:$AH$147,0)),1,3)</f>
        <v>Esp</v>
      </c>
      <c r="P13" s="538">
        <f>IF(ISBLANK(INDEX(WORLDCUP!$AC$4:$AC$147,MATCH(M13,WORLDCUP!$AH$4:$AH$147,0))),"",INDEX(WORLDCUP!$AC$4:$AC$147,MATCH(M13,WORLDCUP!$AH$4:$AH$147,0)))</f>
        <v>4</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Cab</v>
      </c>
      <c r="U13" s="229">
        <f ca="1">+INDEX(WORLDCUP!$AM$6:$AM$97,MATCH(X13,WORLDCUP!$AI$6:$AI$97,0))</f>
        <v>3</v>
      </c>
      <c r="V13" s="230">
        <f ca="1">+INDEX(WORLDCUP!$AT$6:$AT$97,MATCH(X13,WORLDCUP!$AI$6:$AI$97,0))</f>
        <v>0</v>
      </c>
      <c r="W13" s="231" t="str">
        <f ca="1">+INDEX(WORLDCUP!$AR$6:$AR$97,MATCH(X13,WORLDCUP!$AI$6:$AI$97,0))&amp;"-"&amp;INDEX(WORLDCUP!$AS$6:$AS$97,MATCH(X13,WORLDCUP!$AI$6:$AI$97,0))</f>
        <v>2-2</v>
      </c>
      <c r="X13" s="19" t="s">
        <v>671</v>
      </c>
      <c r="Y13" s="19">
        <v>75</v>
      </c>
      <c r="Z13" s="518" t="s">
        <v>656</v>
      </c>
      <c r="AA13" s="573" t="str">
        <f ca="1">+MID(INDEX(WORLDCUP!$AF$101:$AF$147,MATCH(Y13,WORLDCUP!$Z$101:$Z$147,0)),1,3)</f>
        <v>Mar</v>
      </c>
      <c r="AB13" s="574">
        <f>+IF(ISBLANK(INDEX(WORLDCUP!$AD$101:$AD$147,MATCH(Y13,WORLDCUP!$Z$101:$Z$147,0))),"",INDEX(WORLDCUP!$AD$101:$AD$147,MATCH(Y13,WORLDCUP!$Z$101:$Z$147,0)))</f>
        <v>1</v>
      </c>
      <c r="AC13" s="600" t="str">
        <f>+IF(ISBLANK(INDEX(WORLDCUP!$AE$101:$AE$147,MATCH(Y13,WORLDCUP!$Z$101:$Z$147,0))),"","( "&amp;INDEX(WORLDCUP!$AE$101:$AE$147,MATCH(Y13,WORLDCUP!$Z$101:$Z$147,0))&amp;" )")</f>
        <v>( 3 )</v>
      </c>
      <c r="AD13" s="19"/>
      <c r="AE13" s="522"/>
      <c r="AF13" s="522"/>
      <c r="AG13" s="522"/>
      <c r="AH13" s="19"/>
      <c r="AI13" s="552"/>
      <c r="AJ13" s="552"/>
      <c r="AK13" s="591"/>
      <c r="AL13" s="592">
        <v>101</v>
      </c>
      <c r="AM13" s="601" t="str">
        <f ca="1">+MID(INDEX(WORLDCUP!$AA$101:$AA$147,MATCH(AL13,WORLDCUP!$Z$101:$Z$147,0)),1,3)</f>
        <v>Fra</v>
      </c>
      <c r="AN13" s="602">
        <f>+IF(ISBLANK(INDEX(WORLDCUP!$AC$101:$AC$147,MATCH(AL13,WORLDCUP!$Z$101:$Z$147,0))),"",INDEX(WORLDCUP!$AC$101:$AC$147,MATCH(AL13,WORLDCUP!$Z$101:$Z$147,0)))</f>
        <v>1</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0</v>
      </c>
      <c r="BI13" s="556">
        <f ca="1">COUNTIF(ADMIN!$M$130:$M$161,Fixture!BG13)-BJ13-BK13-BL13-BM13-BN13-BO13</f>
        <v>1</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x14ac:dyDescent="0.2">
      <c r="A14" s="19">
        <v>27</v>
      </c>
      <c r="B14" s="597"/>
      <c r="C14" s="537" t="str">
        <f ca="1">+MID(INDEX(WORLDCUP!$AA$4:$AA$147,MATCH(A14,WORLDCUP!$AH$4:$AH$147,0)),1,3)</f>
        <v>Can</v>
      </c>
      <c r="D14" s="538">
        <f>IF(ISBLANK(INDEX(WORLDCUP!$AC$4:$AC$147,MATCH(A14,WORLDCUP!$AH$4:$AH$147,0))),"",INDEX(WORLDCUP!$AC$4:$AC$147,MATCH(A14,WORLDCUP!$AH$4:$AH$147,0)))</f>
        <v>6</v>
      </c>
      <c r="E14" s="538">
        <f>IF(ISBLANK(INDEX(WORLDCUP!$AD$4:$AD$147,MATCH(A14,WORLDCUP!$AH$4:$AH$147,0))),"",INDEX(WORLDCUP!$AD$4:$AD$147,MATCH(A14,WORLDCUP!$AH$4:$AH$147,0)))</f>
        <v>0</v>
      </c>
      <c r="F14" s="539" t="str">
        <f ca="1">+MID(INDEX(WORLDCUP!$AF$4:$AF$147,MATCH(A14,WORLDCUP!$AH$4:$AH$147,0)),1,3)</f>
        <v>Cat</v>
      </c>
      <c r="G14" s="560">
        <v>3</v>
      </c>
      <c r="H14" s="561" t="str">
        <f ca="1">+MID(INDEX(WORLDCUP!$AL$6:$AL$97,MATCH(L14,WORLDCUP!$AI$6:$AI$97,0)),1,3)</f>
        <v>Bos</v>
      </c>
      <c r="I14" s="229">
        <f ca="1">+INDEX(WORLDCUP!$AM$6:$AM$97,MATCH(L14,WORLDCUP!$AI$6:$AI$97,0))</f>
        <v>4</v>
      </c>
      <c r="J14" s="230">
        <f ca="1">+INDEX(WORLDCUP!$AT$6:$AT$97,MATCH(L14,WORLDCUP!$AI$6:$AI$97,0))</f>
        <v>-1</v>
      </c>
      <c r="K14" s="231" t="str">
        <f ca="1">+INDEX(WORLDCUP!$AR$6:$AR$97,MATCH(L14,WORLDCUP!$AI$6:$AI$97,0))&amp;"-"&amp;INDEX(WORLDCUP!$AS$6:$AS$97,MATCH(L14,WORLDCUP!$AI$6:$AI$97,0))</f>
        <v>5-6</v>
      </c>
      <c r="L14" s="19" t="s">
        <v>90</v>
      </c>
      <c r="M14" s="19">
        <v>37</v>
      </c>
      <c r="N14" s="598"/>
      <c r="O14" s="537" t="str">
        <f ca="1">+MID(INDEX(WORLDCUP!$AA$4:$AA$147,MATCH(M14,WORLDCUP!$AH$4:$AH$147,0)),1,3)</f>
        <v>Uru</v>
      </c>
      <c r="P14" s="538">
        <f>IF(ISBLANK(INDEX(WORLDCUP!$AC$4:$AC$147,MATCH(M14,WORLDCUP!$AH$4:$AH$147,0))),"",INDEX(WORLDCUP!$AC$4:$AC$147,MATCH(M14,WORLDCUP!$AH$4:$AH$147,0)))</f>
        <v>2</v>
      </c>
      <c r="Q14" s="538">
        <f>IF(ISBLANK(INDEX(WORLDCUP!$AD$4:$AD$147,MATCH(M14,WORLDCUP!$AH$4:$AH$147,0))),"",INDEX(WORLDCUP!$AD$4:$AD$147,MATCH(M14,WORLDCUP!$AH$4:$AH$147,0)))</f>
        <v>2</v>
      </c>
      <c r="R14" s="539" t="str">
        <f ca="1">+MID(INDEX(WORLDCUP!$AF$4:$AF$147,MATCH(M14,WORLDCUP!$AH$4:$AH$147,0)),1,3)</f>
        <v>Cab</v>
      </c>
      <c r="S14" s="560">
        <v>3</v>
      </c>
      <c r="T14" s="561" t="str">
        <f ca="1">+MID(INDEX(WORLDCUP!$AL$6:$AL$97,MATCH(X14,WORLDCUP!$AI$6:$AI$97,0)),1,3)</f>
        <v>Uru</v>
      </c>
      <c r="U14" s="229">
        <f ca="1">+INDEX(WORLDCUP!$AM$6:$AM$97,MATCH(X14,WORLDCUP!$AI$6:$AI$97,0))</f>
        <v>2</v>
      </c>
      <c r="V14" s="230">
        <f ca="1">+INDEX(WORLDCUP!$AT$6:$AT$97,MATCH(X14,WORLDCUP!$AI$6:$AI$97,0))</f>
        <v>-1</v>
      </c>
      <c r="W14" s="231" t="str">
        <f ca="1">+INDEX(WORLDCUP!$AR$6:$AR$97,MATCH(X14,WORLDCUP!$AI$6:$AI$97,0))&amp;"-"&amp;INDEX(WORLDCUP!$AS$6:$AS$97,MATCH(X14,WORLDCUP!$AI$6:$AI$97,0))</f>
        <v>3-4</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2</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0</v>
      </c>
      <c r="BJ14" s="557">
        <f ca="1">COUNTIF(ADMIN!$M$182:$M$197,Fixture!BG14)-BK14-BL14-BM14-BN14-BO14</f>
        <v>1</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6" thickBot="1" x14ac:dyDescent="0.25">
      <c r="A15" s="19">
        <v>51</v>
      </c>
      <c r="B15" s="597"/>
      <c r="C15" s="537" t="str">
        <f ca="1">+MID(INDEX(WORLDCUP!$AA$4:$AA$147,MATCH(A15,WORLDCUP!$AH$4:$AH$147,0)),1,3)</f>
        <v>Sui</v>
      </c>
      <c r="D15" s="538">
        <f>IF(ISBLANK(INDEX(WORLDCUP!$AC$4:$AC$147,MATCH(A15,WORLDCUP!$AH$4:$AH$147,0))),"",INDEX(WORLDCUP!$AC$4:$AC$147,MATCH(A15,WORLDCUP!$AH$4:$AH$147,0)))</f>
        <v>2</v>
      </c>
      <c r="E15" s="538">
        <f>IF(ISBLANK(INDEX(WORLDCUP!$AD$4:$AD$147,MATCH(A15,WORLDCUP!$AH$4:$AH$147,0))),"",INDEX(WORLDCUP!$AD$4:$AD$147,MATCH(A15,WORLDCUP!$AH$4:$AH$147,0)))</f>
        <v>1</v>
      </c>
      <c r="F15" s="539" t="str">
        <f ca="1">+MID(INDEX(WORLDCUP!$AF$4:$AF$147,MATCH(A15,WORLDCUP!$AH$4:$AH$147,0)),1,3)</f>
        <v>Can</v>
      </c>
      <c r="G15" s="560">
        <v>4</v>
      </c>
      <c r="H15" s="569" t="str">
        <f ca="1">+MID(INDEX(WORLDCUP!$AL$6:$AL$97,MATCH(L15,WORLDCUP!$AI$6:$AI$97,0)),1,3)</f>
        <v>Cat</v>
      </c>
      <c r="I15" s="570">
        <f ca="1">+INDEX(WORLDCUP!$AM$6:$AM$97,MATCH(L15,WORLDCUP!$AI$6:$AI$97,0))</f>
        <v>1</v>
      </c>
      <c r="J15" s="571">
        <f ca="1">+INDEX(WORLDCUP!$AT$6:$AT$97,MATCH(L15,WORLDCUP!$AI$6:$AI$97,0))</f>
        <v>-8</v>
      </c>
      <c r="K15" s="572" t="str">
        <f ca="1">+INDEX(WORLDCUP!$AR$6:$AR$97,MATCH(L15,WORLDCUP!$AI$6:$AI$97,0))&amp;"-"&amp;INDEX(WORLDCUP!$AS$6:$AS$97,MATCH(L15,WORLDCUP!$AI$6:$AI$97,0))</f>
        <v>2-10</v>
      </c>
      <c r="L15" s="19" t="s">
        <v>650</v>
      </c>
      <c r="M15" s="19">
        <v>65</v>
      </c>
      <c r="N15" s="598"/>
      <c r="O15" s="537" t="str">
        <f ca="1">+MID(INDEX(WORLDCUP!$AA$4:$AA$147,MATCH(M15,WORLDCUP!$AH$4:$AH$147,0)),1,3)</f>
        <v>Cab</v>
      </c>
      <c r="P15" s="538">
        <f>IF(ISBLANK(INDEX(WORLDCUP!$AC$4:$AC$147,MATCH(M15,WORLDCUP!$AH$4:$AH$147,0))),"",INDEX(WORLDCUP!$AC$4:$AC$147,MATCH(M15,WORLDCUP!$AH$4:$AH$147,0)))</f>
        <v>0</v>
      </c>
      <c r="Q15" s="538">
        <f>IF(ISBLANK(INDEX(WORLDCUP!$AD$4:$AD$147,MATCH(M15,WORLDCUP!$AH$4:$AH$147,0))),"",INDEX(WORLDCUP!$AD$4:$AD$147,MATCH(M15,WORLDCUP!$AH$4:$AH$147,0)))</f>
        <v>0</v>
      </c>
      <c r="R15" s="539" t="str">
        <f ca="1">+MID(INDEX(WORLDCUP!$AF$4:$AF$147,MATCH(M15,WORLDCUP!$AH$4:$AH$147,0)),1,3)</f>
        <v>Ara</v>
      </c>
      <c r="S15" s="560">
        <v>4</v>
      </c>
      <c r="T15" s="569" t="str">
        <f ca="1">+MID(INDEX(WORLDCUP!$AL$6:$AL$97,MATCH(X15,WORLDCUP!$AI$6:$AI$97,0)),1,3)</f>
        <v>Ara</v>
      </c>
      <c r="U15" s="570">
        <f ca="1">+INDEX(WORLDCUP!$AM$6:$AM$97,MATCH(X15,WORLDCUP!$AI$6:$AI$97,0))</f>
        <v>2</v>
      </c>
      <c r="V15" s="571">
        <f ca="1">+INDEX(WORLDCUP!$AT$6:$AT$97,MATCH(X15,WORLDCUP!$AI$6:$AI$97,0))</f>
        <v>-4</v>
      </c>
      <c r="W15" s="572" t="str">
        <f ca="1">+INDEX(WORLDCUP!$AR$6:$AR$97,MATCH(X15,WORLDCUP!$AI$6:$AI$97,0))&amp;"-"&amp;INDEX(WORLDCUP!$AS$6:$AS$97,MATCH(X15,WORLDCUP!$AI$6:$AI$97,0))</f>
        <v>1-5</v>
      </c>
      <c r="X15" s="19" t="s">
        <v>672</v>
      </c>
      <c r="Y15" s="19">
        <v>83</v>
      </c>
      <c r="Z15" s="518" t="s">
        <v>680</v>
      </c>
      <c r="AA15" s="519" t="str">
        <f ca="1">+MID(INDEX(WORLDCUP!$AA$101:$AA$147,MATCH(Y15,WORLDCUP!$Z$101:$Z$147,0)),1,3)</f>
        <v>Por</v>
      </c>
      <c r="AB15" s="520">
        <f>+IF(ISBLANK(INDEX(WORLDCUP!$AC$101:$AC$147,MATCH(Y15,WORLDCUP!$Z$101:$Z$147,0))),"",INDEX(WORLDCUP!$AC$101:$AC$147,MATCH(Y15,WORLDCUP!$Z$101:$Z$147,0)))</f>
        <v>2</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6" thickBot="1" x14ac:dyDescent="0.25">
      <c r="A16" s="19">
        <v>52</v>
      </c>
      <c r="B16" s="606"/>
      <c r="C16" s="580" t="str">
        <f ca="1">+MID(INDEX(WORLDCUP!$AA$4:$AA$147,MATCH(A16,WORLDCUP!$AH$4:$AH$147,0)),1,3)</f>
        <v>Bos</v>
      </c>
      <c r="D16" s="581">
        <f>IF(ISBLANK(INDEX(WORLDCUP!$AC$4:$AC$147,MATCH(A16,WORLDCUP!$AH$4:$AH$147,0))),"",INDEX(WORLDCUP!$AC$4:$AC$147,MATCH(A16,WORLDCUP!$AH$4:$AH$147,0)))</f>
        <v>3</v>
      </c>
      <c r="E16" s="581">
        <f>IF(ISBLANK(INDEX(WORLDCUP!$AD$4:$AD$147,MATCH(A16,WORLDCUP!$AH$4:$AH$147,0))),"",INDEX(WORLDCUP!$AD$4:$AD$147,MATCH(A16,WORLDCUP!$AH$4:$AH$147,0)))</f>
        <v>1</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0</v>
      </c>
      <c r="Q16" s="581">
        <f>IF(ISBLANK(INDEX(WORLDCUP!$AD$4:$AD$147,MATCH(M16,WORLDCUP!$AH$4:$AH$147,0))),"",INDEX(WORLDCUP!$AD$4:$AD$147,MATCH(M16,WORLDCUP!$AH$4:$AH$147,0)))</f>
        <v>1</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1</v>
      </c>
      <c r="AC16" s="547" t="str">
        <f>+IF(ISBLANK(INDEX(WORLDCUP!$AE$101:$AE$147,MATCH(Y16,WORLDCUP!$Z$101:$Z$147,0))),"","( "&amp;INDEX(WORLDCUP!$AE$101:$AE$147,MATCH(Y16,WORLDCUP!$Z$101:$Z$147,0))&amp;" )")</f>
        <v/>
      </c>
      <c r="AD16" s="548">
        <v>93</v>
      </c>
      <c r="AE16" s="549" t="str">
        <f ca="1">+MID(INDEX(WORLDCUP!$AA$101:$AA$147,MATCH(AD16,WORLDCUP!$Z$101:$Z$147,0)),1,3)</f>
        <v>Por</v>
      </c>
      <c r="AF16" s="550">
        <f>+IF(ISBLANK(INDEX(WORLDCUP!$AC$101:$AC$147,MATCH(AD16,WORLDCUP!$Z$101:$Z$147,0))),"",INDEX(WORLDCUP!$AC$101:$AC$147,MATCH(AD16,WORLDCUP!$Z$101:$Z$147,0)))</f>
        <v>0</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0</v>
      </c>
      <c r="BJ16" s="557">
        <f ca="1">COUNTIF(ADMIN!$M$182:$M$197,Fixture!BG16)-BK16-BL16-BM16-BN16-BO16</f>
        <v>1</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x14ac:dyDescent="0.2">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1</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1</v>
      </c>
      <c r="BI17" s="556">
        <f ca="1">COUNTIF(ADMIN!$M$130:$M$161,Fixture!BG17)-BJ17-BK17-BL17-BM17-BN17-BO17</f>
        <v>0</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6" thickBot="1" x14ac:dyDescent="0.25">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3</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6" thickBot="1" x14ac:dyDescent="0.25">
      <c r="A19" s="19">
        <v>7</v>
      </c>
      <c r="B19" s="611" t="s">
        <v>2</v>
      </c>
      <c r="C19" s="510" t="str">
        <f ca="1">+MID(INDEX(WORLDCUP!$AA$4:$AA$147,MATCH(A19,WORLDCUP!$AH$4:$AH$147,0)),1,3)</f>
        <v>Bra</v>
      </c>
      <c r="D19" s="511">
        <f>IF(ISBLANK(INDEX(WORLDCUP!$AC$4:$AC$147,MATCH(A19,WORLDCUP!$AH$4:$AH$147,0))),"",INDEX(WORLDCUP!$AC$4:$AC$147,MATCH(A19,WORLDCUP!$AH$4:$AH$147,0)))</f>
        <v>1</v>
      </c>
      <c r="E19" s="511">
        <f>IF(ISBLANK(INDEX(WORLDCUP!$AD$4:$AD$147,MATCH(A19,WORLDCUP!$AH$4:$AH$147,0))),"",INDEX(WORLDCUP!$AD$4:$AD$147,MATCH(A19,WORLDCUP!$AH$4:$AH$147,0)))</f>
        <v>1</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3</v>
      </c>
      <c r="Q19" s="511">
        <f>IF(ISBLANK(INDEX(WORLDCUP!$AD$4:$AD$147,MATCH(M19,WORLDCUP!$AH$4:$AH$147,0))),"",INDEX(WORLDCUP!$AD$4:$AD$147,MATCH(M19,WORLDCUP!$AH$4:$AH$147,0)))</f>
        <v>1</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0</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2</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1</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x14ac:dyDescent="0.2">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1</v>
      </c>
      <c r="F20" s="539" t="str">
        <f ca="1">+MID(INDEX(WORLDCUP!$AF$4:$AF$147,MATCH(A20,WORLDCUP!$AH$4:$AH$147,0)),1,3)</f>
        <v>Esc</v>
      </c>
      <c r="G20" s="540">
        <v>1</v>
      </c>
      <c r="H20" s="541" t="str">
        <f ca="1">+MID(INDEX(WORLDCUP!$AL$6:$AL$97,MATCH(L20,WORLDCUP!$AI$6:$AI$97,0)),1,3)</f>
        <v>Bra</v>
      </c>
      <c r="I20" s="542">
        <f ca="1">+INDEX(WORLDCUP!$AM$6:$AM$97,MATCH(L20,WORLDCUP!$AI$6:$AI$97,0))</f>
        <v>7</v>
      </c>
      <c r="J20" s="543">
        <f ca="1">+INDEX(WORLDCUP!$AT$6:$AT$97,MATCH(L20,WORLDCUP!$AI$6:$AI$97,0))</f>
        <v>6</v>
      </c>
      <c r="K20" s="544" t="str">
        <f ca="1">+INDEX(WORLDCUP!$AR$6:$AR$97,MATCH(L20,WORLDCUP!$AI$6:$AI$97,0))&amp;"-"&amp;INDEX(WORLDCUP!$AS$6:$AS$97,MATCH(L20,WORLDCUP!$AI$6:$AI$97,0))</f>
        <v>7-1</v>
      </c>
      <c r="L20" s="19" t="s">
        <v>651</v>
      </c>
      <c r="M20" s="19">
        <v>18</v>
      </c>
      <c r="N20" s="615"/>
      <c r="O20" s="537" t="str">
        <f ca="1">+MID(INDEX(WORLDCUP!$AA$4:$AA$147,MATCH(M20,WORLDCUP!$AH$4:$AH$147,0)),1,3)</f>
        <v>Ira</v>
      </c>
      <c r="P20" s="538">
        <f>IF(ISBLANK(INDEX(WORLDCUP!$AC$4:$AC$147,MATCH(M20,WORLDCUP!$AH$4:$AH$147,0))),"",INDEX(WORLDCUP!$AC$4:$AC$147,MATCH(M20,WORLDCUP!$AH$4:$AH$147,0)))</f>
        <v>1</v>
      </c>
      <c r="Q20" s="538">
        <f>IF(ISBLANK(INDEX(WORLDCUP!$AD$4:$AD$147,MATCH(M20,WORLDCUP!$AH$4:$AH$147,0))),"",INDEX(WORLDCUP!$AD$4:$AD$147,MATCH(M20,WORLDCUP!$AH$4:$AH$147,0)))</f>
        <v>4</v>
      </c>
      <c r="R20" s="539" t="str">
        <f ca="1">+MID(INDEX(WORLDCUP!$AF$4:$AF$147,MATCH(M20,WORLDCUP!$AH$4:$AH$147,0)),1,3)</f>
        <v>Nor</v>
      </c>
      <c r="S20" s="540">
        <v>1</v>
      </c>
      <c r="T20" s="541" t="str">
        <f ca="1">+MID(INDEX(WORLDCUP!$AL$6:$AL$97,MATCH(X20,WORLDCUP!$AI$6:$AI$97,0)),1,3)</f>
        <v>Fra</v>
      </c>
      <c r="U20" s="542">
        <f ca="1">+INDEX(WORLDCUP!$AM$6:$AM$97,MATCH(X20,WORLDCUP!$AI$6:$AI$97,0))</f>
        <v>9</v>
      </c>
      <c r="V20" s="543">
        <f ca="1">+INDEX(WORLDCUP!$AT$6:$AT$97,MATCH(X20,WORLDCUP!$AI$6:$AI$97,0))</f>
        <v>8</v>
      </c>
      <c r="W20" s="544" t="str">
        <f ca="1">+INDEX(WORLDCUP!$AR$6:$AR$97,MATCH(X20,WORLDCUP!$AI$6:$AI$97,0))&amp;"-"&amp;INDEX(WORLDCUP!$AS$6:$AS$97,MATCH(X20,WORLDCUP!$AI$6:$AI$97,0))</f>
        <v>10-2</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1</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6" thickBot="1" x14ac:dyDescent="0.25">
      <c r="A21" s="19">
        <v>30</v>
      </c>
      <c r="B21" s="614"/>
      <c r="C21" s="537" t="str">
        <f ca="1">+MID(INDEX(WORLDCUP!$AA$4:$AA$147,MATCH(A21,WORLDCUP!$AH$4:$AH$147,0)),1,3)</f>
        <v>Esc</v>
      </c>
      <c r="D21" s="538">
        <f>IF(ISBLANK(INDEX(WORLDCUP!$AC$4:$AC$147,MATCH(A21,WORLDCUP!$AH$4:$AH$147,0))),"",INDEX(WORLDCUP!$AC$4:$AC$147,MATCH(A21,WORLDCUP!$AH$4:$AH$147,0)))</f>
        <v>0</v>
      </c>
      <c r="E21" s="538">
        <f>IF(ISBLANK(INDEX(WORLDCUP!$AD$4:$AD$147,MATCH(A21,WORLDCUP!$AH$4:$AH$147,0))),"",INDEX(WORLDCUP!$AD$4:$AD$147,MATCH(A21,WORLDCUP!$AH$4:$AH$147,0)))</f>
        <v>1</v>
      </c>
      <c r="F21" s="539" t="str">
        <f ca="1">+MID(INDEX(WORLDCUP!$AF$4:$AF$147,MATCH(A21,WORLDCUP!$AH$4:$AH$147,0)),1,3)</f>
        <v>Mar</v>
      </c>
      <c r="G21" s="560">
        <v>2</v>
      </c>
      <c r="H21" s="561" t="str">
        <f ca="1">+MID(INDEX(WORLDCUP!$AL$6:$AL$97,MATCH(L21,WORLDCUP!$AI$6:$AI$97,0)),1,3)</f>
        <v>Mar</v>
      </c>
      <c r="I21" s="229">
        <f ca="1">+INDEX(WORLDCUP!$AM$6:$AM$97,MATCH(L21,WORLDCUP!$AI$6:$AI$97,0))</f>
        <v>7</v>
      </c>
      <c r="J21" s="230">
        <f ca="1">+INDEX(WORLDCUP!$AT$6:$AT$97,MATCH(L21,WORLDCUP!$AI$6:$AI$97,0))</f>
        <v>3</v>
      </c>
      <c r="K21" s="231" t="str">
        <f ca="1">+INDEX(WORLDCUP!$AR$6:$AR$97,MATCH(L21,WORLDCUP!$AI$6:$AI$97,0))&amp;"-"&amp;INDEX(WORLDCUP!$AS$6:$AS$97,MATCH(L21,WORLDCUP!$AI$6:$AI$97,0))</f>
        <v>6-3</v>
      </c>
      <c r="L21" s="19" t="s">
        <v>656</v>
      </c>
      <c r="M21" s="19">
        <v>42</v>
      </c>
      <c r="N21" s="615"/>
      <c r="O21" s="537" t="str">
        <f ca="1">+MID(INDEX(WORLDCUP!$AA$4:$AA$147,MATCH(M21,WORLDCUP!$AH$4:$AH$147,0)),1,3)</f>
        <v>Fra</v>
      </c>
      <c r="P21" s="538">
        <f>IF(ISBLANK(INDEX(WORLDCUP!$AC$4:$AC$147,MATCH(M21,WORLDCUP!$AH$4:$AH$147,0))),"",INDEX(WORLDCUP!$AC$4:$AC$147,MATCH(M21,WORLDCUP!$AH$4:$AH$147,0)))</f>
        <v>3</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Nor</v>
      </c>
      <c r="U21" s="229">
        <f ca="1">+INDEX(WORLDCUP!$AM$6:$AM$97,MATCH(X21,WORLDCUP!$AI$6:$AI$97,0))</f>
        <v>6</v>
      </c>
      <c r="V21" s="230">
        <f ca="1">+INDEX(WORLDCUP!$AT$6:$AT$97,MATCH(X21,WORLDCUP!$AI$6:$AI$97,0))</f>
        <v>1</v>
      </c>
      <c r="W21" s="231" t="str">
        <f ca="1">+INDEX(WORLDCUP!$AR$6:$AR$97,MATCH(X21,WORLDCUP!$AI$6:$AI$97,0))&amp;"-"&amp;INDEX(WORLDCUP!$AS$6:$AS$97,MATCH(X21,WORLDCUP!$AI$6:$AI$97,0))</f>
        <v>8-7</v>
      </c>
      <c r="X21" s="19" t="s">
        <v>674</v>
      </c>
      <c r="Y21" s="19">
        <v>81</v>
      </c>
      <c r="Z21" s="518" t="s">
        <v>658</v>
      </c>
      <c r="AA21" s="519" t="str">
        <f ca="1">+MID(INDEX(WORLDCUP!$AA$101:$AA$147,MATCH(Y21,WORLDCUP!$Z$101:$Z$147,0)),1,3)</f>
        <v>Est</v>
      </c>
      <c r="AB21" s="520">
        <f>+IF(ISBLANK(INDEX(WORLDCUP!$AC$101:$AC$147,MATCH(Y21,WORLDCUP!$Z$101:$Z$147,0))),"",INDEX(WORLDCUP!$AC$101:$AC$147,MATCH(Y21,WORLDCUP!$Z$101:$Z$147,0)))</f>
        <v>2</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España</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6" thickBot="1" x14ac:dyDescent="0.25">
      <c r="A22" s="19">
        <v>29</v>
      </c>
      <c r="B22" s="614"/>
      <c r="C22" s="537" t="str">
        <f ca="1">+MID(INDEX(WORLDCUP!$AA$4:$AA$147,MATCH(A22,WORLDCUP!$AH$4:$AH$147,0)),1,3)</f>
        <v>Bra</v>
      </c>
      <c r="D22" s="538">
        <f>IF(ISBLANK(INDEX(WORLDCUP!$AC$4:$AC$147,MATCH(A22,WORLDCUP!$AH$4:$AH$147,0))),"",INDEX(WORLDCUP!$AC$4:$AC$147,MATCH(A22,WORLDCUP!$AH$4:$AH$147,0)))</f>
        <v>3</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-3</v>
      </c>
      <c r="K22" s="231" t="str">
        <f ca="1">+INDEX(WORLDCUP!$AR$6:$AR$97,MATCH(L22,WORLDCUP!$AI$6:$AI$97,0))&amp;"-"&amp;INDEX(WORLDCUP!$AS$6:$AS$97,MATCH(L22,WORLDCUP!$AI$6:$AI$97,0))</f>
        <v>1-4</v>
      </c>
      <c r="L22" s="19" t="s">
        <v>91</v>
      </c>
      <c r="M22" s="19">
        <v>41</v>
      </c>
      <c r="N22" s="615"/>
      <c r="O22" s="537" t="str">
        <f ca="1">+MID(INDEX(WORLDCUP!$AA$4:$AA$147,MATCH(M22,WORLDCUP!$AH$4:$AH$147,0)),1,3)</f>
        <v>Nor</v>
      </c>
      <c r="P22" s="538">
        <f>IF(ISBLANK(INDEX(WORLDCUP!$AC$4:$AC$147,MATCH(M22,WORLDCUP!$AH$4:$AH$147,0))),"",INDEX(WORLDCUP!$AC$4:$AC$147,MATCH(M22,WORLDCUP!$AH$4:$AH$147,0)))</f>
        <v>3</v>
      </c>
      <c r="Q22" s="538">
        <f>IF(ISBLANK(INDEX(WORLDCUP!$AD$4:$AD$147,MATCH(M22,WORLDCUP!$AH$4:$AH$147,0))),"",INDEX(WORLDCUP!$AD$4:$AD$147,MATCH(M22,WORLDCUP!$AH$4:$AH$147,0)))</f>
        <v>2</v>
      </c>
      <c r="R22" s="539" t="str">
        <f ca="1">+MID(INDEX(WORLDCUP!$AF$4:$AF$147,MATCH(M22,WORLDCUP!$AH$4:$AH$147,0)),1,3)</f>
        <v>Sen</v>
      </c>
      <c r="S22" s="560">
        <v>3</v>
      </c>
      <c r="T22" s="561" t="str">
        <f ca="1">+MID(INDEX(WORLDCUP!$AL$6:$AL$97,MATCH(X22,WORLDCUP!$AI$6:$AI$97,0)),1,3)</f>
        <v>Sen</v>
      </c>
      <c r="U22" s="229">
        <f ca="1">+INDEX(WORLDCUP!$AM$6:$AM$97,MATCH(X22,WORLDCUP!$AI$6:$AI$97,0))</f>
        <v>3</v>
      </c>
      <c r="V22" s="230">
        <f ca="1">+INDEX(WORLDCUP!$AT$6:$AT$97,MATCH(X22,WORLDCUP!$AI$6:$AI$97,0))</f>
        <v>2</v>
      </c>
      <c r="W22" s="231" t="str">
        <f ca="1">+INDEX(WORLDCUP!$AR$6:$AR$97,MATCH(X22,WORLDCUP!$AI$6:$AI$97,0))&amp;"-"&amp;INDEX(WORLDCUP!$AS$6:$AS$97,MATCH(X22,WORLDCUP!$AI$6:$AI$97,0))</f>
        <v>8-6</v>
      </c>
      <c r="X22" s="19" t="s">
        <v>440</v>
      </c>
      <c r="Y22" s="19">
        <v>81</v>
      </c>
      <c r="Z22" s="518" t="s">
        <v>726</v>
      </c>
      <c r="AA22" s="519" t="str">
        <f ca="1">+MID(INDEX(WORLDCUP!$AF$101:$AF$147,MATCH(Y22,WORLDCUP!$Z$101:$Z$147,0)),1,IF(WORLDCUP!$H$113&lt;144,6,3))</f>
        <v>Bos</v>
      </c>
      <c r="AB22" s="546">
        <f>+IF(ISBLANK(INDEX(WORLDCUP!$AD$101:$AD$147,MATCH(Y22,WORLDCUP!$Z$101:$Z$147,0))),"",INDEX(WORLDCUP!$AD$101:$AD$147,MATCH(Y22,WORLDCUP!$Z$101:$Z$147,0)))</f>
        <v>0</v>
      </c>
      <c r="AC22" s="547" t="str">
        <f>+IF(ISBLANK(INDEX(WORLDCUP!$AE$101:$AE$147,MATCH(Y22,WORLDCUP!$Z$101:$Z$147,0))),"","( "&amp;INDEX(WORLDCUP!$AE$101:$AE$147,MATCH(Y22,WORLDCUP!$Z$101:$Z$147,0))&amp;" )")</f>
        <v/>
      </c>
      <c r="AD22" s="548">
        <v>94</v>
      </c>
      <c r="AE22" s="549" t="str">
        <f ca="1">+MID(INDEX(WORLDCUP!$AA$101:$AA$147,MATCH(AD22,WORLDCUP!$Z$101:$Z$147,0)),1,3)</f>
        <v>Est</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0</v>
      </c>
      <c r="BJ22" s="557">
        <f ca="1">COUNTIF(ADMIN!$M$182:$M$197,Fixture!BG22)-BK22-BL22-BM22-BN22-BO22</f>
        <v>1</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x14ac:dyDescent="0.2">
      <c r="A23" s="19">
        <v>49</v>
      </c>
      <c r="B23" s="614"/>
      <c r="C23" s="537" t="str">
        <f ca="1">+MID(INDEX(WORLDCUP!$AA$4:$AA$147,MATCH(A23,WORLDCUP!$AH$4:$AH$147,0)),1,3)</f>
        <v>Esc</v>
      </c>
      <c r="D23" s="538">
        <f>IF(ISBLANK(INDEX(WORLDCUP!$AC$4:$AC$147,MATCH(A23,WORLDCUP!$AH$4:$AH$147,0))),"",INDEX(WORLDCUP!$AC$4:$AC$147,MATCH(A23,WORLDCUP!$AH$4:$AH$147,0)))</f>
        <v>0</v>
      </c>
      <c r="E23" s="538">
        <f>IF(ISBLANK(INDEX(WORLDCUP!$AD$4:$AD$147,MATCH(A23,WORLDCUP!$AH$4:$AH$147,0))),"",INDEX(WORLDCUP!$AD$4:$AD$147,MATCH(A23,WORLDCUP!$AH$4:$AH$147,0)))</f>
        <v>3</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-6</v>
      </c>
      <c r="K23" s="572" t="str">
        <f ca="1">+INDEX(WORLDCUP!$AR$6:$AR$97,MATCH(L23,WORLDCUP!$AI$6:$AI$97,0))&amp;"-"&amp;INDEX(WORLDCUP!$AS$6:$AS$97,MATCH(L23,WORLDCUP!$AI$6:$AI$97,0))</f>
        <v>2-8</v>
      </c>
      <c r="L23" s="19" t="s">
        <v>657</v>
      </c>
      <c r="M23" s="19">
        <v>61</v>
      </c>
      <c r="N23" s="615"/>
      <c r="O23" s="537" t="str">
        <f ca="1">+MID(INDEX(WORLDCUP!$AA$4:$AA$147,MATCH(M23,WORLDCUP!$AH$4:$AH$147,0)),1,3)</f>
        <v>Nor</v>
      </c>
      <c r="P23" s="538">
        <f>IF(ISBLANK(INDEX(WORLDCUP!$AC$4:$AC$147,MATCH(M23,WORLDCUP!$AH$4:$AH$147,0))),"",INDEX(WORLDCUP!$AC$4:$AC$147,MATCH(M23,WORLDCUP!$AH$4:$AH$147,0)))</f>
        <v>1</v>
      </c>
      <c r="Q23" s="538">
        <f>IF(ISBLANK(INDEX(WORLDCUP!$AD$4:$AD$147,MATCH(M23,WORLDCUP!$AH$4:$AH$147,0))),"",INDEX(WORLDCUP!$AD$4:$AD$147,MATCH(M23,WORLDCUP!$AH$4:$AH$147,0)))</f>
        <v>4</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-11</v>
      </c>
      <c r="W23" s="572" t="str">
        <f ca="1">+INDEX(WORLDCUP!$AR$6:$AR$97,MATCH(X23,WORLDCUP!$AI$6:$AI$97,0))&amp;"-"&amp;INDEX(WORLDCUP!$AS$6:$AS$97,MATCH(X23,WORLDCUP!$AI$6:$AI$97,0))</f>
        <v>1-12</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4</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Argentina</v>
      </c>
      <c r="BC23" s="623"/>
      <c r="BD23" s="303"/>
      <c r="BE23" s="303"/>
      <c r="BG23" s="555" t="str">
        <f ca="1">Horarios!Q22</f>
        <v>Escocia</v>
      </c>
      <c r="BH23" s="556">
        <f t="shared" ca="1" si="0"/>
        <v>1</v>
      </c>
      <c r="BI23" s="556">
        <f ca="1">COUNTIF(ADMIN!$M$130:$M$161,Fixture!BG23)-BJ23-BK23-BL23-BM23-BN23-BO23</f>
        <v>0</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6" thickBot="1" x14ac:dyDescent="0.25">
      <c r="A24" s="19">
        <v>50</v>
      </c>
      <c r="B24" s="625"/>
      <c r="C24" s="580" t="str">
        <f ca="1">+MID(INDEX(WORLDCUP!$AA$4:$AA$147,MATCH(A24,WORLDCUP!$AH$4:$AH$147,0)),1,3)</f>
        <v>Mar</v>
      </c>
      <c r="D24" s="581">
        <f>IF(ISBLANK(INDEX(WORLDCUP!$AC$4:$AC$147,MATCH(A24,WORLDCUP!$AH$4:$AH$147,0))),"",INDEX(WORLDCUP!$AC$4:$AC$147,MATCH(A24,WORLDCUP!$AH$4:$AH$147,0)))</f>
        <v>4</v>
      </c>
      <c r="E24" s="581">
        <f>IF(ISBLANK(INDEX(WORLDCUP!$AD$4:$AD$147,MATCH(A24,WORLDCUP!$AH$4:$AH$147,0))),"",INDEX(WORLDCUP!$AD$4:$AD$147,MATCH(A24,WORLDCUP!$AH$4:$AH$147,0)))</f>
        <v>2</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5</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3</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1</v>
      </c>
    </row>
    <row r="25" spans="1:67" ht="16" thickBot="1" x14ac:dyDescent="0.25">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Sen</v>
      </c>
      <c r="AB25" s="574">
        <f>+IF(ISBLANK(INDEX(WORLDCUP!$AD$101:$AD$147,MATCH(Y25,WORLDCUP!$Z$101:$Z$147,0))),"",INDEX(WORLDCUP!$AD$101:$AD$147,MATCH(Y25,WORLDCUP!$Z$101:$Z$147,0)))</f>
        <v>2</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Espa</v>
      </c>
      <c r="AV25" s="632">
        <f>+IF(ISBLANK(INDEX(WORLDCUP!$AC$101:$AC$147,MATCH(AT25,WORLDCUP!$Z$101:$Z$147,0))),"",INDEX(WORLDCUP!$AC$101:$AC$147,MATCH(AT25,WORLDCUP!$Z$101:$Z$147,0)))</f>
        <v>1</v>
      </c>
      <c r="AW25" s="633" t="str">
        <f>+IF(ISBLANK(INDEX(WORLDCUP!$AB$101:$AB$147,MATCH(AT25,WORLDCUP!$Z$101:$Z$147,0))),"","( "&amp;INDEX(WORLDCUP!$AB$101:$AB$147,MATCH(AT25,WORLDCUP!$Z$101:$Z$147,0))&amp;" )")</f>
        <v/>
      </c>
      <c r="AX25" s="634"/>
      <c r="AY25" s="621"/>
      <c r="AZ25" s="622" t="str">
        <f ca="1">+WORLDCUP!AA152</f>
        <v>Inglaterra</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6" thickBot="1" x14ac:dyDescent="0.25">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Arge</v>
      </c>
      <c r="AV26" s="632">
        <f>+IF(ISBLANK(INDEX(WORLDCUP!$AD$101:$AD$147,MATCH(AT26,WORLDCUP!$Z$101:$Z$147,0))),"",INDEX(WORLDCUP!$AD$101:$AD$147,MATCH(AT26,WORLDCUP!$Z$101:$Z$147,0)))</f>
        <v>0</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1</v>
      </c>
      <c r="BM26" s="556">
        <f ca="1">COUNTIF(ADMIN!$M$252,Fixture!BG26)</f>
        <v>0</v>
      </c>
      <c r="BN26" s="556">
        <f ca="1">COUNTIF(ADMIN!$M$251,Fixture!BG26)</f>
        <v>0</v>
      </c>
      <c r="BO26" s="559">
        <f ca="1">COUNTIF(ADMIN!$M$250,Fixture!BG26)</f>
        <v>0</v>
      </c>
    </row>
    <row r="27" spans="1:67" ht="16" thickBot="1" x14ac:dyDescent="0.25">
      <c r="A27" s="19">
        <v>4</v>
      </c>
      <c r="B27" s="636" t="s">
        <v>73</v>
      </c>
      <c r="C27" s="510" t="str">
        <f ca="1">+MID(INDEX(WORLDCUP!$AA$4:$AA$147,MATCH(A27,WORLDCUP!$AH$4:$AH$147,0)),1,3)</f>
        <v>Est</v>
      </c>
      <c r="D27" s="511">
        <f>IF(ISBLANK(INDEX(WORLDCUP!$AC$4:$AC$147,MATCH(A27,WORLDCUP!$AH$4:$AH$147,0))),"",INDEX(WORLDCUP!$AC$4:$AC$147,MATCH(A27,WORLDCUP!$AH$4:$AH$147,0)))</f>
        <v>4</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3</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2</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0</v>
      </c>
      <c r="BI27" s="556">
        <f ca="1">COUNTIF(ADMIN!$M$130:$M$161,Fixture!BG27)-BJ27-BK27-BL27-BM27-BN27-BO27</f>
        <v>1</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6" thickBot="1" x14ac:dyDescent="0.25">
      <c r="A28" s="19">
        <v>6</v>
      </c>
      <c r="B28" s="638"/>
      <c r="C28" s="537" t="str">
        <f ca="1">+MID(INDEX(WORLDCUP!$AA$4:$AA$147,MATCH(A28,WORLDCUP!$AH$4:$AH$147,0)),1,3)</f>
        <v>Aus</v>
      </c>
      <c r="D28" s="538">
        <f>IF(ISBLANK(INDEX(WORLDCUP!$AC$4:$AC$147,MATCH(A28,WORLDCUP!$AH$4:$AH$147,0))),"",INDEX(WORLDCUP!$AC$4:$AC$147,MATCH(A28,WORLDCUP!$AH$4:$AH$147,0)))</f>
        <v>2</v>
      </c>
      <c r="E28" s="538">
        <f>IF(ISBLANK(INDEX(WORLDCUP!$AD$4:$AD$147,MATCH(A28,WORLDCUP!$AH$4:$AH$147,0))),"",INDEX(WORLDCUP!$AD$4:$AD$147,MATCH(A28,WORLDCUP!$AH$4:$AH$147,0)))</f>
        <v>0</v>
      </c>
      <c r="F28" s="539" t="str">
        <f ca="1">+MID(INDEX(WORLDCUP!$AF$4:$AF$147,MATCH(A28,WORLDCUP!$AH$4:$AH$147,0)),1,3)</f>
        <v>Tur</v>
      </c>
      <c r="G28" s="540">
        <v>1</v>
      </c>
      <c r="H28" s="541" t="str">
        <f ca="1">+MID(INDEX(WORLDCUP!$AL$6:$AL$97,MATCH(L28,WORLDCUP!$AI$6:$AI$97,0)),1,3)</f>
        <v>Est</v>
      </c>
      <c r="I28" s="542">
        <f ca="1">+INDEX(WORLDCUP!$AM$6:$AM$97,MATCH(L28,WORLDCUP!$AI$6:$AI$97,0))</f>
        <v>6</v>
      </c>
      <c r="J28" s="543">
        <f ca="1">+INDEX(WORLDCUP!$AT$6:$AT$97,MATCH(L28,WORLDCUP!$AI$6:$AI$97,0))</f>
        <v>4</v>
      </c>
      <c r="K28" s="544" t="str">
        <f ca="1">+INDEX(WORLDCUP!$AR$6:$AR$97,MATCH(L28,WORLDCUP!$AI$6:$AI$97,0))&amp;"-"&amp;INDEX(WORLDCUP!$AS$6:$AS$97,MATCH(L28,WORLDCUP!$AI$6:$AI$97,0))</f>
        <v>8-4</v>
      </c>
      <c r="L28" s="19" t="s">
        <v>658</v>
      </c>
      <c r="M28" s="19">
        <v>20</v>
      </c>
      <c r="N28" s="639"/>
      <c r="O28" s="537" t="str">
        <f ca="1">+MID(INDEX(WORLDCUP!$AA$4:$AA$147,MATCH(M28,WORLDCUP!$AH$4:$AH$147,0)),1,3)</f>
        <v>Aus</v>
      </c>
      <c r="P28" s="538">
        <f>IF(ISBLANK(INDEX(WORLDCUP!$AC$4:$AC$147,MATCH(M28,WORLDCUP!$AH$4:$AH$147,0))),"",INDEX(WORLDCUP!$AC$4:$AC$147,MATCH(M28,WORLDCUP!$AH$4:$AH$147,0)))</f>
        <v>3</v>
      </c>
      <c r="Q28" s="538">
        <f>IF(ISBLANK(INDEX(WORLDCUP!$AD$4:$AD$147,MATCH(M28,WORLDCUP!$AH$4:$AH$147,0))),"",INDEX(WORLDCUP!$AD$4:$AD$147,MATCH(M28,WORLDCUP!$AH$4:$AH$147,0)))</f>
        <v>1</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7</v>
      </c>
      <c r="W28" s="544" t="str">
        <f ca="1">+INDEX(WORLDCUP!$AR$6:$AR$97,MATCH(X28,WORLDCUP!$AI$6:$AI$97,0))&amp;"-"&amp;INDEX(WORLDCUP!$AS$6:$AS$97,MATCH(X28,WORLDCUP!$AI$6:$AI$97,0))</f>
        <v>8-1</v>
      </c>
      <c r="X28" s="19" t="s">
        <v>676</v>
      </c>
      <c r="Y28" s="19">
        <v>76</v>
      </c>
      <c r="Z28" s="518" t="s">
        <v>665</v>
      </c>
      <c r="AA28" s="519" t="str">
        <f ca="1">+MID(INDEX(WORLDCUP!$AF$101:$AF$147,MATCH(Y28,WORLDCUP!$Z$101:$Z$147,0)),1,3)</f>
        <v>Jap</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1</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x14ac:dyDescent="0.2">
      <c r="A29" s="19">
        <v>32</v>
      </c>
      <c r="B29" s="638"/>
      <c r="C29" s="537" t="str">
        <f ca="1">+MID(INDEX(WORLDCUP!$AA$4:$AA$147,MATCH(A29,WORLDCUP!$AH$4:$AH$147,0)),1,3)</f>
        <v>Est</v>
      </c>
      <c r="D29" s="538">
        <f>IF(ISBLANK(INDEX(WORLDCUP!$AC$4:$AC$147,MATCH(A29,WORLDCUP!$AH$4:$AH$147,0))),"",INDEX(WORLDCUP!$AC$4:$AC$147,MATCH(A29,WORLDCUP!$AH$4:$AH$147,0)))</f>
        <v>2</v>
      </c>
      <c r="E29" s="538">
        <f>IF(ISBLANK(INDEX(WORLDCUP!$AD$4:$AD$147,MATCH(A29,WORLDCUP!$AH$4:$AH$147,0))),"",INDEX(WORLDCUP!$AD$4:$AD$147,MATCH(A29,WORLDCUP!$AH$4:$AH$147,0)))</f>
        <v>0</v>
      </c>
      <c r="F29" s="539" t="str">
        <f ca="1">+MID(INDEX(WORLDCUP!$AF$4:$AF$147,MATCH(A29,WORLDCUP!$AH$4:$AH$147,0)),1,3)</f>
        <v>Aus</v>
      </c>
      <c r="G29" s="560">
        <v>2</v>
      </c>
      <c r="H29" s="561" t="str">
        <f ca="1">+MID(INDEX(WORLDCUP!$AL$6:$AL$97,MATCH(L29,WORLDCUP!$AI$6:$AI$97,0)),1,3)</f>
        <v>Aus</v>
      </c>
      <c r="I29" s="229">
        <f ca="1">+INDEX(WORLDCUP!$AM$6:$AM$97,MATCH(L29,WORLDCUP!$AI$6:$AI$97,0))</f>
        <v>4</v>
      </c>
      <c r="J29" s="230">
        <f ca="1">+INDEX(WORLDCUP!$AT$6:$AT$97,MATCH(L29,WORLDCUP!$AI$6:$AI$97,0))</f>
        <v>0</v>
      </c>
      <c r="K29" s="231" t="str">
        <f ca="1">+INDEX(WORLDCUP!$AR$6:$AR$97,MATCH(L29,WORLDCUP!$AI$6:$AI$97,0))&amp;"-"&amp;INDEX(WORLDCUP!$AS$6:$AS$97,MATCH(L29,WORLDCUP!$AI$6:$AI$97,0))</f>
        <v>2-2</v>
      </c>
      <c r="L29" s="19" t="s">
        <v>659</v>
      </c>
      <c r="M29" s="19">
        <v>43</v>
      </c>
      <c r="N29" s="639"/>
      <c r="O29" s="537" t="str">
        <f ca="1">+MID(INDEX(WORLDCUP!$AA$4:$AA$147,MATCH(M29,WORLDCUP!$AH$4:$AH$147,0)),1,3)</f>
        <v>Arg</v>
      </c>
      <c r="P29" s="538">
        <f>IF(ISBLANK(INDEX(WORLDCUP!$AC$4:$AC$147,MATCH(M29,WORLDCUP!$AH$4:$AH$147,0))),"",INDEX(WORLDCUP!$AC$4:$AC$147,MATCH(M29,WORLDCUP!$AH$4:$AH$147,0)))</f>
        <v>2</v>
      </c>
      <c r="Q29" s="538">
        <f>IF(ISBLANK(INDEX(WORLDCUP!$AD$4:$AD$147,MATCH(M29,WORLDCUP!$AH$4:$AH$147,0))),"",INDEX(WORLDCUP!$AD$4:$AD$147,MATCH(M29,WORLDCUP!$AH$4:$AH$147,0)))</f>
        <v>0</v>
      </c>
      <c r="R29" s="539" t="str">
        <f ca="1">+MID(INDEX(WORLDCUP!$AF$4:$AF$147,MATCH(M29,WORLDCUP!$AH$4:$AH$147,0)),1,3)</f>
        <v>Aus</v>
      </c>
      <c r="S29" s="560">
        <v>2</v>
      </c>
      <c r="T29" s="561" t="str">
        <f ca="1">+MID(INDEX(WORLDCUP!$AL$6:$AL$97,MATCH(X29,WORLDCUP!$AI$6:$AI$97,0)),1,3)</f>
        <v>Aus</v>
      </c>
      <c r="U29" s="229">
        <f ca="1">+INDEX(WORLDCUP!$AM$6:$AM$97,MATCH(X29,WORLDCUP!$AI$6:$AI$97,0))</f>
        <v>4</v>
      </c>
      <c r="V29" s="230">
        <f ca="1">+INDEX(WORLDCUP!$AT$6:$AT$97,MATCH(X29,WORLDCUP!$AI$6:$AI$97,0))</f>
        <v>0</v>
      </c>
      <c r="W29" s="231" t="str">
        <f ca="1">+INDEX(WORLDCUP!$AR$6:$AR$97,MATCH(X29,WORLDCUP!$AI$6:$AI$97,0))&amp;"-"&amp;INDEX(WORLDCUP!$AS$6:$AS$97,MATCH(X29,WORLDCUP!$AI$6:$AI$97,0))</f>
        <v>6-6</v>
      </c>
      <c r="X29" s="19" t="s">
        <v>677</v>
      </c>
      <c r="Y29" s="19"/>
      <c r="Z29" s="518"/>
      <c r="AA29" s="562"/>
      <c r="AB29" s="562"/>
      <c r="AC29" s="563"/>
      <c r="AD29" s="19">
        <v>91</v>
      </c>
      <c r="AE29" s="549" t="str">
        <f ca="1">+MID(INDEX(WORLDCUP!$AF$101:$AF$147,MATCH(AD29,WORLDCUP!$Z$101:$Z$147,0)),1,3)</f>
        <v>Nor</v>
      </c>
      <c r="AF29" s="550">
        <f>+IF(ISBLANK(INDEX(WORLDCUP!$AD$101:$AD$147,MATCH(AD29,WORLDCUP!$Z$101:$Z$147,0))),"",INDEX(WORLDCUP!$AD$101:$AD$147,MATCH(AD29,WORLDCUP!$Z$101:$Z$147,0)))</f>
        <v>2</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0</v>
      </c>
      <c r="BM29" s="556">
        <f ca="1">COUNTIF(ADMIN!$M$252,Fixture!BG29)</f>
        <v>1</v>
      </c>
      <c r="BN29" s="556">
        <f ca="1">COUNTIF(ADMIN!$M$251,Fixture!BG29)</f>
        <v>0</v>
      </c>
      <c r="BO29" s="559">
        <f ca="1">COUNTIF(ADMIN!$M$250,Fixture!BG29)</f>
        <v>0</v>
      </c>
    </row>
    <row r="30" spans="1:67" ht="16" thickBot="1" x14ac:dyDescent="0.25">
      <c r="A30" s="19">
        <v>31</v>
      </c>
      <c r="B30" s="638"/>
      <c r="C30" s="537" t="str">
        <f ca="1">+MID(INDEX(WORLDCUP!$AA$4:$AA$147,MATCH(A30,WORLDCUP!$AH$4:$AH$147,0)),1,3)</f>
        <v>Tur</v>
      </c>
      <c r="D30" s="538">
        <f>IF(ISBLANK(INDEX(WORLDCUP!$AC$4:$AC$147,MATCH(A30,WORLDCUP!$AH$4:$AH$147,0))),"",INDEX(WORLDCUP!$AC$4:$AC$147,MATCH(A30,WORLDCUP!$AH$4:$AH$147,0)))</f>
        <v>0</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Par</v>
      </c>
      <c r="I30" s="229">
        <f ca="1">+INDEX(WORLDCUP!$AM$6:$AM$97,MATCH(L30,WORLDCUP!$AI$6:$AI$97,0))</f>
        <v>4</v>
      </c>
      <c r="J30" s="230">
        <f ca="1">+INDEX(WORLDCUP!$AT$6:$AT$97,MATCH(L30,WORLDCUP!$AI$6:$AI$97,0))</f>
        <v>-2</v>
      </c>
      <c r="K30" s="231" t="str">
        <f ca="1">+INDEX(WORLDCUP!$AR$6:$AR$97,MATCH(L30,WORLDCUP!$AI$6:$AI$97,0))&amp;"-"&amp;INDEX(WORLDCUP!$AS$6:$AS$97,MATCH(L30,WORLDCUP!$AI$6:$AI$97,0))</f>
        <v>2-4</v>
      </c>
      <c r="L30" s="19" t="s">
        <v>92</v>
      </c>
      <c r="M30" s="19">
        <v>44</v>
      </c>
      <c r="N30" s="639"/>
      <c r="O30" s="537" t="str">
        <f ca="1">+MID(INDEX(WORLDCUP!$AA$4:$AA$147,MATCH(M30,WORLDCUP!$AH$4:$AH$147,0)),1,3)</f>
        <v>Jor</v>
      </c>
      <c r="P30" s="538">
        <f>IF(ISBLANK(INDEX(WORLDCUP!$AC$4:$AC$147,MATCH(M30,WORLDCUP!$AH$4:$AH$147,0))),"",INDEX(WORLDCUP!$AC$4:$AC$147,MATCH(M30,WORLDCUP!$AH$4:$AH$147,0)))</f>
        <v>1</v>
      </c>
      <c r="Q30" s="538">
        <f>IF(ISBLANK(INDEX(WORLDCUP!$AD$4:$AD$147,MATCH(M30,WORLDCUP!$AH$4:$AH$147,0))),"",INDEX(WORLDCUP!$AD$4:$AD$147,MATCH(M30,WORLDCUP!$AH$4:$AH$147,0)))</f>
        <v>2</v>
      </c>
      <c r="R30" s="539" t="str">
        <f ca="1">+MID(INDEX(WORLDCUP!$AF$4:$AF$147,MATCH(M30,WORLDCUP!$AH$4:$AH$147,0)),1,3)</f>
        <v>Arg</v>
      </c>
      <c r="S30" s="560">
        <v>3</v>
      </c>
      <c r="T30" s="561" t="str">
        <f ca="1">+MID(INDEX(WORLDCUP!$AL$6:$AL$97,MATCH(X30,WORLDCUP!$AI$6:$AI$97,0)),1,3)</f>
        <v>Arg</v>
      </c>
      <c r="U30" s="229">
        <f ca="1">+INDEX(WORLDCUP!$AM$6:$AM$97,MATCH(X30,WORLDCUP!$AI$6:$AI$97,0))</f>
        <v>4</v>
      </c>
      <c r="V30" s="230">
        <f ca="1">+INDEX(WORLDCUP!$AT$6:$AT$97,MATCH(X30,WORLDCUP!$AI$6:$AI$97,0))</f>
        <v>-2</v>
      </c>
      <c r="W30" s="231" t="str">
        <f ca="1">+INDEX(WORLDCUP!$AR$6:$AR$97,MATCH(X30,WORLDCUP!$AI$6:$AI$97,0))&amp;"-"&amp;INDEX(WORLDCUP!$AS$6:$AS$97,MATCH(X30,WORLDCUP!$AI$6:$AI$97,0))</f>
        <v>5-7</v>
      </c>
      <c r="X30" s="19" t="s">
        <v>441</v>
      </c>
      <c r="Y30" s="19">
        <v>78</v>
      </c>
      <c r="Z30" s="518" t="s">
        <v>662</v>
      </c>
      <c r="AA30" s="519" t="str">
        <f ca="1">+MID(INDEX(WORLDCUP!$AA$101:$AA$147,MATCH(Y30,WORLDCUP!$Z$101:$Z$147,0)),1,3)</f>
        <v>Cos</v>
      </c>
      <c r="AB30" s="565">
        <f>+IF(ISBLANK(INDEX(WORLDCUP!$AC$101:$AC$147,MATCH(Y30,WORLDCUP!$Z$101:$Z$147,0))),"",INDEX(WORLDCUP!$AC$101:$AC$147,MATCH(Y30,WORLDCUP!$Z$101:$Z$147,0)))</f>
        <v>1</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6" thickBot="1" x14ac:dyDescent="0.25">
      <c r="A31" s="19">
        <v>59</v>
      </c>
      <c r="B31" s="638"/>
      <c r="C31" s="537" t="str">
        <f ca="1">+MID(INDEX(WORLDCUP!$AA$4:$AA$147,MATCH(A31,WORLDCUP!$AH$4:$AH$147,0)),1,3)</f>
        <v>Tur</v>
      </c>
      <c r="D31" s="538">
        <f>IF(ISBLANK(INDEX(WORLDCUP!$AC$4:$AC$147,MATCH(A31,WORLDCUP!$AH$4:$AH$147,0))),"",INDEX(WORLDCUP!$AC$4:$AC$147,MATCH(A31,WORLDCUP!$AH$4:$AH$147,0)))</f>
        <v>3</v>
      </c>
      <c r="E31" s="538">
        <f>IF(ISBLANK(INDEX(WORLDCUP!$AD$4:$AD$147,MATCH(A31,WORLDCUP!$AH$4:$AH$147,0))),"",INDEX(WORLDCUP!$AD$4:$AD$147,MATCH(A31,WORLDCUP!$AH$4:$AH$147,0)))</f>
        <v>2</v>
      </c>
      <c r="F31" s="539" t="str">
        <f ca="1">+MID(INDEX(WORLDCUP!$AF$4:$AF$147,MATCH(A31,WORLDCUP!$AH$4:$AH$147,0)),1,3)</f>
        <v>Est</v>
      </c>
      <c r="G31" s="560">
        <v>4</v>
      </c>
      <c r="H31" s="569" t="str">
        <f ca="1">+MID(INDEX(WORLDCUP!$AL$6:$AL$97,MATCH(L31,WORLDCUP!$AI$6:$AI$97,0)),1,3)</f>
        <v>Tur</v>
      </c>
      <c r="I31" s="570">
        <f ca="1">+INDEX(WORLDCUP!$AM$6:$AM$97,MATCH(L31,WORLDCUP!$AI$6:$AI$97,0))</f>
        <v>3</v>
      </c>
      <c r="J31" s="571">
        <f ca="1">+INDEX(WORLDCUP!$AT$6:$AT$97,MATCH(L31,WORLDCUP!$AI$6:$AI$97,0))</f>
        <v>-2</v>
      </c>
      <c r="K31" s="572" t="str">
        <f ca="1">+INDEX(WORLDCUP!$AR$6:$AR$97,MATCH(L31,WORLDCUP!$AI$6:$AI$97,0))&amp;"-"&amp;INDEX(WORLDCUP!$AS$6:$AS$97,MATCH(L31,WORLDCUP!$AI$6:$AI$97,0))</f>
        <v>3-5</v>
      </c>
      <c r="L31" s="19" t="s">
        <v>660</v>
      </c>
      <c r="M31" s="19">
        <v>69</v>
      </c>
      <c r="N31" s="639"/>
      <c r="O31" s="537" t="str">
        <f ca="1">+MID(INDEX(WORLDCUP!$AA$4:$AA$147,MATCH(M31,WORLDCUP!$AH$4:$AH$147,0)),1,3)</f>
        <v>Arg</v>
      </c>
      <c r="P31" s="538">
        <f>IF(ISBLANK(INDEX(WORLDCUP!$AC$4:$AC$147,MATCH(M31,WORLDCUP!$AH$4:$AH$147,0))),"",INDEX(WORLDCUP!$AC$4:$AC$147,MATCH(M31,WORLDCUP!$AH$4:$AH$147,0)))</f>
        <v>3</v>
      </c>
      <c r="Q31" s="538">
        <f>IF(ISBLANK(INDEX(WORLDCUP!$AD$4:$AD$147,MATCH(M31,WORLDCUP!$AH$4:$AH$147,0))),"",INDEX(WORLDCUP!$AD$4:$AD$147,MATCH(M31,WORLDCUP!$AH$4:$AH$147,0)))</f>
        <v>3</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-5</v>
      </c>
      <c r="W31" s="572" t="str">
        <f ca="1">+INDEX(WORLDCUP!$AR$6:$AR$97,MATCH(X31,WORLDCUP!$AI$6:$AI$97,0))&amp;"-"&amp;INDEX(WORLDCUP!$AS$6:$AS$97,MATCH(X31,WORLDCUP!$AI$6:$AI$97,0))</f>
        <v>3-8</v>
      </c>
      <c r="X31" s="19" t="s">
        <v>678</v>
      </c>
      <c r="Y31" s="19">
        <v>78</v>
      </c>
      <c r="Z31" s="518" t="s">
        <v>674</v>
      </c>
      <c r="AA31" s="573" t="str">
        <f ca="1">+MID(INDEX(WORLDCUP!$AF$101:$AF$147,MATCH(Y31,WORLDCUP!$Z$101:$Z$147,0)),1,3)</f>
        <v>Nor</v>
      </c>
      <c r="AB31" s="574">
        <f>+IF(ISBLANK(INDEX(WORLDCUP!$AD$101:$AD$147,MATCH(Y31,WORLDCUP!$Z$101:$Z$147,0))),"",INDEX(WORLDCUP!$AD$101:$AD$147,MATCH(Y31,WORLDCUP!$Z$101:$Z$147,0)))</f>
        <v>2</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Nor</v>
      </c>
      <c r="AJ31" s="577">
        <f>+IF(ISBLANK(INDEX(WORLDCUP!$AC$101:$AC$147,MATCH(AH31,WORLDCUP!$Z$101:$Z$147,0))),"",INDEX(WORLDCUP!$AC$101:$AC$147,MATCH(AH31,WORLDCUP!$Z$101:$Z$147,0)))</f>
        <v>1</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Fran</v>
      </c>
      <c r="AR31" s="642">
        <f>+IF(ISBLANK(INDEX(WORLDCUP!$AC$101:$AC$147,MATCH(AP31,WORLDCUP!$Z$101:$Z$147,0))),"",INDEX(WORLDCUP!$AC$101:$AC$147,MATCH(AP31,WORLDCUP!$Z$101:$Z$147,0)))</f>
        <v>4</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6" thickBot="1" x14ac:dyDescent="0.25">
      <c r="A32" s="19">
        <v>60</v>
      </c>
      <c r="B32" s="649"/>
      <c r="C32" s="580" t="str">
        <f ca="1">+MID(INDEX(WORLDCUP!$AA$4:$AA$147,MATCH(A32,WORLDCUP!$AH$4:$AH$147,0)),1,3)</f>
        <v>Par</v>
      </c>
      <c r="D32" s="581">
        <f>IF(ISBLANK(INDEX(WORLDCUP!$AC$4:$AC$147,MATCH(A32,WORLDCUP!$AH$4:$AH$147,0))),"",INDEX(WORLDCUP!$AC$4:$AC$147,MATCH(A32,WORLDCUP!$AH$4:$AH$147,0)))</f>
        <v>0</v>
      </c>
      <c r="E32" s="581">
        <f>IF(ISBLANK(INDEX(WORLDCUP!$AD$4:$AD$147,MATCH(A32,WORLDCUP!$AH$4:$AH$147,0))),"",INDEX(WORLDCUP!$AD$4:$AD$147,MATCH(A32,WORLDCUP!$AH$4:$AH$147,0)))</f>
        <v>0</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1</v>
      </c>
      <c r="Q32" s="581">
        <f>IF(ISBLANK(INDEX(WORLDCUP!$AD$4:$AD$147,MATCH(M32,WORLDCUP!$AH$4:$AH$147,0))),"",INDEX(WORLDCUP!$AD$4:$AD$147,MATCH(M32,WORLDCUP!$AH$4:$AH$147,0)))</f>
        <v>3</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2</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Ingl</v>
      </c>
      <c r="AR32" s="642">
        <f>+IF(ISBLANK(INDEX(WORLDCUP!$AD$101:$AD$147,MATCH(AP32,WORLDCUP!$Z$101:$Z$147,0))),"",INDEX(WORLDCUP!$AD$101:$AD$147,MATCH(AP32,WORLDCUP!$Z$101:$Z$147,0)))</f>
        <v>6</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6" thickBot="1" x14ac:dyDescent="0.25">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2</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6" thickBot="1" x14ac:dyDescent="0.25">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Ecu</v>
      </c>
      <c r="AB34" s="546">
        <f>+IF(ISBLANK(INDEX(WORLDCUP!$AD$101:$AD$147,MATCH(Y34,WORLDCUP!$Z$101:$Z$147,0))),"",INDEX(WORLDCUP!$AD$101:$AD$147,MATCH(Y34,WORLDCUP!$Z$101:$Z$147,0)))</f>
        <v>0</v>
      </c>
      <c r="AC34" s="547" t="str">
        <f>+IF(ISBLANK(INDEX(WORLDCUP!$AE$101:$AE$147,MATCH(Y34,WORLDCUP!$Z$101:$Z$147,0))),"","( "&amp;INDEX(WORLDCUP!$AE$101:$AE$147,MATCH(Y34,WORLDCUP!$Z$101:$Z$147,0))&amp;" )")</f>
        <v/>
      </c>
      <c r="AD34" s="548">
        <v>92</v>
      </c>
      <c r="AE34" s="549" t="str">
        <f ca="1">+MID(INDEX(WORLDCUP!$AA$101:$AA$147,MATCH(AD34,WORLDCUP!$Z$101:$Z$147,0)),1,3)</f>
        <v>Méx</v>
      </c>
      <c r="AF34" s="550">
        <f>+IF(ISBLANK(INDEX(WORLDCUP!$AC$101:$AC$147,MATCH(AD34,WORLDCUP!$Z$101:$Z$147,0))),"",INDEX(WORLDCUP!$AC$101:$AC$147,MATCH(AD34,WORLDCUP!$Z$101:$Z$147,0)))</f>
        <v>2</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0</v>
      </c>
      <c r="BJ34" s="557">
        <f ca="1">COUNTIF(ADMIN!$M$182:$M$197,Fixture!BG34)-BK34-BL34-BM34-BN34-BO34</f>
        <v>0</v>
      </c>
      <c r="BK34" s="558">
        <f ca="1">COUNTIF(ADMIN!$M$210:$M$217,Fixture!BG34)-BL34-BM34-BN34-BO34</f>
        <v>1</v>
      </c>
      <c r="BL34" s="558">
        <f ca="1">COUNTIF(ADMIN!$M$226:$M$229,BG34)-BM34-BN34-BO34</f>
        <v>0</v>
      </c>
      <c r="BM34" s="556">
        <f ca="1">COUNTIF(ADMIN!$M$252,Fixture!BG34)</f>
        <v>0</v>
      </c>
      <c r="BN34" s="556">
        <f ca="1">COUNTIF(ADMIN!$M$251,Fixture!BG34)</f>
        <v>0</v>
      </c>
      <c r="BO34" s="559">
        <f ca="1">COUNTIF(ADMIN!$M$250,Fixture!BG34)</f>
        <v>0</v>
      </c>
    </row>
    <row r="35" spans="1:67" x14ac:dyDescent="0.2">
      <c r="A35" s="19">
        <v>10</v>
      </c>
      <c r="B35" s="651" t="s">
        <v>3</v>
      </c>
      <c r="C35" s="510" t="str">
        <f ca="1">+MID(INDEX(WORLDCUP!$AA$4:$AA$147,MATCH(A35,WORLDCUP!$AH$4:$AH$147,0)),1,3)</f>
        <v>Ale</v>
      </c>
      <c r="D35" s="511">
        <f>IF(ISBLANK(INDEX(WORLDCUP!$AC$4:$AC$147,MATCH(A35,WORLDCUP!$AH$4:$AH$147,0))),"",INDEX(WORLDCUP!$AC$4:$AC$147,MATCH(A35,WORLDCUP!$AH$4:$AH$147,0)))</f>
        <v>7</v>
      </c>
      <c r="E35" s="511">
        <f>IF(ISBLANK(INDEX(WORLDCUP!$AD$4:$AD$147,MATCH(A35,WORLDCUP!$AH$4:$AH$147,0))),"",INDEX(WORLDCUP!$AD$4:$AD$147,MATCH(A35,WORLDCUP!$AH$4:$AH$147,0)))</f>
        <v>1</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1</v>
      </c>
      <c r="Q35" s="511">
        <f>IF(ISBLANK(INDEX(WORLDCUP!$AD$4:$AD$147,MATCH(M35,WORLDCUP!$AH$4:$AH$147,0))),"",INDEX(WORLDCUP!$AD$4:$AD$147,MATCH(M35,WORLDCUP!$AH$4:$AH$147,0)))</f>
        <v>1</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3</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6" thickBot="1" x14ac:dyDescent="0.25">
      <c r="A36" s="19">
        <v>9</v>
      </c>
      <c r="B36" s="654"/>
      <c r="C36" s="537" t="str">
        <f ca="1">+MID(INDEX(WORLDCUP!$AA$4:$AA$147,MATCH(A36,WORLDCUP!$AH$4:$AH$147,0)),1,3)</f>
        <v>Cos</v>
      </c>
      <c r="D36" s="538">
        <f>IF(ISBLANK(INDEX(WORLDCUP!$AC$4:$AC$147,MATCH(A36,WORLDCUP!$AH$4:$AH$147,0))),"",INDEX(WORLDCUP!$AC$4:$AC$147,MATCH(A36,WORLDCUP!$AH$4:$AH$147,0)))</f>
        <v>1</v>
      </c>
      <c r="E36" s="538">
        <f>IF(ISBLANK(INDEX(WORLDCUP!$AD$4:$AD$147,MATCH(A36,WORLDCUP!$AH$4:$AH$147,0))),"",INDEX(WORLDCUP!$AD$4:$AD$147,MATCH(A36,WORLDCUP!$AH$4:$AH$147,0)))</f>
        <v>0</v>
      </c>
      <c r="F36" s="539" t="str">
        <f ca="1">+MID(INDEX(WORLDCUP!$AF$4:$AF$147,MATCH(A36,WORLDCUP!$AH$4:$AH$147,0)),1,3)</f>
        <v>Ecu</v>
      </c>
      <c r="G36" s="540">
        <v>1</v>
      </c>
      <c r="H36" s="541" t="str">
        <f ca="1">+MID(INDEX(WORLDCUP!$AL$6:$AL$97,MATCH(L36,WORLDCUP!$AI$6:$AI$97,0)),1,3)</f>
        <v>Ale</v>
      </c>
      <c r="I36" s="542">
        <f ca="1">+INDEX(WORLDCUP!$AM$6:$AM$97,MATCH(L36,WORLDCUP!$AI$6:$AI$97,0))</f>
        <v>6</v>
      </c>
      <c r="J36" s="543">
        <f ca="1">+INDEX(WORLDCUP!$AT$6:$AT$97,MATCH(L36,WORLDCUP!$AI$6:$AI$97,0))</f>
        <v>6</v>
      </c>
      <c r="K36" s="544" t="str">
        <f ca="1">+INDEX(WORLDCUP!$AR$6:$AR$97,MATCH(L36,WORLDCUP!$AI$6:$AI$97,0))&amp;"-"&amp;INDEX(WORLDCUP!$AS$6:$AS$97,MATCH(L36,WORLDCUP!$AI$6:$AI$97,0))</f>
        <v>10-4</v>
      </c>
      <c r="L36" s="19" t="s">
        <v>661</v>
      </c>
      <c r="M36" s="19">
        <v>24</v>
      </c>
      <c r="N36" s="655"/>
      <c r="O36" s="537" t="str">
        <f ca="1">+MID(INDEX(WORLDCUP!$AA$4:$AA$147,MATCH(M36,WORLDCUP!$AH$4:$AH$147,0)),1,3)</f>
        <v>Uzb</v>
      </c>
      <c r="P36" s="538">
        <f>IF(ISBLANK(INDEX(WORLDCUP!$AC$4:$AC$147,MATCH(M36,WORLDCUP!$AH$4:$AH$147,0))),"",INDEX(WORLDCUP!$AC$4:$AC$147,MATCH(M36,WORLDCUP!$AH$4:$AH$147,0)))</f>
        <v>1</v>
      </c>
      <c r="Q36" s="538">
        <f>IF(ISBLANK(INDEX(WORLDCUP!$AD$4:$AD$147,MATCH(M36,WORLDCUP!$AH$4:$AH$147,0))),"",INDEX(WORLDCUP!$AD$4:$AD$147,MATCH(M36,WORLDCUP!$AH$4:$AH$147,0)))</f>
        <v>3</v>
      </c>
      <c r="R36" s="539" t="str">
        <f ca="1">+MID(INDEX(WORLDCUP!$AF$4:$AF$147,MATCH(M36,WORLDCUP!$AH$4:$AH$147,0)),1,3)</f>
        <v>Col</v>
      </c>
      <c r="S36" s="540">
        <v>1</v>
      </c>
      <c r="T36" s="541" t="str">
        <f ca="1">+MID(INDEX(WORLDCUP!$AL$6:$AL$97,MATCH(X36,WORLDCUP!$AI$6:$AI$97,0)),1,3)</f>
        <v>Col</v>
      </c>
      <c r="U36" s="542">
        <f ca="1">+INDEX(WORLDCUP!$AM$6:$AM$97,MATCH(X36,WORLDCUP!$AI$6:$AI$97,0))</f>
        <v>7</v>
      </c>
      <c r="V36" s="543">
        <f ca="1">+INDEX(WORLDCUP!$AT$6:$AT$97,MATCH(X36,WORLDCUP!$AI$6:$AI$97,0))</f>
        <v>3</v>
      </c>
      <c r="W36" s="544" t="str">
        <f ca="1">+INDEX(WORLDCUP!$AR$6:$AR$97,MATCH(X36,WORLDCUP!$AI$6:$AI$97,0))&amp;"-"&amp;INDEX(WORLDCUP!$AS$6:$AS$97,MATCH(X36,WORLDCUP!$AI$6:$AI$97,0))</f>
        <v>4-1</v>
      </c>
      <c r="X36" s="19" t="s">
        <v>679</v>
      </c>
      <c r="Y36" s="19">
        <v>80</v>
      </c>
      <c r="Z36" s="518" t="s">
        <v>682</v>
      </c>
      <c r="AA36" s="519" t="str">
        <f ca="1">+MID(INDEX(WORLDCUP!$AA$101:$AA$147,MATCH(Y36,WORLDCUP!$Z$101:$Z$147,0)),1,3)</f>
        <v>Ing</v>
      </c>
      <c r="AB36" s="565">
        <f>+IF(ISBLANK(INDEX(WORLDCUP!$AC$101:$AC$147,MATCH(Y36,WORLDCUP!$Z$101:$Z$147,0))),"",INDEX(WORLDCUP!$AC$101:$AC$147,MATCH(Y36,WORLDCUP!$Z$101:$Z$147,0)))</f>
        <v>2</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0</v>
      </c>
      <c r="BK36" s="558">
        <f ca="1">COUNTIF(ADMIN!$M$210:$M$217,Fixture!BG36)-BL36-BM36-BN36-BO36</f>
        <v>1</v>
      </c>
      <c r="BL36" s="558">
        <f ca="1">COUNTIF(ADMIN!$M$226:$M$229,BG36)-BM36-BN36-BO36</f>
        <v>0</v>
      </c>
      <c r="BM36" s="556">
        <f ca="1">COUNTIF(ADMIN!$M$252,Fixture!BG36)</f>
        <v>0</v>
      </c>
      <c r="BN36" s="556">
        <f ca="1">COUNTIF(ADMIN!$M$251,Fixture!BG36)</f>
        <v>0</v>
      </c>
      <c r="BO36" s="559">
        <f ca="1">COUNTIF(ADMIN!$M$250,Fixture!BG36)</f>
        <v>0</v>
      </c>
    </row>
    <row r="37" spans="1:67" ht="16" thickBot="1" x14ac:dyDescent="0.25">
      <c r="A37" s="19">
        <v>33</v>
      </c>
      <c r="B37" s="654"/>
      <c r="C37" s="537" t="str">
        <f ca="1">+MID(INDEX(WORLDCUP!$AA$4:$AA$147,MATCH(A37,WORLDCUP!$AH$4:$AH$147,0)),1,3)</f>
        <v>Ale</v>
      </c>
      <c r="D37" s="538">
        <f>IF(ISBLANK(INDEX(WORLDCUP!$AC$4:$AC$147,MATCH(A37,WORLDCUP!$AH$4:$AH$147,0))),"",INDEX(WORLDCUP!$AC$4:$AC$147,MATCH(A37,WORLDCUP!$AH$4:$AH$147,0)))</f>
        <v>2</v>
      </c>
      <c r="E37" s="538">
        <f>IF(ISBLANK(INDEX(WORLDCUP!$AD$4:$AD$147,MATCH(A37,WORLDCUP!$AH$4:$AH$147,0))),"",INDEX(WORLDCUP!$AD$4:$AD$147,MATCH(A37,WORLDCUP!$AH$4:$AH$147,0)))</f>
        <v>1</v>
      </c>
      <c r="F37" s="539" t="str">
        <f ca="1">+MID(INDEX(WORLDCUP!$AF$4:$AF$147,MATCH(A37,WORLDCUP!$AH$4:$AH$147,0)),1,3)</f>
        <v>Cos</v>
      </c>
      <c r="G37" s="560">
        <v>2</v>
      </c>
      <c r="H37" s="561" t="str">
        <f ca="1">+MID(INDEX(WORLDCUP!$AL$6:$AL$97,MATCH(L37,WORLDCUP!$AI$6:$AI$97,0)),1,3)</f>
        <v>Cos</v>
      </c>
      <c r="I37" s="229">
        <f ca="1">+INDEX(WORLDCUP!$AM$6:$AM$97,MATCH(L37,WORLDCUP!$AI$6:$AI$97,0))</f>
        <v>6</v>
      </c>
      <c r="J37" s="230">
        <f ca="1">+INDEX(WORLDCUP!$AT$6:$AT$97,MATCH(L37,WORLDCUP!$AI$6:$AI$97,0))</f>
        <v>2</v>
      </c>
      <c r="K37" s="231" t="str">
        <f ca="1">+INDEX(WORLDCUP!$AR$6:$AR$97,MATCH(L37,WORLDCUP!$AI$6:$AI$97,0))&amp;"-"&amp;INDEX(WORLDCUP!$AS$6:$AS$97,MATCH(L37,WORLDCUP!$AI$6:$AI$97,0))</f>
        <v>4-2</v>
      </c>
      <c r="L37" s="19" t="s">
        <v>662</v>
      </c>
      <c r="M37" s="19">
        <v>47</v>
      </c>
      <c r="N37" s="655"/>
      <c r="O37" s="537" t="str">
        <f ca="1">+MID(INDEX(WORLDCUP!$AA$4:$AA$147,MATCH(M37,WORLDCUP!$AH$4:$AH$147,0)),1,3)</f>
        <v>Por</v>
      </c>
      <c r="P37" s="538">
        <f>IF(ISBLANK(INDEX(WORLDCUP!$AC$4:$AC$147,MATCH(M37,WORLDCUP!$AH$4:$AH$147,0))),"",INDEX(WORLDCUP!$AC$4:$AC$147,MATCH(M37,WORLDCUP!$AH$4:$AH$147,0)))</f>
        <v>5</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Por</v>
      </c>
      <c r="U37" s="229">
        <f ca="1">+INDEX(WORLDCUP!$AM$6:$AM$97,MATCH(X37,WORLDCUP!$AI$6:$AI$97,0))</f>
        <v>5</v>
      </c>
      <c r="V37" s="230">
        <f ca="1">+INDEX(WORLDCUP!$AT$6:$AT$97,MATCH(X37,WORLDCUP!$AI$6:$AI$97,0))</f>
        <v>5</v>
      </c>
      <c r="W37" s="231" t="str">
        <f ca="1">+INDEX(WORLDCUP!$AR$6:$AR$97,MATCH(X37,WORLDCUP!$AI$6:$AI$97,0))&amp;"-"&amp;INDEX(WORLDCUP!$AS$6:$AS$97,MATCH(X37,WORLDCUP!$AI$6:$AI$97,0))</f>
        <v>6-1</v>
      </c>
      <c r="X37" s="19" t="s">
        <v>680</v>
      </c>
      <c r="Y37" s="19">
        <v>80</v>
      </c>
      <c r="Z37" s="518" t="s">
        <v>725</v>
      </c>
      <c r="AA37" s="573" t="str">
        <f ca="1">+MID(INDEX(WORLDCUP!$AF$101:$AF$147,MATCH(Y37,WORLDCUP!$Z$101:$Z$147,0)),1,IF(WORLDCUP!$H$113&lt;144,6,3))</f>
        <v xml:space="preserve">RD </v>
      </c>
      <c r="AB37" s="574">
        <f>+IF(ISBLANK(INDEX(WORLDCUP!$AD$101:$AD$147,MATCH(Y37,WORLDCUP!$Z$101:$Z$147,0))),"",INDEX(WORLDCUP!$AD$101:$AD$147,MATCH(Y37,WORLDCUP!$Z$101:$Z$147,0)))</f>
        <v>1</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Ing</v>
      </c>
      <c r="AN37" s="602">
        <f>+IF(ISBLANK(INDEX(WORLDCUP!$AC$101:$AC$147,MATCH(AL37,WORLDCUP!$Z$101:$Z$147,0))),"",INDEX(WORLDCUP!$AC$101:$AC$147,MATCH(AL37,WORLDCUP!$Z$101:$Z$147,0)))</f>
        <v>1</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x14ac:dyDescent="0.2">
      <c r="A38" s="19">
        <v>34</v>
      </c>
      <c r="B38" s="654"/>
      <c r="C38" s="537" t="str">
        <f ca="1">+MID(INDEX(WORLDCUP!$AA$4:$AA$147,MATCH(A38,WORLDCUP!$AH$4:$AH$147,0)),1,3)</f>
        <v>Ecu</v>
      </c>
      <c r="D38" s="538">
        <f>IF(ISBLANK(INDEX(WORLDCUP!$AC$4:$AC$147,MATCH(A38,WORLDCUP!$AH$4:$AH$147,0))),"",INDEX(WORLDCUP!$AC$4:$AC$147,MATCH(A38,WORLDCUP!$AH$4:$AH$147,0)))</f>
        <v>0</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Ecu</v>
      </c>
      <c r="I38" s="229">
        <f ca="1">+INDEX(WORLDCUP!$AM$6:$AM$97,MATCH(L38,WORLDCUP!$AI$6:$AI$97,0))</f>
        <v>4</v>
      </c>
      <c r="J38" s="230">
        <f ca="1">+INDEX(WORLDCUP!$AT$6:$AT$97,MATCH(L38,WORLDCUP!$AI$6:$AI$97,0))</f>
        <v>0</v>
      </c>
      <c r="K38" s="231" t="str">
        <f ca="1">+INDEX(WORLDCUP!$AR$6:$AR$97,MATCH(L38,WORLDCUP!$AI$6:$AI$97,0))&amp;"-"&amp;INDEX(WORLDCUP!$AS$6:$AS$97,MATCH(L38,WORLDCUP!$AI$6:$AI$97,0))</f>
        <v>2-2</v>
      </c>
      <c r="L38" s="19" t="s">
        <v>93</v>
      </c>
      <c r="M38" s="19">
        <v>48</v>
      </c>
      <c r="N38" s="655"/>
      <c r="O38" s="537" t="str">
        <f ca="1">+MID(INDEX(WORLDCUP!$AA$4:$AA$147,MATCH(M38,WORLDCUP!$AH$4:$AH$147,0)),1,3)</f>
        <v>Col</v>
      </c>
      <c r="P38" s="538">
        <f>IF(ISBLANK(INDEX(WORLDCUP!$AC$4:$AC$147,MATCH(M38,WORLDCUP!$AH$4:$AH$147,0))),"",INDEX(WORLDCUP!$AC$4:$AC$147,MATCH(M38,WORLDCUP!$AH$4:$AH$147,0)))</f>
        <v>1</v>
      </c>
      <c r="Q38" s="538">
        <f>IF(ISBLANK(INDEX(WORLDCUP!$AD$4:$AD$147,MATCH(M38,WORLDCUP!$AH$4:$AH$147,0))),"",INDEX(WORLDCUP!$AD$4:$AD$147,MATCH(M38,WORLDCUP!$AH$4:$AH$147,0)))</f>
        <v>0</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4</v>
      </c>
      <c r="V38" s="230">
        <f ca="1">+INDEX(WORLDCUP!$AT$6:$AT$97,MATCH(X38,WORLDCUP!$AI$6:$AI$97,0))</f>
        <v>1</v>
      </c>
      <c r="W38" s="231" t="str">
        <f ca="1">+INDEX(WORLDCUP!$AR$6:$AR$97,MATCH(X38,WORLDCUP!$AI$6:$AI$97,0))&amp;"-"&amp;INDEX(WORLDCUP!$AS$6:$AS$97,MATCH(X38,WORLDCUP!$AI$6:$AI$97,0))</f>
        <v>4-3</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Arge</v>
      </c>
      <c r="AN38" s="602">
        <f>+IF(ISBLANK(INDEX(WORLDCUP!$AD$101:$AD$147,MATCH(AL38,WORLDCUP!$Z$101:$Z$147,0))),"",INDEX(WORLDCUP!$AD$101:$AD$147,MATCH(AL38,WORLDCUP!$Z$101:$Z$147,0)))</f>
        <v>2</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1</v>
      </c>
      <c r="BJ38" s="557">
        <f ca="1">COUNTIF(ADMIN!$M$182:$M$197,Fixture!BG38)-BK38-BL38-BM38-BN38-BO38</f>
        <v>0</v>
      </c>
      <c r="BK38" s="558">
        <f ca="1">COUNTIF(ADMIN!$M$210:$M$217,Fixture!BG38)-BL38-BM38-BN38-BO38</f>
        <v>0</v>
      </c>
      <c r="BL38" s="558">
        <f ca="1">COUNTIF(ADMIN!$M$226:$M$229,BG38)-BM38-BN38-BO38</f>
        <v>0</v>
      </c>
      <c r="BM38" s="556">
        <f ca="1">COUNTIF(ADMIN!$M$252,Fixture!BG38)</f>
        <v>0</v>
      </c>
      <c r="BN38" s="556">
        <f ca="1">COUNTIF(ADMIN!$M$251,Fixture!BG38)</f>
        <v>0</v>
      </c>
      <c r="BO38" s="559">
        <f ca="1">COUNTIF(ADMIN!$M$250,Fixture!BG38)</f>
        <v>0</v>
      </c>
    </row>
    <row r="39" spans="1:67" ht="16" thickBot="1" x14ac:dyDescent="0.25">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1</v>
      </c>
      <c r="J39" s="571">
        <f ca="1">+INDEX(WORLDCUP!$AT$6:$AT$97,MATCH(L39,WORLDCUP!$AI$6:$AI$97,0))</f>
        <v>-8</v>
      </c>
      <c r="K39" s="572" t="str">
        <f ca="1">+INDEX(WORLDCUP!$AR$6:$AR$97,MATCH(L39,WORLDCUP!$AI$6:$AI$97,0))&amp;"-"&amp;INDEX(WORLDCUP!$AS$6:$AS$97,MATCH(L39,WORLDCUP!$AI$6:$AI$97,0))</f>
        <v>1-9</v>
      </c>
      <c r="L39" s="19" t="s">
        <v>663</v>
      </c>
      <c r="M39" s="19">
        <v>71</v>
      </c>
      <c r="N39" s="655"/>
      <c r="O39" s="537" t="str">
        <f ca="1">+MID(INDEX(WORLDCUP!$AA$4:$AA$147,MATCH(M39,WORLDCUP!$AH$4:$AH$147,0)),1,3)</f>
        <v>Col</v>
      </c>
      <c r="P39" s="538">
        <f>IF(ISBLANK(INDEX(WORLDCUP!$AC$4:$AC$147,MATCH(M39,WORLDCUP!$AH$4:$AH$147,0))),"",INDEX(WORLDCUP!$AC$4:$AC$147,MATCH(M39,WORLDCUP!$AH$4:$AH$147,0)))</f>
        <v>0</v>
      </c>
      <c r="Q39" s="538">
        <f>IF(ISBLANK(INDEX(WORLDCUP!$AD$4:$AD$147,MATCH(M39,WORLDCUP!$AH$4:$AH$147,0))),"",INDEX(WORLDCUP!$AD$4:$AD$147,MATCH(M39,WORLDCUP!$AH$4:$AH$147,0)))</f>
        <v>0</v>
      </c>
      <c r="R39" s="539" t="str">
        <f ca="1">+MID(INDEX(WORLDCUP!$AF$4:$AF$147,MATCH(M39,WORLDCUP!$AH$4:$AH$147,0)),1,3)</f>
        <v>Por</v>
      </c>
      <c r="S39" s="560">
        <v>4</v>
      </c>
      <c r="T39" s="569" t="str">
        <f ca="1">+MID(INDEX(WORLDCUP!$AL$6:$AL$97,MATCH(X39,WORLDCUP!$AI$6:$AI$97,0)),1,3)</f>
        <v>Uzb</v>
      </c>
      <c r="U39" s="570">
        <f ca="1">+INDEX(WORLDCUP!$AM$6:$AM$97,MATCH(X39,WORLDCUP!$AI$6:$AI$97,0))</f>
        <v>0</v>
      </c>
      <c r="V39" s="571">
        <f ca="1">+INDEX(WORLDCUP!$AT$6:$AT$97,MATCH(X39,WORLDCUP!$AI$6:$AI$97,0))</f>
        <v>-9</v>
      </c>
      <c r="W39" s="572" t="str">
        <f ca="1">+INDEX(WORLDCUP!$AR$6:$AR$97,MATCH(X39,WORLDCUP!$AI$6:$AI$97,0))&amp;"-"&amp;INDEX(WORLDCUP!$AS$6:$AS$97,MATCH(X39,WORLDCUP!$AI$6:$AI$97,0))</f>
        <v>2-11</v>
      </c>
      <c r="X39" s="19" t="s">
        <v>681</v>
      </c>
      <c r="Y39" s="19">
        <v>86</v>
      </c>
      <c r="Z39" s="518" t="s">
        <v>676</v>
      </c>
      <c r="AA39" s="519" t="str">
        <f ca="1">+MID(INDEX(WORLDCUP!$AA$101:$AA$147,MATCH(Y39,WORLDCUP!$Z$101:$Z$147,0)),1,3)</f>
        <v>Arg</v>
      </c>
      <c r="AB39" s="520">
        <f>+IF(ISBLANK(INDEX(WORLDCUP!$AC$101:$AC$147,MATCH(Y39,WORLDCUP!$Z$101:$Z$147,0))),"",INDEX(WORLDCUP!$AC$101:$AC$147,MATCH(Y39,WORLDCUP!$Z$101:$Z$147,0)))</f>
        <v>3</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6" thickBot="1" x14ac:dyDescent="0.25">
      <c r="A40" s="19">
        <v>56</v>
      </c>
      <c r="B40" s="657"/>
      <c r="C40" s="580" t="str">
        <f ca="1">+MID(INDEX(WORLDCUP!$AA$4:$AA$147,MATCH(A40,WORLDCUP!$AH$4:$AH$147,0)),1,3)</f>
        <v>Ecu</v>
      </c>
      <c r="D40" s="581">
        <f>IF(ISBLANK(INDEX(WORLDCUP!$AC$4:$AC$147,MATCH(A40,WORLDCUP!$AH$4:$AH$147,0))),"",INDEX(WORLDCUP!$AC$4:$AC$147,MATCH(A40,WORLDCUP!$AH$4:$AH$147,0)))</f>
        <v>2</v>
      </c>
      <c r="E40" s="581">
        <f>IF(ISBLANK(INDEX(WORLDCUP!$AD$4:$AD$147,MATCH(A40,WORLDCUP!$AH$4:$AH$147,0))),"",INDEX(WORLDCUP!$AD$4:$AD$147,MATCH(A40,WORLDCUP!$AH$4:$AH$147,0)))</f>
        <v>1</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3</v>
      </c>
      <c r="Q40" s="581">
        <f>IF(ISBLANK(INDEX(WORLDCUP!$AD$4:$AD$147,MATCH(M40,WORLDCUP!$AH$4:$AH$147,0))),"",INDEX(WORLDCUP!$AD$4:$AD$147,MATCH(M40,WORLDCUP!$AH$4:$AH$147,0)))</f>
        <v>1</v>
      </c>
      <c r="R40" s="582" t="str">
        <f ca="1">+MID(INDEX(WORLDCUP!$AF$4:$AF$147,MATCH(M40,WORLDCUP!$AH$4:$AH$147,0)),1,3)</f>
        <v>Uzb</v>
      </c>
      <c r="S40" s="583"/>
      <c r="T40" s="583"/>
      <c r="U40" s="584"/>
      <c r="V40" s="584"/>
      <c r="W40" s="585"/>
      <c r="X40" s="19"/>
      <c r="Y40" s="19">
        <v>86</v>
      </c>
      <c r="Z40" s="518" t="s">
        <v>671</v>
      </c>
      <c r="AA40" s="519" t="str">
        <f ca="1">+MID(INDEX(WORLDCUP!$AF$101:$AF$147,MATCH(Y40,WORLDCUP!$Z$101:$Z$147,0)),1,3)</f>
        <v>Cab</v>
      </c>
      <c r="AB40" s="546">
        <f>+IF(ISBLANK(INDEX(WORLDCUP!$AD$101:$AD$147,MATCH(Y40,WORLDCUP!$Z$101:$Z$147,0))),"",INDEX(WORLDCUP!$AD$101:$AD$147,MATCH(Y40,WORLDCUP!$Z$101:$Z$147,0)))</f>
        <v>2</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3</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0</v>
      </c>
      <c r="BJ40" s="557">
        <f ca="1">COUNTIF(ADMIN!$M$182:$M$197,Fixture!BG40)-BK40-BL40-BM40-BN40-BO40</f>
        <v>1</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x14ac:dyDescent="0.2">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Egi</v>
      </c>
      <c r="AF41" s="550">
        <f>+IF(ISBLANK(INDEX(WORLDCUP!$AD$101:$AD$147,MATCH(AD41,WORLDCUP!$Z$101:$Z$147,0))),"",INDEX(WORLDCUP!$AD$101:$AD$147,MATCH(AD41,WORLDCUP!$Z$101:$Z$147,0)))</f>
        <v>2</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1</v>
      </c>
      <c r="BK41" s="558">
        <f ca="1">COUNTIF(ADMIN!$M$210:$M$217,Fixture!BG41)-BL41-BM41-BN41-BO41</f>
        <v>0</v>
      </c>
      <c r="BL41" s="558">
        <f ca="1">COUNTIF(ADMIN!$M$226:$M$229,BG41)-BM41-BN41-BO41</f>
        <v>0</v>
      </c>
      <c r="BM41" s="556">
        <f ca="1">COUNTIF(ADMIN!$M$252,Fixture!BG41)</f>
        <v>0</v>
      </c>
      <c r="BN41" s="556">
        <f ca="1">COUNTIF(ADMIN!$M$251,Fixture!BG41)</f>
        <v>0</v>
      </c>
      <c r="BO41" s="559">
        <f ca="1">COUNTIF(ADMIN!$M$250,Fixture!BG41)</f>
        <v>0</v>
      </c>
    </row>
    <row r="42" spans="1:67" ht="16" thickBot="1" x14ac:dyDescent="0.25">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Aus</v>
      </c>
      <c r="AB42" s="565">
        <f>+IF(ISBLANK(INDEX(WORLDCUP!$AC$101:$AC$147,MATCH(Y42,WORLDCUP!$Z$101:$Z$147,0))),"",INDEX(WORLDCUP!$AC$101:$AC$147,MATCH(Y42,WORLDCUP!$Z$101:$Z$147,0)))</f>
        <v>1</v>
      </c>
      <c r="AC42" s="599" t="str">
        <f>+IF(ISBLANK(INDEX(WORLDCUP!$AB$101:$AB$147,MATCH(Y42,WORLDCUP!$Z$101:$Z$147,0))),"","( "&amp;INDEX(WORLDCUP!$AB$101:$AB$147,MATCH(Y42,WORLDCUP!$Z$101:$Z$147,0))&amp;" )")</f>
        <v>( 2 )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0</v>
      </c>
      <c r="BI42" s="556">
        <f ca="1">COUNTIF(ADMIN!$M$130:$M$161,Fixture!BG42)-BJ42-BK42-BL42-BM42-BN42-BO42</f>
        <v>1</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6" thickBot="1" x14ac:dyDescent="0.25">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2</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4</v>
      </c>
      <c r="Q43" s="511">
        <f>IF(ISBLANK(INDEX(WORLDCUP!$AD$4:$AD$147,MATCH(M43,WORLDCUP!$AH$4:$AH$147,0))),"",INDEX(WORLDCUP!$AD$4:$AD$147,MATCH(M43,WORLDCUP!$AH$4:$AH$147,0)))</f>
        <v>2</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Egi</v>
      </c>
      <c r="AB43" s="574">
        <f>+IF(ISBLANK(INDEX(WORLDCUP!$AD$101:$AD$147,MATCH(Y43,WORLDCUP!$Z$101:$Z$147,0))),"",INDEX(WORLDCUP!$AD$101:$AD$147,MATCH(Y43,WORLDCUP!$Z$101:$Z$147,0)))</f>
        <v>1</v>
      </c>
      <c r="AC43" s="600" t="str">
        <f>+IF(ISBLANK(INDEX(WORLDCUP!$AE$101:$AE$147,MATCH(Y43,WORLDCUP!$Z$101:$Z$147,0))),"","( "&amp;INDEX(WORLDCUP!$AE$101:$AE$147,MATCH(Y43,WORLDCUP!$Z$101:$Z$147,0))&amp;" )")</f>
        <v>( 4 )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3</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1</v>
      </c>
      <c r="BI43" s="556">
        <f ca="1">COUNTIF(ADMIN!$M$130:$M$161,Fixture!BG43)-BJ43-BK43-BL43-BM43-BN43-BO43</f>
        <v>0</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x14ac:dyDescent="0.2">
      <c r="A44" s="19">
        <v>12</v>
      </c>
      <c r="B44" s="661"/>
      <c r="C44" s="537" t="str">
        <f ca="1">+MID(INDEX(WORLDCUP!$AA$4:$AA$147,MATCH(A44,WORLDCUP!$AH$4:$AH$147,0)),1,3)</f>
        <v>Sue</v>
      </c>
      <c r="D44" s="538">
        <f>IF(ISBLANK(INDEX(WORLDCUP!$AC$4:$AC$147,MATCH(A44,WORLDCUP!$AH$4:$AH$147,0))),"",INDEX(WORLDCUP!$AC$4:$AC$147,MATCH(A44,WORLDCUP!$AH$4:$AH$147,0)))</f>
        <v>5</v>
      </c>
      <c r="E44" s="538">
        <f>IF(ISBLANK(INDEX(WORLDCUP!$AD$4:$AD$147,MATCH(A44,WORLDCUP!$AH$4:$AH$147,0))),"",INDEX(WORLDCUP!$AD$4:$AD$147,MATCH(A44,WORLDCUP!$AH$4:$AH$147,0)))</f>
        <v>1</v>
      </c>
      <c r="F44" s="539" t="str">
        <f ca="1">+MID(INDEX(WORLDCUP!$AF$4:$AF$147,MATCH(A44,WORLDCUP!$AH$4:$AH$147,0)),1,3)</f>
        <v>Tún</v>
      </c>
      <c r="G44" s="540">
        <v>1</v>
      </c>
      <c r="H44" s="541" t="str">
        <f ca="1">+MID(INDEX(WORLDCUP!$AL$6:$AL$97,MATCH(L44,WORLDCUP!$AI$6:$AI$97,0)),1,3)</f>
        <v>Paí</v>
      </c>
      <c r="I44" s="542">
        <f ca="1">+INDEX(WORLDCUP!$AM$6:$AM$97,MATCH(L44,WORLDCUP!$AI$6:$AI$97,0))</f>
        <v>7</v>
      </c>
      <c r="J44" s="543">
        <f ca="1">+INDEX(WORLDCUP!$AT$6:$AT$97,MATCH(L44,WORLDCUP!$AI$6:$AI$97,0))</f>
        <v>6</v>
      </c>
      <c r="K44" s="544" t="str">
        <f ca="1">+INDEX(WORLDCUP!$AR$6:$AR$97,MATCH(L44,WORLDCUP!$AI$6:$AI$97,0))&amp;"-"&amp;INDEX(WORLDCUP!$AS$6:$AS$97,MATCH(L44,WORLDCUP!$AI$6:$AI$97,0))</f>
        <v>10-4</v>
      </c>
      <c r="L44" s="19" t="s">
        <v>664</v>
      </c>
      <c r="M44" s="19">
        <v>21</v>
      </c>
      <c r="N44" s="662"/>
      <c r="O44" s="537" t="str">
        <f ca="1">+MID(INDEX(WORLDCUP!$AA$4:$AA$147,MATCH(M44,WORLDCUP!$AH$4:$AH$147,0)),1,3)</f>
        <v>Gha</v>
      </c>
      <c r="P44" s="538">
        <f>IF(ISBLANK(INDEX(WORLDCUP!$AC$4:$AC$147,MATCH(M44,WORLDCUP!$AH$4:$AH$147,0))),"",INDEX(WORLDCUP!$AC$4:$AC$147,MATCH(M44,WORLDCUP!$AH$4:$AH$147,0)))</f>
        <v>1</v>
      </c>
      <c r="Q44" s="538">
        <f>IF(ISBLANK(INDEX(WORLDCUP!$AD$4:$AD$147,MATCH(M44,WORLDCUP!$AH$4:$AH$147,0))),"",INDEX(WORLDCUP!$AD$4:$AD$147,MATCH(M44,WORLDCUP!$AH$4:$AH$147,0)))</f>
        <v>0</v>
      </c>
      <c r="R44" s="539" t="str">
        <f ca="1">+MID(INDEX(WORLDCUP!$AF$4:$AF$147,MATCH(M44,WORLDCUP!$AH$4:$AH$147,0)),1,3)</f>
        <v>Pan</v>
      </c>
      <c r="S44" s="540">
        <v>1</v>
      </c>
      <c r="T44" s="541" t="str">
        <f ca="1">+MID(INDEX(WORLDCUP!$AL$6:$AL$97,MATCH(X44,WORLDCUP!$AI$6:$AI$97,0)),1,3)</f>
        <v>Ing</v>
      </c>
      <c r="U44" s="542">
        <f ca="1">+INDEX(WORLDCUP!$AM$6:$AM$97,MATCH(X44,WORLDCUP!$AI$6:$AI$97,0))</f>
        <v>7</v>
      </c>
      <c r="V44" s="543">
        <f ca="1">+INDEX(WORLDCUP!$AT$6:$AT$97,MATCH(X44,WORLDCUP!$AI$6:$AI$97,0))</f>
        <v>4</v>
      </c>
      <c r="W44" s="544" t="str">
        <f ca="1">+INDEX(WORLDCUP!$AR$6:$AR$97,MATCH(X44,WORLDCUP!$AI$6:$AI$97,0))&amp;"-"&amp;INDEX(WORLDCUP!$AS$6:$AS$97,MATCH(X44,WORLDCUP!$AI$6:$AI$97,0))</f>
        <v>6-2</v>
      </c>
      <c r="X44" s="19" t="s">
        <v>682</v>
      </c>
      <c r="Y44" s="19"/>
      <c r="Z44" s="518"/>
      <c r="AA44" s="587"/>
      <c r="AB44" s="587"/>
      <c r="AC44" s="587"/>
      <c r="AD44" s="19"/>
      <c r="AE44" s="522"/>
      <c r="AF44" s="522"/>
      <c r="AG44" s="568"/>
      <c r="AH44" s="19">
        <v>100</v>
      </c>
      <c r="AI44" s="576" t="str">
        <f ca="1">+MID(INDEX(WORLDCUP!$AF$101:$AF$147,MATCH(AH44,WORLDCUP!$Z$101:$Z$147,0)),1,3)</f>
        <v>Sui</v>
      </c>
      <c r="AJ44" s="577">
        <f>+IF(ISBLANK(INDEX(WORLDCUP!$AD$101:$AD$147,MATCH(AH44,WORLDCUP!$Z$101:$Z$147,0))),"",INDEX(WORLDCUP!$AD$101:$AD$147,MATCH(AH44,WORLDCUP!$Z$101:$Z$147,0)))</f>
        <v>1</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1</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6" thickBot="1" x14ac:dyDescent="0.25">
      <c r="A45" s="19">
        <v>35</v>
      </c>
      <c r="B45" s="661"/>
      <c r="C45" s="537" t="str">
        <f ca="1">+MID(INDEX(WORLDCUP!$AA$4:$AA$147,MATCH(A45,WORLDCUP!$AH$4:$AH$147,0)),1,3)</f>
        <v>Paí</v>
      </c>
      <c r="D45" s="538">
        <f>IF(ISBLANK(INDEX(WORLDCUP!$AC$4:$AC$147,MATCH(A45,WORLDCUP!$AH$4:$AH$147,0))),"",INDEX(WORLDCUP!$AC$4:$AC$147,MATCH(A45,WORLDCUP!$AH$4:$AH$147,0)))</f>
        <v>5</v>
      </c>
      <c r="E45" s="538">
        <f>IF(ISBLANK(INDEX(WORLDCUP!$AD$4:$AD$147,MATCH(A45,WORLDCUP!$AH$4:$AH$147,0))),"",INDEX(WORLDCUP!$AD$4:$AD$147,MATCH(A45,WORLDCUP!$AH$4:$AH$147,0)))</f>
        <v>1</v>
      </c>
      <c r="F45" s="539" t="str">
        <f ca="1">+MID(INDEX(WORLDCUP!$AF$4:$AF$147,MATCH(A45,WORLDCUP!$AH$4:$AH$147,0)),1,3)</f>
        <v>Sue</v>
      </c>
      <c r="G45" s="560">
        <v>2</v>
      </c>
      <c r="H45" s="561" t="str">
        <f ca="1">+MID(INDEX(WORLDCUP!$AL$6:$AL$97,MATCH(L45,WORLDCUP!$AI$6:$AI$97,0)),1,3)</f>
        <v>Jap</v>
      </c>
      <c r="I45" s="229">
        <f ca="1">+INDEX(WORLDCUP!$AM$6:$AM$97,MATCH(L45,WORLDCUP!$AI$6:$AI$97,0))</f>
        <v>5</v>
      </c>
      <c r="J45" s="230">
        <f ca="1">+INDEX(WORLDCUP!$AT$6:$AT$97,MATCH(L45,WORLDCUP!$AI$6:$AI$97,0))</f>
        <v>4</v>
      </c>
      <c r="K45" s="231" t="str">
        <f ca="1">+INDEX(WORLDCUP!$AR$6:$AR$97,MATCH(L45,WORLDCUP!$AI$6:$AI$97,0))&amp;"-"&amp;INDEX(WORLDCUP!$AS$6:$AS$97,MATCH(L45,WORLDCUP!$AI$6:$AI$97,0))</f>
        <v>7-3</v>
      </c>
      <c r="L45" s="19" t="s">
        <v>665</v>
      </c>
      <c r="M45" s="19">
        <v>45</v>
      </c>
      <c r="N45" s="662"/>
      <c r="O45" s="537" t="str">
        <f ca="1">+MID(INDEX(WORLDCUP!$AA$4:$AA$147,MATCH(M45,WORLDCUP!$AH$4:$AH$147,0)),1,3)</f>
        <v>Ing</v>
      </c>
      <c r="P45" s="538">
        <f>IF(ISBLANK(INDEX(WORLDCUP!$AC$4:$AC$147,MATCH(M45,WORLDCUP!$AH$4:$AH$147,0))),"",INDEX(WORLDCUP!$AC$4:$AC$147,MATCH(M45,WORLDCUP!$AH$4:$AH$147,0)))</f>
        <v>0</v>
      </c>
      <c r="Q45" s="538">
        <f>IF(ISBLANK(INDEX(WORLDCUP!$AD$4:$AD$147,MATCH(M45,WORLDCUP!$AH$4:$AH$147,0))),"",INDEX(WORLDCUP!$AD$4:$AD$147,MATCH(M45,WORLDCUP!$AH$4:$AH$147,0)))</f>
        <v>0</v>
      </c>
      <c r="R45" s="539" t="str">
        <f ca="1">+MID(INDEX(WORLDCUP!$AF$4:$AF$147,MATCH(M45,WORLDCUP!$AH$4:$AH$147,0)),1,3)</f>
        <v>Gha</v>
      </c>
      <c r="S45" s="560">
        <v>2</v>
      </c>
      <c r="T45" s="561" t="str">
        <f ca="1">+MID(INDEX(WORLDCUP!$AL$6:$AL$97,MATCH(X45,WORLDCUP!$AI$6:$AI$97,0)),1,3)</f>
        <v>Cro</v>
      </c>
      <c r="U45" s="229">
        <f ca="1">+INDEX(WORLDCUP!$AM$6:$AM$97,MATCH(X45,WORLDCUP!$AI$6:$AI$97,0))</f>
        <v>6</v>
      </c>
      <c r="V45" s="230">
        <f ca="1">+INDEX(WORLDCUP!$AT$6:$AT$97,MATCH(X45,WORLDCUP!$AI$6:$AI$97,0))</f>
        <v>0</v>
      </c>
      <c r="W45" s="231" t="str">
        <f ca="1">+INDEX(WORLDCUP!$AR$6:$AR$97,MATCH(X45,WORLDCUP!$AI$6:$AI$97,0))&amp;"-"&amp;INDEX(WORLDCUP!$AS$6:$AS$97,MATCH(X45,WORLDCUP!$AI$6:$AI$97,0))</f>
        <v>6-6</v>
      </c>
      <c r="X45" s="19" t="s">
        <v>683</v>
      </c>
      <c r="Y45" s="19">
        <v>85</v>
      </c>
      <c r="Z45" s="518" t="s">
        <v>648</v>
      </c>
      <c r="AA45" s="519" t="str">
        <f ca="1">+MID(INDEX(WORLDCUP!$AA$101:$AA$147,MATCH(Y45,WORLDCUP!$Z$101:$Z$147,0)),1,3)</f>
        <v>Sui</v>
      </c>
      <c r="AB45" s="520">
        <f>+IF(ISBLANK(INDEX(WORLDCUP!$AC$101:$AC$147,MATCH(Y45,WORLDCUP!$Z$101:$Z$147,0))),"",INDEX(WORLDCUP!$AC$101:$AC$147,MATCH(Y45,WORLDCUP!$Z$101:$Z$147,0)))</f>
        <v>2</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0</v>
      </c>
      <c r="BI45" s="556">
        <f ca="1">COUNTIF(ADMIN!$M$130:$M$161,Fixture!BG45)-BJ45-BK45-BL45-BM45-BN45-BO45</f>
        <v>1</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6" thickBot="1" x14ac:dyDescent="0.25">
      <c r="A46" s="19">
        <v>36</v>
      </c>
      <c r="B46" s="661"/>
      <c r="C46" s="537" t="str">
        <f ca="1">+MID(INDEX(WORLDCUP!$AA$4:$AA$147,MATCH(A46,WORLDCUP!$AH$4:$AH$147,0)),1,3)</f>
        <v>Tún</v>
      </c>
      <c r="D46" s="538">
        <f>IF(ISBLANK(INDEX(WORLDCUP!$AC$4:$AC$147,MATCH(A46,WORLDCUP!$AH$4:$AH$147,0))),"",INDEX(WORLDCUP!$AC$4:$AC$147,MATCH(A46,WORLDCUP!$AH$4:$AH$147,0)))</f>
        <v>0</v>
      </c>
      <c r="E46" s="538">
        <f>IF(ISBLANK(INDEX(WORLDCUP!$AD$4:$AD$147,MATCH(A46,WORLDCUP!$AH$4:$AH$147,0))),"",INDEX(WORLDCUP!$AD$4:$AD$147,MATCH(A46,WORLDCUP!$AH$4:$AH$147,0)))</f>
        <v>4</v>
      </c>
      <c r="F46" s="539" t="str">
        <f ca="1">+MID(INDEX(WORLDCUP!$AF$4:$AF$147,MATCH(A46,WORLDCUP!$AH$4:$AH$147,0)),1,3)</f>
        <v>Jap</v>
      </c>
      <c r="G46" s="560">
        <v>3</v>
      </c>
      <c r="H46" s="561" t="str">
        <f ca="1">+MID(INDEX(WORLDCUP!$AL$6:$AL$97,MATCH(L46,WORLDCUP!$AI$6:$AI$97,0)),1,3)</f>
        <v>Sue</v>
      </c>
      <c r="I46" s="229">
        <f ca="1">+INDEX(WORLDCUP!$AM$6:$AM$97,MATCH(L46,WORLDCUP!$AI$6:$AI$97,0))</f>
        <v>4</v>
      </c>
      <c r="J46" s="230">
        <f ca="1">+INDEX(WORLDCUP!$AT$6:$AT$97,MATCH(L46,WORLDCUP!$AI$6:$AI$97,0))</f>
        <v>0</v>
      </c>
      <c r="K46" s="231" t="str">
        <f ca="1">+INDEX(WORLDCUP!$AR$6:$AR$97,MATCH(L46,WORLDCUP!$AI$6:$AI$97,0))&amp;"-"&amp;INDEX(WORLDCUP!$AS$6:$AS$97,MATCH(L46,WORLDCUP!$AI$6:$AI$97,0))</f>
        <v>7-7</v>
      </c>
      <c r="L46" s="19" t="s">
        <v>94</v>
      </c>
      <c r="M46" s="19">
        <v>46</v>
      </c>
      <c r="N46" s="662"/>
      <c r="O46" s="537" t="str">
        <f ca="1">+MID(INDEX(WORLDCUP!$AA$4:$AA$147,MATCH(M46,WORLDCUP!$AH$4:$AH$147,0)),1,3)</f>
        <v>Pan</v>
      </c>
      <c r="P46" s="538">
        <f>IF(ISBLANK(INDEX(WORLDCUP!$AC$4:$AC$147,MATCH(M46,WORLDCUP!$AH$4:$AH$147,0))),"",INDEX(WORLDCUP!$AC$4:$AC$147,MATCH(M46,WORLDCUP!$AH$4:$AH$147,0)))</f>
        <v>1</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4</v>
      </c>
      <c r="V46" s="230">
        <f ca="1">+INDEX(WORLDCUP!$AT$6:$AT$97,MATCH(X46,WORLDCUP!$AI$6:$AI$97,0))</f>
        <v>0</v>
      </c>
      <c r="W46" s="231" t="str">
        <f ca="1">+INDEX(WORLDCUP!$AR$6:$AR$97,MATCH(X46,WORLDCUP!$AI$6:$AI$97,0))&amp;"-"&amp;INDEX(WORLDCUP!$AS$6:$AS$97,MATCH(X46,WORLDCUP!$AI$6:$AI$97,0))</f>
        <v>2-2</v>
      </c>
      <c r="X46" s="19" t="s">
        <v>443</v>
      </c>
      <c r="Y46" s="19">
        <v>85</v>
      </c>
      <c r="Z46" s="518" t="s">
        <v>728</v>
      </c>
      <c r="AA46" s="519" t="str">
        <f ca="1">+MID(INDEX(WORLDCUP!$AF$101:$AF$147,MATCH(Y46,WORLDCUP!$Z$101:$Z$147,0)),1,IF(WORLDCUP!$H$113&lt;144,6,3))</f>
        <v>Arg</v>
      </c>
      <c r="AB46" s="546">
        <f>+IF(ISBLANK(INDEX(WORLDCUP!$AD$101:$AD$147,MATCH(Y46,WORLDCUP!$Z$101:$Z$147,0))),"",INDEX(WORLDCUP!$AD$101:$AD$147,MATCH(Y46,WORLDCUP!$Z$101:$Z$147,0)))</f>
        <v>0</v>
      </c>
      <c r="AC46" s="547" t="str">
        <f>+IF(ISBLANK(INDEX(WORLDCUP!$AE$101:$AE$147,MATCH(Y46,WORLDCUP!$Z$101:$Z$147,0))),"","( "&amp;INDEX(WORLDCUP!$AE$101:$AE$147,MATCH(Y46,WORLDCUP!$Z$101:$Z$147,0))&amp;" )")</f>
        <v/>
      </c>
      <c r="AD46" s="548">
        <v>96</v>
      </c>
      <c r="AE46" s="549" t="str">
        <f ca="1">+MID(INDEX(WORLDCUP!$AA$101:$AA$147,MATCH(AD46,WORLDCUP!$Z$101:$Z$147,0)),1,3)</f>
        <v>Sui</v>
      </c>
      <c r="AF46" s="550">
        <f>+IF(ISBLANK(INDEX(WORLDCUP!$AC$101:$AC$147,MATCH(AD46,WORLDCUP!$Z$101:$Z$147,0))),"",INDEX(WORLDCUP!$AC$101:$AC$147,MATCH(AD46,WORLDCUP!$Z$101:$Z$147,0)))</f>
        <v>0</v>
      </c>
      <c r="AG46" s="593" t="str">
        <f>+IF(ISBLANK(INDEX(WORLDCUP!$AB$101:$AB$147,MATCH(AD46,WORLDCUP!$Z$101:$Z$147,0))),"","( "&amp;INDEX(WORLDCUP!$AB$101:$AB$147,MATCH(AD46,WORLDCUP!$Z$101:$Z$147,0))&amp;" )")</f>
        <v>( 4 )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x14ac:dyDescent="0.2">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1</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-10</v>
      </c>
      <c r="K47" s="572" t="str">
        <f ca="1">+INDEX(WORLDCUP!$AR$6:$AR$97,MATCH(L47,WORLDCUP!$AI$6:$AI$97,0))&amp;"-"&amp;INDEX(WORLDCUP!$AS$6:$AS$97,MATCH(L47,WORLDCUP!$AI$6:$AI$97,0))</f>
        <v>2-12</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2</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-4</v>
      </c>
      <c r="W47" s="572" t="str">
        <f ca="1">+INDEX(WORLDCUP!$AR$6:$AR$97,MATCH(X47,WORLDCUP!$AI$6:$AI$97,0))&amp;"-"&amp;INDEX(WORLDCUP!$AS$6:$AS$97,MATCH(X47,WORLDCUP!$AI$6:$AI$97,0))</f>
        <v>1-5</v>
      </c>
      <c r="X47" s="19" t="s">
        <v>684</v>
      </c>
      <c r="Y47" s="19"/>
      <c r="Z47" s="518"/>
      <c r="AA47" s="562"/>
      <c r="AB47" s="562"/>
      <c r="AC47" s="563"/>
      <c r="AD47" s="19">
        <v>96</v>
      </c>
      <c r="AE47" s="549" t="str">
        <f ca="1">+MID(INDEX(WORLDCUP!$AF$101:$AF$147,MATCH(AD47,WORLDCUP!$Z$101:$Z$147,0)),1,3)</f>
        <v>Col</v>
      </c>
      <c r="AF47" s="550">
        <f>+IF(ISBLANK(INDEX(WORLDCUP!$AD$101:$AD$147,MATCH(AD47,WORLDCUP!$Z$101:$Z$147,0))),"",INDEX(WORLDCUP!$AD$101:$AD$147,MATCH(AD47,WORLDCUP!$Z$101:$Z$147,0)))</f>
        <v>0</v>
      </c>
      <c r="AG47" s="567" t="str">
        <f>+IF(ISBLANK(INDEX(WORLDCUP!$AE$101:$AE$147,MATCH(AD47,WORLDCUP!$Z$101:$Z$147,0))),"","( "&amp;INDEX(WORLDCUP!$AE$101:$AE$147,MATCH(AD47,WORLDCUP!$Z$101:$Z$147,0))&amp;" )")</f>
        <v>( 3 )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0</v>
      </c>
      <c r="BK47" s="558">
        <f ca="1">COUNTIF(ADMIN!$M$210:$M$217,Fixture!BG47)-BL47-BM47-BN47-BO47</f>
        <v>1</v>
      </c>
      <c r="BL47" s="558">
        <f ca="1">COUNTIF(ADMIN!$M$226:$M$229,BG47)-BM47-BN47-BO47</f>
        <v>0</v>
      </c>
      <c r="BM47" s="556">
        <f ca="1">COUNTIF(ADMIN!$M$252,Fixture!BG47)</f>
        <v>0</v>
      </c>
      <c r="BN47" s="556">
        <f ca="1">COUNTIF(ADMIN!$M$251,Fixture!BG47)</f>
        <v>0</v>
      </c>
      <c r="BO47" s="559">
        <f ca="1">COUNTIF(ADMIN!$M$250,Fixture!BG47)</f>
        <v>0</v>
      </c>
    </row>
    <row r="48" spans="1:67" ht="16" thickBot="1" x14ac:dyDescent="0.25">
      <c r="A48" s="19">
        <v>58</v>
      </c>
      <c r="B48" s="663"/>
      <c r="C48" s="580" t="str">
        <f ca="1">+MID(INDEX(WORLDCUP!$AA$4:$AA$147,MATCH(A48,WORLDCUP!$AH$4:$AH$147,0)),1,3)</f>
        <v>Tún</v>
      </c>
      <c r="D48" s="581">
        <f>IF(ISBLANK(INDEX(WORLDCUP!$AC$4:$AC$147,MATCH(A48,WORLDCUP!$AH$4:$AH$147,0))),"",INDEX(WORLDCUP!$AC$4:$AC$147,MATCH(A48,WORLDCUP!$AH$4:$AH$147,0)))</f>
        <v>1</v>
      </c>
      <c r="E48" s="581">
        <f>IF(ISBLANK(INDEX(WORLDCUP!$AD$4:$AD$147,MATCH(A48,WORLDCUP!$AH$4:$AH$147,0))),"",INDEX(WORLDCUP!$AD$4:$AD$147,MATCH(A48,WORLDCUP!$AH$4:$AH$147,0)))</f>
        <v>3</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Col</v>
      </c>
      <c r="AB48" s="565">
        <f>+IF(ISBLANK(INDEX(WORLDCUP!$AC$101:$AC$147,MATCH(Y48,WORLDCUP!$Z$101:$Z$147,0))),"",INDEX(WORLDCUP!$AC$101:$AC$147,MATCH(Y48,WORLDCUP!$Z$101:$Z$147,0)))</f>
        <v>1</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x14ac:dyDescent="0.2">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Gha</v>
      </c>
      <c r="AB49" s="574">
        <f>+IF(ISBLANK(INDEX(WORLDCUP!$AD$101:$AD$147,MATCH(Y49,WORLDCUP!$Z$101:$Z$147,0))),"",INDEX(WORLDCUP!$AD$101:$AD$147,MATCH(Y49,WORLDCUP!$Z$101:$Z$147,0)))</f>
        <v>0</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1</v>
      </c>
      <c r="BI49" s="556">
        <f ca="1">COUNTIF(ADMIN!$M$130:$M$161,Fixture!BG49)-BJ49-BK49-BL49-BM49-BN49-BO49</f>
        <v>0</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x14ac:dyDescent="0.2">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1</v>
      </c>
      <c r="BI50" s="556">
        <f ca="1">COUNTIF(ADMIN!$M$130:$M$161,Fixture!BG50)-BJ50-BK50-BL50-BM50-BN50-BO50</f>
        <v>0</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x14ac:dyDescent="0.2">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x14ac:dyDescent="0.2">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x14ac:dyDescent="0.2">
      <c r="W53" s="8"/>
      <c r="X53" s="1"/>
      <c r="BB53" s="594"/>
    </row>
    <row r="54" spans="1:67" x14ac:dyDescent="0.2">
      <c r="W54" s="8"/>
      <c r="X54" s="1"/>
      <c r="BB54" s="594"/>
    </row>
    <row r="55" spans="1:67" x14ac:dyDescent="0.2">
      <c r="W55" s="8"/>
      <c r="X55" s="1"/>
      <c r="BB55" s="594"/>
    </row>
    <row r="56" spans="1:67" x14ac:dyDescent="0.2">
      <c r="W56" s="8"/>
      <c r="X56" s="1"/>
      <c r="BB56" s="594"/>
    </row>
    <row r="57" spans="1:67" x14ac:dyDescent="0.2">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6" customWidth="1"/>
    <col min="2" max="2" width="13.33203125" customWidth="1"/>
    <col min="3" max="3" width="32.83203125" customWidth="1"/>
    <col min="4" max="4" width="0.5" customWidth="1"/>
    <col min="6" max="6" width="0.5" customWidth="1"/>
    <col min="10" max="10" width="10.83203125" customWidth="1"/>
    <col min="11" max="11" width="3.5" customWidth="1"/>
    <col min="14" max="17" width="15.83203125" customWidth="1"/>
    <col min="18" max="18" width="17.5" customWidth="1"/>
    <col min="19" max="22" width="10.83203125" style="11"/>
    <col min="23" max="24" width="10.83203125" style="11" hidden="1" customWidth="1"/>
    <col min="25" max="25" width="10.83203125" style="11"/>
    <col min="26" max="28" width="10.83203125" style="9"/>
  </cols>
  <sheetData>
    <row r="1" spans="1:20" x14ac:dyDescent="0.2">
      <c r="A1" s="26"/>
      <c r="B1" s="26"/>
      <c r="C1" s="26"/>
      <c r="D1" s="26"/>
      <c r="E1" s="28"/>
      <c r="F1" s="28"/>
      <c r="G1" s="28"/>
      <c r="H1" s="28"/>
      <c r="I1" s="28"/>
      <c r="J1" s="28"/>
      <c r="K1" s="27"/>
      <c r="L1" s="27"/>
      <c r="M1" s="27"/>
      <c r="N1" s="27"/>
    </row>
    <row r="2" spans="1:20" x14ac:dyDescent="0.2">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x14ac:dyDescent="0.2">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x14ac:dyDescent="0.2">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x14ac:dyDescent="0.2">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x14ac:dyDescent="0.2">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x14ac:dyDescent="0.2">
      <c r="A7" s="26"/>
      <c r="B7" s="861"/>
      <c r="C7" s="862"/>
      <c r="D7" s="862"/>
      <c r="E7" s="862"/>
      <c r="F7" s="862"/>
      <c r="G7" s="862"/>
      <c r="H7" s="862"/>
      <c r="I7" s="862"/>
      <c r="J7" s="863"/>
      <c r="K7" s="27"/>
      <c r="L7" s="685"/>
      <c r="M7" s="686"/>
      <c r="N7" s="686"/>
      <c r="O7" s="686"/>
      <c r="P7" s="686"/>
      <c r="Q7" s="686"/>
      <c r="R7" s="686"/>
      <c r="S7" s="701"/>
      <c r="T7" s="702"/>
    </row>
    <row r="8" spans="1:20" x14ac:dyDescent="0.2">
      <c r="A8" s="26"/>
      <c r="B8" s="861"/>
      <c r="C8" s="862"/>
      <c r="D8" s="862"/>
      <c r="E8" s="862"/>
      <c r="F8" s="862"/>
      <c r="G8" s="862"/>
      <c r="H8" s="862"/>
      <c r="I8" s="862"/>
      <c r="J8" s="863"/>
      <c r="K8" s="27"/>
      <c r="L8" s="4"/>
      <c r="M8" s="4"/>
      <c r="N8" s="4"/>
      <c r="O8" s="4"/>
      <c r="P8" s="4"/>
      <c r="Q8" s="4"/>
      <c r="R8" s="4"/>
      <c r="S8" s="696"/>
      <c r="T8" s="696"/>
    </row>
    <row r="9" spans="1:20" x14ac:dyDescent="0.2">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x14ac:dyDescent="0.2">
      <c r="A10" s="26"/>
      <c r="B10" s="861"/>
      <c r="C10" s="862"/>
      <c r="D10" s="862"/>
      <c r="E10" s="862"/>
      <c r="F10" s="862"/>
      <c r="G10" s="862"/>
      <c r="H10" s="862"/>
      <c r="I10" s="862"/>
      <c r="J10" s="863"/>
      <c r="K10" s="27"/>
      <c r="L10" s="682"/>
      <c r="M10" s="683"/>
      <c r="N10" s="683"/>
      <c r="O10" s="683"/>
      <c r="P10" s="683"/>
      <c r="Q10" s="683"/>
      <c r="R10" s="683"/>
      <c r="S10" s="697"/>
      <c r="T10" s="698"/>
    </row>
    <row r="11" spans="1:20" x14ac:dyDescent="0.2">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x14ac:dyDescent="0.2">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x14ac:dyDescent="0.2">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x14ac:dyDescent="0.2">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x14ac:dyDescent="0.2">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x14ac:dyDescent="0.2">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x14ac:dyDescent="0.2">
      <c r="A17" s="26"/>
      <c r="B17" s="155"/>
      <c r="C17" s="156"/>
      <c r="D17" s="156"/>
      <c r="E17" s="156"/>
      <c r="F17" s="156"/>
      <c r="G17" s="156"/>
      <c r="H17" s="156"/>
      <c r="I17" s="156"/>
      <c r="J17" s="157"/>
      <c r="K17" s="27"/>
      <c r="L17" s="27"/>
      <c r="M17" s="27"/>
      <c r="N17" s="27"/>
      <c r="O17" s="27"/>
      <c r="P17" s="27"/>
      <c r="Q17" s="27"/>
      <c r="R17" s="27"/>
      <c r="S17" s="696"/>
      <c r="T17" s="696"/>
    </row>
    <row r="18" spans="1:20" x14ac:dyDescent="0.2">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 customHeight="1" x14ac:dyDescent="0.2">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x14ac:dyDescent="0.2">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 customHeight="1" x14ac:dyDescent="0.2">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 customHeight="1" x14ac:dyDescent="0.2">
      <c r="A22" s="35"/>
      <c r="B22" s="168"/>
      <c r="C22" s="171"/>
      <c r="D22" s="171"/>
      <c r="E22" s="171"/>
      <c r="F22" s="171"/>
      <c r="G22" s="171"/>
      <c r="H22" s="171"/>
      <c r="I22" s="167"/>
      <c r="J22" s="172"/>
      <c r="K22" s="35"/>
      <c r="L22" s="684"/>
      <c r="M22" s="147"/>
      <c r="N22" s="147"/>
      <c r="O22" s="147"/>
      <c r="P22" s="147"/>
      <c r="Q22" s="147"/>
      <c r="R22" s="147"/>
      <c r="S22" s="699"/>
      <c r="T22" s="700"/>
    </row>
    <row r="23" spans="1:20" ht="20" customHeight="1" x14ac:dyDescent="0.2">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 customHeight="1" x14ac:dyDescent="0.2">
      <c r="A24" s="35"/>
      <c r="B24" s="168"/>
      <c r="C24" s="171"/>
      <c r="D24" s="171"/>
      <c r="E24" s="171"/>
      <c r="F24" s="171"/>
      <c r="G24" s="171"/>
      <c r="H24" s="171"/>
      <c r="I24" s="171"/>
      <c r="J24" s="172"/>
      <c r="K24" s="35"/>
      <c r="L24" s="684"/>
      <c r="M24" s="147"/>
      <c r="N24" s="147"/>
      <c r="O24" s="147"/>
      <c r="P24" s="147"/>
      <c r="Q24" s="147"/>
      <c r="R24" s="147"/>
      <c r="S24" s="699"/>
      <c r="T24" s="700"/>
    </row>
    <row r="25" spans="1:20" ht="20" customHeight="1" x14ac:dyDescent="0.2">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 customHeight="1" x14ac:dyDescent="0.2">
      <c r="A26" s="35"/>
      <c r="B26" s="168"/>
      <c r="C26" s="171"/>
      <c r="D26" s="171"/>
      <c r="E26" s="171"/>
      <c r="F26" s="171"/>
      <c r="G26" s="171"/>
      <c r="H26" s="171"/>
      <c r="I26" s="171"/>
      <c r="J26" s="172"/>
      <c r="K26" s="35"/>
      <c r="L26" s="684"/>
      <c r="M26" s="147"/>
      <c r="N26" s="147"/>
      <c r="O26" s="147"/>
      <c r="P26" s="147"/>
      <c r="Q26" s="147"/>
      <c r="R26" s="147"/>
      <c r="S26" s="699"/>
      <c r="T26" s="700"/>
    </row>
    <row r="27" spans="1:20" ht="20" customHeight="1" x14ac:dyDescent="0.2">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 customHeight="1" x14ac:dyDescent="0.2">
      <c r="A28" s="35"/>
      <c r="B28" s="168"/>
      <c r="C28" s="171"/>
      <c r="D28" s="171"/>
      <c r="E28" s="171"/>
      <c r="F28" s="171"/>
      <c r="G28" s="171"/>
      <c r="H28" s="171"/>
      <c r="I28" s="171"/>
      <c r="J28" s="172"/>
      <c r="K28" s="35"/>
    </row>
    <row r="29" spans="1:20" ht="20" customHeight="1" x14ac:dyDescent="0.2">
      <c r="A29" s="35"/>
      <c r="B29" s="168"/>
      <c r="C29" s="169" t="s">
        <v>1270</v>
      </c>
      <c r="D29" s="170"/>
      <c r="E29" s="39">
        <v>0</v>
      </c>
      <c r="F29" s="170"/>
      <c r="G29" s="38">
        <v>2</v>
      </c>
      <c r="H29" s="171"/>
      <c r="I29" s="171"/>
      <c r="J29" s="172"/>
      <c r="K29" s="35"/>
    </row>
    <row r="30" spans="1:20" ht="2" customHeight="1" x14ac:dyDescent="0.2">
      <c r="A30" s="35"/>
      <c r="B30" s="168"/>
      <c r="C30" s="171"/>
      <c r="D30" s="171"/>
      <c r="E30" s="171"/>
      <c r="F30" s="171"/>
      <c r="G30" s="171"/>
      <c r="H30" s="171"/>
      <c r="I30" s="171"/>
      <c r="J30" s="172"/>
      <c r="K30" s="35"/>
      <c r="L30" s="36"/>
    </row>
    <row r="31" spans="1:20" ht="20" customHeight="1" x14ac:dyDescent="0.2">
      <c r="A31" s="35"/>
      <c r="B31" s="168"/>
      <c r="C31" s="169" t="s">
        <v>1271</v>
      </c>
      <c r="D31" s="170"/>
      <c r="E31" s="38">
        <v>2</v>
      </c>
      <c r="F31" s="170"/>
      <c r="G31" s="39">
        <v>0</v>
      </c>
      <c r="H31" s="171"/>
      <c r="I31" s="171"/>
      <c r="J31" s="172"/>
      <c r="K31" s="35"/>
      <c r="L31" s="688" t="s">
        <v>1916</v>
      </c>
    </row>
    <row r="32" spans="1:20" ht="18" customHeight="1" x14ac:dyDescent="0.2">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6" thickBot="1" x14ac:dyDescent="0.25">
      <c r="A33" s="27"/>
      <c r="B33" s="3"/>
      <c r="C33" s="3"/>
      <c r="D33" s="3"/>
      <c r="E33" s="3"/>
      <c r="F33" s="3"/>
      <c r="G33" s="3"/>
      <c r="H33" s="3"/>
      <c r="I33" s="3"/>
      <c r="J33" s="3"/>
      <c r="K33" s="27"/>
      <c r="L33" s="27"/>
    </row>
    <row r="34" spans="1:20" ht="28" customHeight="1" thickBot="1" x14ac:dyDescent="0.25">
      <c r="A34" s="27"/>
      <c r="B34" s="867" t="str">
        <f>HYPERLINK(Idiomas!D10,Idiomas!D9)</f>
        <v>Versiones para más participantes</v>
      </c>
      <c r="C34" s="868"/>
      <c r="D34" s="868"/>
      <c r="E34" s="868"/>
      <c r="F34" s="868"/>
      <c r="G34" s="868"/>
      <c r="H34" s="868"/>
      <c r="I34" s="868"/>
      <c r="J34" s="868"/>
      <c r="K34" s="27"/>
      <c r="L34" s="688" t="s">
        <v>1878</v>
      </c>
    </row>
    <row r="35" spans="1:20" ht="18" customHeight="1" thickBot="1" x14ac:dyDescent="0.25">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9" thickBot="1" x14ac:dyDescent="0.25">
      <c r="A36" s="27"/>
      <c r="B36" s="4"/>
      <c r="C36" s="40" t="s">
        <v>1335</v>
      </c>
      <c r="D36" s="27"/>
      <c r="E36" s="27"/>
      <c r="F36" s="27"/>
      <c r="G36" s="27"/>
      <c r="H36" s="46" t="str">
        <f>HYPERLINK(Idiomas!D13,"FAQ")</f>
        <v>FAQ</v>
      </c>
      <c r="I36" s="27"/>
      <c r="J36" s="27"/>
      <c r="K36" s="27"/>
      <c r="L36" s="27"/>
      <c r="M36" s="26"/>
      <c r="N36" s="27"/>
    </row>
    <row r="37" spans="1:20" ht="15" customHeight="1" x14ac:dyDescent="0.2">
      <c r="A37" s="27"/>
      <c r="B37" s="4"/>
      <c r="C37" s="4"/>
      <c r="D37" s="4"/>
      <c r="E37" s="4"/>
      <c r="F37" s="4"/>
      <c r="G37" s="4"/>
      <c r="H37" s="4"/>
      <c r="I37" s="4"/>
      <c r="J37" s="4"/>
      <c r="K37" s="27"/>
      <c r="L37" s="688" t="s">
        <v>1888</v>
      </c>
      <c r="M37" s="26"/>
      <c r="N37" s="27"/>
    </row>
    <row r="38" spans="1:20" ht="34" customHeight="1" x14ac:dyDescent="0.2">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x14ac:dyDescent="0.2">
      <c r="L40" s="688" t="s">
        <v>1656</v>
      </c>
      <c r="M40" s="689"/>
      <c r="N40" s="689"/>
      <c r="O40" s="689"/>
      <c r="P40" s="689"/>
      <c r="Q40" s="689"/>
      <c r="R40" s="689"/>
      <c r="S40" s="705"/>
      <c r="T40" s="705"/>
    </row>
    <row r="41" spans="1:20" x14ac:dyDescent="0.2">
      <c r="L41" s="682" t="str">
        <f>Idiomas!D108</f>
        <v>· En estas hoja podrás ver diferentes estadísticas generales y por partido</v>
      </c>
      <c r="M41" s="683"/>
      <c r="N41" s="683"/>
      <c r="O41" s="683"/>
      <c r="P41" s="683"/>
      <c r="Q41" s="683"/>
      <c r="R41" s="683"/>
      <c r="S41" s="697"/>
      <c r="T41" s="698"/>
    </row>
    <row r="42" spans="1:20" x14ac:dyDescent="0.2">
      <c r="L42" s="694" t="str">
        <f>Idiomas!D109</f>
        <v>· Para verlas correctamente necesitas una versión posterior a excel 2021</v>
      </c>
      <c r="M42" s="695"/>
      <c r="N42" s="695"/>
      <c r="O42" s="695"/>
      <c r="P42" s="695"/>
      <c r="Q42" s="695"/>
      <c r="R42" s="695"/>
      <c r="S42" s="706"/>
      <c r="T42" s="707"/>
    </row>
    <row r="44" spans="1:20" x14ac:dyDescent="0.2">
      <c r="L44" s="688" t="s">
        <v>1305</v>
      </c>
      <c r="M44" s="689"/>
      <c r="N44" s="689"/>
      <c r="O44" s="689"/>
      <c r="P44" s="689"/>
      <c r="Q44" s="689"/>
      <c r="R44" s="689"/>
      <c r="S44" s="705"/>
      <c r="T44" s="705"/>
    </row>
    <row r="45" spans="1:20" ht="18" customHeight="1" x14ac:dyDescent="0.2">
      <c r="L45" s="692" t="str">
        <f>Idiomas!D110</f>
        <v xml:space="preserve">· En esta hoja puedes ver de un vistazo el cuadro del mundial </v>
      </c>
      <c r="M45" s="693"/>
      <c r="N45" s="693"/>
      <c r="O45" s="693"/>
      <c r="P45" s="693"/>
      <c r="Q45" s="693"/>
      <c r="R45" s="693"/>
      <c r="S45" s="703"/>
      <c r="T45" s="704"/>
    </row>
    <row r="84" spans="13:25" ht="60" customHeight="1" x14ac:dyDescent="0.2">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x14ac:dyDescent="0.2">
      <c r="M86" s="501" t="s">
        <v>1791</v>
      </c>
      <c r="T86" s="501" t="s">
        <v>1795</v>
      </c>
      <c r="U86" s="501" t="s">
        <v>1792</v>
      </c>
      <c r="V86" s="501" t="s">
        <v>1793</v>
      </c>
      <c r="W86" s="501" t="s">
        <v>1800</v>
      </c>
      <c r="X86" s="501" t="s">
        <v>1801</v>
      </c>
      <c r="Y86" s="501" t="s">
        <v>1802</v>
      </c>
    </row>
    <row r="87" spans="13:25" x14ac:dyDescent="0.2">
      <c r="M87" s="680" t="s">
        <v>1794</v>
      </c>
      <c r="N87" s="11" t="str">
        <f>IFERROR(IF(J18="",$U$87,INDEX($U$87:$U$91,MATCH(M87,$T$87:$T$91,0))),"")</f>
        <v>Irán</v>
      </c>
      <c r="O87" s="11" t="str">
        <f>IFERROR(IF(J18="",$V$87,INDEX($V$87:$V$91,MATCH(M87,$T$87:$T$91,0))),"")</f>
        <v>Iran</v>
      </c>
      <c r="T87" s="708" t="s">
        <v>1794</v>
      </c>
      <c r="U87" s="8" t="s">
        <v>1262</v>
      </c>
      <c r="V87" s="8" t="s">
        <v>1282</v>
      </c>
      <c r="W87" s="8" t="s">
        <v>1283</v>
      </c>
      <c r="X87" s="8" t="e" vm="3">
        <v>#VALUE!</v>
      </c>
      <c r="Y87" s="8">
        <v>3.5</v>
      </c>
    </row>
    <row r="88" spans="13:25" x14ac:dyDescent="0.2">
      <c r="T88" s="708" t="s">
        <v>1796</v>
      </c>
      <c r="U88" s="8" t="s">
        <v>1755</v>
      </c>
      <c r="V88" s="8" t="s">
        <v>1756</v>
      </c>
      <c r="W88" s="8" t="s">
        <v>1760</v>
      </c>
      <c r="X88" s="708" t="e" vm="4">
        <v>#VALUE!</v>
      </c>
      <c r="Y88" s="8">
        <v>4</v>
      </c>
    </row>
    <row r="89" spans="13:25" ht="16" x14ac:dyDescent="0.2">
      <c r="T89" s="708" t="s">
        <v>1797</v>
      </c>
      <c r="U89" s="8" t="s">
        <v>1786</v>
      </c>
      <c r="V89" s="8" t="s">
        <v>1786</v>
      </c>
      <c r="W89" s="709" t="s">
        <v>1787</v>
      </c>
      <c r="X89" s="708" t="e" vm="5">
        <v>#VALUE!</v>
      </c>
      <c r="Y89" s="8">
        <v>-4</v>
      </c>
    </row>
    <row r="90" spans="13:25" ht="16" x14ac:dyDescent="0.2">
      <c r="T90" s="708" t="s">
        <v>1798</v>
      </c>
      <c r="U90" s="8" t="s">
        <v>1788</v>
      </c>
      <c r="V90" s="8" t="s">
        <v>1789</v>
      </c>
      <c r="W90" s="710" t="s">
        <v>1790</v>
      </c>
      <c r="X90" s="708" t="e" vm="6">
        <v>#VALUE!</v>
      </c>
      <c r="Y90" s="8">
        <v>-3</v>
      </c>
    </row>
    <row r="91" spans="13:25" x14ac:dyDescent="0.2">
      <c r="T91" s="708" t="s">
        <v>1799</v>
      </c>
      <c r="U91" s="8" t="str">
        <f>N93</f>
        <v>Escribe la selección</v>
      </c>
      <c r="V91" s="8" t="str">
        <f>O93</f>
        <v>Write the nation</v>
      </c>
      <c r="W91" s="8" t="str">
        <f>IF(Q93="","",Q93)</f>
        <v/>
      </c>
      <c r="X91" s="8" t="str">
        <f>IF(R93="","",R93)</f>
        <v/>
      </c>
      <c r="Y91" s="8">
        <f>IF(P93="",-4,P93)</f>
        <v>-4</v>
      </c>
    </row>
    <row r="92" spans="13:25" ht="19" customHeight="1" x14ac:dyDescent="0.2">
      <c r="N92" s="501" t="s">
        <v>1792</v>
      </c>
      <c r="O92" s="501" t="s">
        <v>1793</v>
      </c>
      <c r="P92" s="501" t="s">
        <v>1807</v>
      </c>
      <c r="Q92" s="501" t="s">
        <v>1804</v>
      </c>
      <c r="R92" s="501" t="s">
        <v>1801</v>
      </c>
    </row>
    <row r="93" spans="13:25" ht="25" customHeight="1" x14ac:dyDescent="0.2">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5" defaultRowHeight="15" customHeight="1" x14ac:dyDescent="0.2"/>
  <cols>
    <col min="1" max="1" width="6.83203125" style="5" bestFit="1" customWidth="1"/>
    <col min="2" max="2" width="16.83203125" style="5" customWidth="1"/>
    <col min="3" max="3" width="11.5" style="5" customWidth="1"/>
    <col min="4" max="4" width="8.83203125" style="5" bestFit="1" customWidth="1"/>
    <col min="5" max="5" width="11.33203125" style="5" customWidth="1"/>
    <col min="6" max="6" width="15.33203125" style="5" customWidth="1"/>
    <col min="7" max="7" width="4.1640625" style="5" bestFit="1" customWidth="1"/>
    <col min="8" max="8" width="20.5" style="5"/>
    <col min="9" max="9" width="13" style="5" customWidth="1"/>
    <col min="10" max="10" width="12" style="5" customWidth="1"/>
    <col min="11" max="11" width="20.5" style="5"/>
    <col min="12" max="13" width="0" style="5" hidden="1" customWidth="1"/>
    <col min="14" max="14" width="4.5" style="730" customWidth="1"/>
    <col min="15" max="20" width="20.5" style="731"/>
    <col min="21" max="16384" width="20.5" style="9"/>
  </cols>
  <sheetData>
    <row r="1" spans="1:20" ht="15" customHeight="1" x14ac:dyDescent="0.2">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x14ac:dyDescent="0.2">
      <c r="A2" s="5">
        <v>1</v>
      </c>
      <c r="B2" s="5" t="str">
        <f ca="1">+INDEX(Idiomas!$D$212:$D$259,MATCH(T_Equipos[[#This Row],[Num]],Idiomas!$C$212:$C$259,0))</f>
        <v>México</v>
      </c>
      <c r="C2" s="5" t="s">
        <v>0</v>
      </c>
      <c r="D2" s="5">
        <v>1</v>
      </c>
      <c r="F2" s="5" t="s">
        <v>0</v>
      </c>
      <c r="K2" s="5" t="str">
        <f ca="1">Idiomas!D212</f>
        <v>Alemania</v>
      </c>
      <c r="L2" s="5" t="s">
        <v>144</v>
      </c>
      <c r="M2" s="5" t="e" vm="7">
        <v>#VALUE!</v>
      </c>
      <c r="O2" s="734">
        <v>1</v>
      </c>
      <c r="P2" s="735"/>
      <c r="Q2" s="735" cm="1">
        <f t="array" aca="1" ref="Q2" ca="1">IFERROR(MIN(IF(COUNTIF($Q$1:Q1,ADMIN!$H$6:$H$77)=0,ADMIN!$H$6:$H$77)),"")</f>
        <v>46184</v>
      </c>
      <c r="R2" s="732">
        <v>1</v>
      </c>
      <c r="S2" s="736"/>
      <c r="T2" s="733">
        <v>0.05</v>
      </c>
    </row>
    <row r="3" spans="1:20" ht="15" customHeight="1" x14ac:dyDescent="0.2">
      <c r="A3" s="5">
        <v>2</v>
      </c>
      <c r="B3" s="5" t="str">
        <f ca="1">+INDEX(Idiomas!$D$212:$D$259,MATCH(T_Equipos[[#This Row],[Num]],Idiomas!$C$212:$C$259,0))</f>
        <v>Sudáfrica</v>
      </c>
      <c r="C3" s="5" t="s">
        <v>0</v>
      </c>
      <c r="D3" s="5">
        <v>2</v>
      </c>
      <c r="F3" s="5" t="s">
        <v>1</v>
      </c>
      <c r="K3" s="5" t="str">
        <f ca="1">Idiomas!D213</f>
        <v>Arabia Saudita</v>
      </c>
      <c r="L3" s="5" t="s">
        <v>1640</v>
      </c>
      <c r="M3" s="5" t="e" vm="8">
        <v>#VALUE!</v>
      </c>
      <c r="O3" s="734">
        <v>2</v>
      </c>
      <c r="P3" s="735"/>
      <c r="Q3" s="735" cm="1">
        <f t="array" aca="1" ref="Q3" ca="1">IFERROR(MIN(IF(COUNTIF($Q$1:Q2,ADMIN!$H$6:$H$77)=0,ADMIN!$H$6:$H$77)),"")</f>
        <v>46185</v>
      </c>
      <c r="R3" s="732">
        <v>2</v>
      </c>
      <c r="S3" s="736"/>
      <c r="T3" s="733">
        <v>0.1</v>
      </c>
    </row>
    <row r="4" spans="1:20" ht="15" customHeight="1" x14ac:dyDescent="0.2">
      <c r="A4" s="5">
        <v>3</v>
      </c>
      <c r="B4" s="5" t="str">
        <f ca="1">+INDEX(Idiomas!$D$212:$D$259,MATCH(T_Equipos[[#This Row],[Num]],Idiomas!$C$212:$C$259,0))</f>
        <v>Corea del Sur</v>
      </c>
      <c r="C4" s="5" t="s">
        <v>0</v>
      </c>
      <c r="D4" s="5">
        <v>3</v>
      </c>
      <c r="F4" s="5" t="s">
        <v>2</v>
      </c>
      <c r="K4" s="5" t="str">
        <f ca="1">Idiomas!D214</f>
        <v>Argelia</v>
      </c>
      <c r="L4" s="5" t="s">
        <v>1560</v>
      </c>
      <c r="M4" s="5" t="e" vm="9">
        <v>#VALUE!</v>
      </c>
      <c r="O4" s="734">
        <v>3</v>
      </c>
      <c r="P4" s="735"/>
      <c r="Q4" s="735" cm="1">
        <f t="array" aca="1" ref="Q4" ca="1">IFERROR(MIN(IF(COUNTIF($Q$1:Q3,ADMIN!$H$6:$H$77)=0,ADMIN!$H$6:$H$77)),"")</f>
        <v>46186</v>
      </c>
      <c r="R4" s="732">
        <v>3</v>
      </c>
      <c r="S4" s="736"/>
      <c r="T4" s="733">
        <v>0.15</v>
      </c>
    </row>
    <row r="5" spans="1:20" ht="15" customHeight="1" x14ac:dyDescent="0.2">
      <c r="A5" s="5">
        <v>4</v>
      </c>
      <c r="B5" s="5" t="str">
        <f ca="1">+INDEX(Idiomas!$D$212:$D$259,MATCH(T_Equipos[[#This Row],[Num]],Idiomas!$C$212:$C$259,0))</f>
        <v>República Checa</v>
      </c>
      <c r="C5" s="5" t="s">
        <v>0</v>
      </c>
      <c r="D5" s="5">
        <v>4</v>
      </c>
      <c r="F5" s="5" t="s">
        <v>73</v>
      </c>
      <c r="K5" s="5" t="str">
        <f ca="1">Idiomas!D215</f>
        <v>Argentina</v>
      </c>
      <c r="L5" s="5" t="s">
        <v>1272</v>
      </c>
      <c r="M5" s="5" t="e" vm="10">
        <v>#VALUE!</v>
      </c>
      <c r="O5" s="734">
        <v>4</v>
      </c>
      <c r="P5" s="735"/>
      <c r="Q5" s="735" cm="1">
        <f t="array" aca="1" ref="Q5" ca="1">IFERROR(MIN(IF(COUNTIF($Q$1:Q4,ADMIN!$H$6:$H$77)=0,ADMIN!$H$6:$H$77)),"")</f>
        <v>46187</v>
      </c>
      <c r="R5" s="732">
        <v>4</v>
      </c>
      <c r="S5" s="736"/>
      <c r="T5" s="733">
        <v>0.2</v>
      </c>
    </row>
    <row r="6" spans="1:20" ht="15" customHeight="1" x14ac:dyDescent="0.2">
      <c r="A6" s="5">
        <v>5</v>
      </c>
      <c r="B6" s="5" t="str">
        <f ca="1">+INDEX(Idiomas!$D$212:$D$259,MATCH(T_Equipos[[#This Row],[Num]],Idiomas!$C$212:$C$259,0))</f>
        <v>Canadá</v>
      </c>
      <c r="C6" s="5" t="s">
        <v>1</v>
      </c>
      <c r="D6" s="5">
        <v>1</v>
      </c>
      <c r="F6" s="5" t="s">
        <v>3</v>
      </c>
      <c r="K6" s="5" t="str">
        <f ca="1">Idiomas!D216</f>
        <v>Australia</v>
      </c>
      <c r="L6" s="5" t="s">
        <v>1273</v>
      </c>
      <c r="M6" s="5" t="e" vm="11">
        <v>#VALUE!</v>
      </c>
      <c r="O6" s="734">
        <v>5</v>
      </c>
      <c r="P6" s="735"/>
      <c r="Q6" s="735" cm="1">
        <f t="array" aca="1" ref="Q6" ca="1">IFERROR(MIN(IF(COUNTIF($Q$1:Q5,ADMIN!$H$6:$H$77)=0,ADMIN!$H$6:$H$77)),"")</f>
        <v>46188</v>
      </c>
      <c r="R6" s="732">
        <v>5</v>
      </c>
      <c r="S6" s="736"/>
      <c r="T6" s="733">
        <v>0.25</v>
      </c>
    </row>
    <row r="7" spans="1:20" ht="15" customHeight="1" x14ac:dyDescent="0.2">
      <c r="A7" s="5">
        <v>6</v>
      </c>
      <c r="B7" s="5" t="str">
        <f ca="1">+INDEX(Idiomas!$D$212:$D$259,MATCH(T_Equipos[[#This Row],[Num]],Idiomas!$C$212:$C$259,0))</f>
        <v>Bosnia y Herzegovina</v>
      </c>
      <c r="C7" s="5" t="s">
        <v>1</v>
      </c>
      <c r="D7" s="5">
        <v>2</v>
      </c>
      <c r="F7" s="5" t="s">
        <v>4</v>
      </c>
      <c r="K7" s="5" t="str">
        <f ca="1">Idiomas!D217</f>
        <v>Austria</v>
      </c>
      <c r="L7" s="734" t="s">
        <v>145</v>
      </c>
      <c r="M7" s="734" t="e" vm="12">
        <v>#VALUE!</v>
      </c>
      <c r="O7" s="734"/>
      <c r="P7" s="735"/>
      <c r="Q7" s="735" cm="1">
        <f t="array" aca="1" ref="Q7" ca="1">IFERROR(MIN(IF(COUNTIF($Q$1:Q6,ADMIN!$H$6:$H$77)=0,ADMIN!$H$6:$H$77)),"")</f>
        <v>46189</v>
      </c>
      <c r="R7" s="732">
        <v>6</v>
      </c>
      <c r="S7" s="736"/>
      <c r="T7" s="733">
        <v>0.3</v>
      </c>
    </row>
    <row r="8" spans="1:20" ht="15" customHeight="1" x14ac:dyDescent="0.2">
      <c r="A8" s="5">
        <v>7</v>
      </c>
      <c r="B8" s="5" t="str">
        <f ca="1">+INDEX(Idiomas!$D$212:$D$259,MATCH(T_Equipos[[#This Row],[Num]],Idiomas!$C$212:$C$259,0))</f>
        <v>Catar</v>
      </c>
      <c r="C8" s="5" t="s">
        <v>1</v>
      </c>
      <c r="D8" s="5">
        <v>3</v>
      </c>
      <c r="F8" s="5" t="s">
        <v>6</v>
      </c>
      <c r="K8" s="5" t="str">
        <f ca="1">Idiomas!D218</f>
        <v>Bélgica</v>
      </c>
      <c r="L8" s="5" t="s">
        <v>140</v>
      </c>
      <c r="M8" s="5" t="e" vm="13">
        <v>#VALUE!</v>
      </c>
      <c r="O8" s="734"/>
      <c r="P8" s="735"/>
      <c r="Q8" s="735" cm="1">
        <f t="array" aca="1" ref="Q8" ca="1">IFERROR(MIN(IF(COUNTIF($Q$1:Q7,ADMIN!$H$6:$H$77)=0,ADMIN!$H$6:$H$77)),"")</f>
        <v>46190</v>
      </c>
      <c r="R8" s="732">
        <v>7</v>
      </c>
      <c r="S8" s="736"/>
      <c r="T8" s="733">
        <v>0.35</v>
      </c>
    </row>
    <row r="9" spans="1:20" ht="15" customHeight="1" x14ac:dyDescent="0.2">
      <c r="A9" s="5">
        <v>8</v>
      </c>
      <c r="B9" s="5" t="str">
        <f ca="1">+INDEX(Idiomas!$D$212:$D$259,MATCH(T_Equipos[[#This Row],[Num]],Idiomas!$C$212:$C$259,0))</f>
        <v>Suiza</v>
      </c>
      <c r="C9" s="5" t="s">
        <v>1</v>
      </c>
      <c r="D9" s="5">
        <v>4</v>
      </c>
      <c r="F9" s="5" t="s">
        <v>437</v>
      </c>
      <c r="K9" s="5" t="str">
        <f ca="1">Idiomas!D219</f>
        <v>Brasil</v>
      </c>
      <c r="L9" s="5" t="s">
        <v>1275</v>
      </c>
      <c r="M9" s="5" t="e" vm="14">
        <v>#VALUE!</v>
      </c>
      <c r="O9" s="734"/>
      <c r="P9" s="735"/>
      <c r="Q9" s="735" cm="1">
        <f t="array" aca="1" ref="Q9" ca="1">IFERROR(MIN(IF(COUNTIF($Q$1:Q8,ADMIN!$H$6:$H$77)=0,ADMIN!$H$6:$H$77)),"")</f>
        <v>46191</v>
      </c>
      <c r="R9" s="732">
        <v>8</v>
      </c>
      <c r="S9" s="736"/>
      <c r="T9" s="733">
        <v>0.4</v>
      </c>
    </row>
    <row r="10" spans="1:20" ht="15" customHeight="1" x14ac:dyDescent="0.2">
      <c r="A10" s="5">
        <v>9</v>
      </c>
      <c r="B10" s="5" t="str">
        <f ca="1">+INDEX(Idiomas!$D$212:$D$259,MATCH(T_Equipos[[#This Row],[Num]],Idiomas!$C$212:$C$259,0))</f>
        <v>Brasil</v>
      </c>
      <c r="C10" s="5" t="s">
        <v>2</v>
      </c>
      <c r="D10" s="5">
        <v>1</v>
      </c>
      <c r="F10" s="5" t="s">
        <v>438</v>
      </c>
      <c r="K10" s="5" t="str">
        <f ca="1">Idiomas!D220</f>
        <v>Cabo Verde</v>
      </c>
      <c r="L10" s="5" t="s">
        <v>1557</v>
      </c>
      <c r="M10" s="5" t="e" vm="15">
        <v>#VALUE!</v>
      </c>
      <c r="O10" s="734"/>
      <c r="P10" s="735"/>
      <c r="Q10" s="735" cm="1">
        <f t="array" aca="1" ref="Q10" ca="1">IFERROR(MIN(IF(COUNTIF($Q$1:Q9,ADMIN!$H$6:$H$77)=0,ADMIN!$H$6:$H$77)),"")</f>
        <v>46192</v>
      </c>
      <c r="R10" s="732">
        <v>9</v>
      </c>
      <c r="S10" s="736"/>
      <c r="T10" s="733">
        <v>0.45</v>
      </c>
    </row>
    <row r="11" spans="1:20" ht="15" customHeight="1" x14ac:dyDescent="0.2">
      <c r="A11" s="5">
        <v>10</v>
      </c>
      <c r="B11" s="5" t="str">
        <f ca="1">+INDEX(Idiomas!$D$212:$D$259,MATCH(T_Equipos[[#This Row],[Num]],Idiomas!$C$212:$C$259,0))</f>
        <v>Marruecos</v>
      </c>
      <c r="C11" s="5" t="s">
        <v>2</v>
      </c>
      <c r="D11" s="5">
        <v>2</v>
      </c>
      <c r="F11" s="5" t="s">
        <v>5</v>
      </c>
      <c r="K11" s="5" t="str">
        <f ca="1">Idiomas!D221</f>
        <v>Canadá</v>
      </c>
      <c r="L11" s="5" t="s">
        <v>1277</v>
      </c>
      <c r="M11" s="5" t="e" vm="16">
        <v>#VALUE!</v>
      </c>
      <c r="O11" s="734"/>
      <c r="P11" s="735"/>
      <c r="Q11" s="735" cm="1">
        <f t="array" aca="1" ref="Q11" ca="1">IFERROR(MIN(IF(COUNTIF($Q$1:Q10,ADMIN!$H$6:$H$77)=0,ADMIN!$H$6:$H$77)),"")</f>
        <v>46193</v>
      </c>
      <c r="R11" s="732">
        <v>10</v>
      </c>
      <c r="S11" s="736"/>
      <c r="T11" s="733">
        <v>0.5</v>
      </c>
    </row>
    <row r="12" spans="1:20" ht="15" customHeight="1" x14ac:dyDescent="0.2">
      <c r="A12" s="5">
        <v>11</v>
      </c>
      <c r="B12" s="5" t="str">
        <f ca="1">+INDEX(Idiomas!$D$212:$D$259,MATCH(T_Equipos[[#This Row],[Num]],Idiomas!$C$212:$C$259,0))</f>
        <v>Haití</v>
      </c>
      <c r="C12" s="5" t="s">
        <v>2</v>
      </c>
      <c r="D12" s="5">
        <v>3</v>
      </c>
      <c r="F12" s="5" t="s">
        <v>439</v>
      </c>
      <c r="K12" s="5" t="str">
        <f ca="1">Idiomas!D222</f>
        <v>Catar</v>
      </c>
      <c r="L12" s="5" t="s">
        <v>1638</v>
      </c>
      <c r="M12" s="5" t="e" vm="17">
        <v>#VALUE!</v>
      </c>
      <c r="O12" s="734"/>
      <c r="P12" s="735"/>
      <c r="Q12" s="735" cm="1">
        <f t="array" aca="1" ref="Q12" ca="1">IFERROR(MIN(IF(COUNTIF($Q$1:Q11,ADMIN!$H$6:$H$77)=0,ADMIN!$H$6:$H$77)),"")</f>
        <v>46194</v>
      </c>
      <c r="R12" s="732">
        <v>11</v>
      </c>
      <c r="S12" s="736"/>
      <c r="T12" s="733">
        <v>0.55000000000000004</v>
      </c>
    </row>
    <row r="13" spans="1:20" ht="15" customHeight="1" x14ac:dyDescent="0.2">
      <c r="A13" s="5">
        <v>12</v>
      </c>
      <c r="B13" s="5" t="str">
        <f ca="1">+INDEX(Idiomas!$D$212:$D$259,MATCH(T_Equipos[[#This Row],[Num]],Idiomas!$C$212:$C$259,0))</f>
        <v>Escocia</v>
      </c>
      <c r="C13" s="5" t="s">
        <v>2</v>
      </c>
      <c r="D13" s="5">
        <v>4</v>
      </c>
      <c r="F13" s="5" t="s">
        <v>238</v>
      </c>
      <c r="K13" s="5" t="str">
        <f ca="1">Idiomas!D223</f>
        <v>Colombia</v>
      </c>
      <c r="L13" s="5" t="s">
        <v>1325</v>
      </c>
      <c r="M13" s="5" t="e" vm="18">
        <v>#VALUE!</v>
      </c>
      <c r="O13" s="734"/>
      <c r="P13" s="735"/>
      <c r="Q13" s="735" cm="1">
        <f t="array" aca="1" ref="Q13" ca="1">IFERROR(MIN(IF(COUNTIF($Q$1:Q12,ADMIN!$H$6:$H$77)=0,ADMIN!$H$6:$H$77)),"")</f>
        <v>46195</v>
      </c>
      <c r="R13" s="732">
        <v>12</v>
      </c>
      <c r="S13" s="736"/>
      <c r="T13" s="733">
        <v>0.6</v>
      </c>
    </row>
    <row r="14" spans="1:20" ht="15" customHeight="1" x14ac:dyDescent="0.2">
      <c r="A14" s="5">
        <v>13</v>
      </c>
      <c r="B14" s="5" t="str">
        <f ca="1">+INDEX(Idiomas!$D$212:$D$259,MATCH(T_Equipos[[#This Row],[Num]],Idiomas!$C$212:$C$259,0))</f>
        <v>Estados Unidos</v>
      </c>
      <c r="C14" s="5" t="s">
        <v>73</v>
      </c>
      <c r="D14" s="5">
        <v>1</v>
      </c>
      <c r="K14" s="5" t="str">
        <f ca="1">Idiomas!D224</f>
        <v>Corea del Sur</v>
      </c>
      <c r="L14" s="5" t="s">
        <v>1279</v>
      </c>
      <c r="M14" s="5" t="e" vm="19">
        <v>#VALUE!</v>
      </c>
      <c r="O14" s="734"/>
      <c r="P14" s="735"/>
      <c r="Q14" s="735" cm="1">
        <f t="array" aca="1" ref="Q14" ca="1">IFERROR(MIN(IF(COUNTIF($Q$1:Q13,ADMIN!$H$6:$H$77)=0,ADMIN!$H$6:$H$77)),"")</f>
        <v>46196</v>
      </c>
      <c r="R14" s="732">
        <v>13</v>
      </c>
      <c r="S14" s="736"/>
      <c r="T14" s="733">
        <v>0.65</v>
      </c>
    </row>
    <row r="15" spans="1:20" ht="15" customHeight="1" x14ac:dyDescent="0.2">
      <c r="A15" s="5">
        <v>14</v>
      </c>
      <c r="B15" s="5" t="str">
        <f ca="1">+INDEX(Idiomas!$D$212:$D$259,MATCH(T_Equipos[[#This Row],[Num]],Idiomas!$C$212:$C$259,0))</f>
        <v>Paraguay</v>
      </c>
      <c r="C15" s="5" t="s">
        <v>73</v>
      </c>
      <c r="D15" s="5">
        <v>2</v>
      </c>
      <c r="K15" s="5" t="str">
        <f ca="1">Idiomas!D225</f>
        <v>Costa de Marfil</v>
      </c>
      <c r="L15" s="5" t="s">
        <v>1642</v>
      </c>
      <c r="M15" s="9" t="e" vm="20">
        <v>#VALUE!</v>
      </c>
      <c r="O15" s="734"/>
      <c r="P15" s="735"/>
      <c r="Q15" s="735" cm="1">
        <f t="array" aca="1" ref="Q15" ca="1">IFERROR(MIN(IF(COUNTIF($Q$1:Q14,ADMIN!$H$6:$H$77)=0,ADMIN!$H$6:$H$77)),"")</f>
        <v>46197</v>
      </c>
      <c r="R15" s="732">
        <v>14</v>
      </c>
      <c r="S15" s="736"/>
      <c r="T15" s="733">
        <v>0.7</v>
      </c>
    </row>
    <row r="16" spans="1:20" ht="15" customHeight="1" x14ac:dyDescent="0.2">
      <c r="A16" s="5">
        <v>15</v>
      </c>
      <c r="B16" s="5" t="str">
        <f ca="1">+INDEX(Idiomas!$D$212:$D$259,MATCH(T_Equipos[[#This Row],[Num]],Idiomas!$C$212:$C$259,0))</f>
        <v>Australia</v>
      </c>
      <c r="C16" s="5" t="s">
        <v>73</v>
      </c>
      <c r="D16" s="5">
        <v>3</v>
      </c>
      <c r="K16" s="5" t="str">
        <f ca="1">Idiomas!D226</f>
        <v>Croacia</v>
      </c>
      <c r="L16" s="5" t="s">
        <v>143</v>
      </c>
      <c r="M16" s="5" t="e" vm="21">
        <v>#VALUE!</v>
      </c>
      <c r="O16" s="734"/>
      <c r="P16" s="735"/>
      <c r="Q16" s="735" cm="1">
        <f t="array" aca="1" ref="Q16" ca="1">IFERROR(MIN(IF(COUNTIF($Q$1:Q15,ADMIN!$H$6:$H$77)=0,ADMIN!$H$6:$H$77)),"")</f>
        <v>46198</v>
      </c>
      <c r="R16" s="732">
        <v>15</v>
      </c>
      <c r="S16" s="736"/>
      <c r="T16" s="733">
        <v>0.75</v>
      </c>
    </row>
    <row r="17" spans="1:20" ht="15" customHeight="1" x14ac:dyDescent="0.2">
      <c r="A17" s="5">
        <v>16</v>
      </c>
      <c r="B17" s="5" t="str">
        <f ca="1">+INDEX(Idiomas!$D$212:$D$259,MATCH(T_Equipos[[#This Row],[Num]],Idiomas!$C$212:$C$259,0))</f>
        <v>Turquía</v>
      </c>
      <c r="C17" s="5" t="s">
        <v>73</v>
      </c>
      <c r="D17" s="5">
        <v>4</v>
      </c>
      <c r="K17" s="5" t="str">
        <f ca="1">Idiomas!D227</f>
        <v>Curazao</v>
      </c>
      <c r="L17" s="5" t="s">
        <v>1732</v>
      </c>
      <c r="M17" s="5" t="e" vm="22">
        <v>#VALUE!</v>
      </c>
      <c r="O17" s="734"/>
      <c r="P17" s="735"/>
      <c r="Q17" s="735" cm="1">
        <f t="array" aca="1" ref="Q17" ca="1">IFERROR(MIN(IF(COUNTIF($Q$1:Q16,ADMIN!$H$6:$H$77)=0,ADMIN!$H$6:$H$77)),"")</f>
        <v>46199</v>
      </c>
      <c r="R17" s="732">
        <v>16</v>
      </c>
      <c r="S17" s="736"/>
      <c r="T17" s="733">
        <v>0.8</v>
      </c>
    </row>
    <row r="18" spans="1:20" ht="15" customHeight="1" x14ac:dyDescent="0.2">
      <c r="A18" s="5">
        <v>17</v>
      </c>
      <c r="B18" s="5" t="str">
        <f ca="1">+INDEX(Idiomas!$D$212:$D$259,MATCH(T_Equipos[[#This Row],[Num]],Idiomas!$C$212:$C$259,0))</f>
        <v>Alemania</v>
      </c>
      <c r="C18" s="5" t="s">
        <v>3</v>
      </c>
      <c r="D18" s="5">
        <v>1</v>
      </c>
      <c r="K18" s="5" t="str">
        <f ca="1">Idiomas!D228</f>
        <v>Ecuador</v>
      </c>
      <c r="L18" s="5" t="s">
        <v>1280</v>
      </c>
      <c r="M18" s="9" t="e" vm="23">
        <v>#VALUE!</v>
      </c>
      <c r="O18" s="734"/>
      <c r="P18" s="735"/>
      <c r="Q18" s="735" cm="1">
        <f t="array" aca="1" ref="Q18" ca="1">IFERROR(MIN(IF(COUNTIF($Q$1:Q17,ADMIN!$H$6:$H$77)=0,ADMIN!$H$6:$H$77)),"")</f>
        <v>46200</v>
      </c>
      <c r="R18" s="732">
        <v>17</v>
      </c>
      <c r="S18" s="736"/>
      <c r="T18" s="733">
        <v>0.85</v>
      </c>
    </row>
    <row r="19" spans="1:20" ht="15" customHeight="1" x14ac:dyDescent="0.2">
      <c r="A19" s="5">
        <v>18</v>
      </c>
      <c r="B19" s="5" t="str">
        <f ca="1">+INDEX(Idiomas!$D$212:$D$259,MATCH(T_Equipos[[#This Row],[Num]],Idiomas!$C$212:$C$259,0))</f>
        <v>Curazao</v>
      </c>
      <c r="C19" s="5" t="s">
        <v>3</v>
      </c>
      <c r="D19" s="5">
        <v>2</v>
      </c>
      <c r="K19" s="5" t="str">
        <f ca="1">Idiomas!D229</f>
        <v>Egipto</v>
      </c>
      <c r="L19" s="5" t="s">
        <v>1554</v>
      </c>
      <c r="M19" s="9" t="e" vm="24">
        <v>#VALUE!</v>
      </c>
      <c r="O19" s="734"/>
      <c r="P19" s="735"/>
      <c r="Q19" s="735" cm="1">
        <f t="array" aca="1" ref="Q19" ca="1">IFERROR(MIN(IF(COUNTIF($Q$1:Q18,ADMIN!$H$6:$H$77)=0,ADMIN!$H$6:$H$77)),"")</f>
        <v>46201</v>
      </c>
      <c r="R19" s="732">
        <v>18</v>
      </c>
      <c r="S19" s="736"/>
      <c r="T19" s="733">
        <v>0.9</v>
      </c>
    </row>
    <row r="20" spans="1:20" ht="15" customHeight="1" x14ac:dyDescent="0.2">
      <c r="A20" s="5">
        <v>19</v>
      </c>
      <c r="B20" s="5" t="str">
        <f ca="1">+INDEX(Idiomas!$D$212:$D$259,MATCH(T_Equipos[[#This Row],[Num]],Idiomas!$C$212:$C$259,0))</f>
        <v>Costa de Marfil</v>
      </c>
      <c r="C20" s="5" t="s">
        <v>3</v>
      </c>
      <c r="D20" s="5">
        <v>3</v>
      </c>
      <c r="K20" s="5" t="str">
        <f ca="1">Idiomas!D230</f>
        <v>Escocia</v>
      </c>
      <c r="L20" s="5" t="s">
        <v>146</v>
      </c>
      <c r="M20" s="5" t="e" vm="25">
        <v>#VALUE!</v>
      </c>
      <c r="O20" s="734"/>
      <c r="P20" s="735"/>
      <c r="Q20" s="734" t="str">
        <f>+PROPER(Idiomas!D137)</f>
        <v>Clasificados Para Dieciseisavos</v>
      </c>
      <c r="R20" s="734">
        <v>19</v>
      </c>
      <c r="T20" s="733">
        <v>0.95</v>
      </c>
    </row>
    <row r="21" spans="1:20" ht="15" customHeight="1" x14ac:dyDescent="0.2">
      <c r="A21" s="5">
        <v>20</v>
      </c>
      <c r="B21" s="5" t="str">
        <f ca="1">+INDEX(Idiomas!$D$212:$D$259,MATCH(T_Equipos[[#This Row],[Num]],Idiomas!$C$212:$C$259,0))</f>
        <v>Ecuador</v>
      </c>
      <c r="C21" s="5" t="s">
        <v>3</v>
      </c>
      <c r="D21" s="5">
        <v>4</v>
      </c>
      <c r="K21" s="5" t="str">
        <f ca="1">Idiomas!D231</f>
        <v>España</v>
      </c>
      <c r="L21" s="5" t="s">
        <v>142</v>
      </c>
      <c r="M21" s="5" t="e" vm="26">
        <v>#VALUE!</v>
      </c>
      <c r="O21" s="734"/>
      <c r="Q21" s="735" t="str">
        <f>Idiomas!D260</f>
        <v>Dieciseisavos de final</v>
      </c>
      <c r="R21" s="732">
        <v>20</v>
      </c>
      <c r="T21" s="733"/>
    </row>
    <row r="22" spans="1:20" ht="15" customHeight="1" x14ac:dyDescent="0.2">
      <c r="A22" s="5">
        <v>21</v>
      </c>
      <c r="B22" s="5" t="str">
        <f ca="1">+INDEX(Idiomas!$D$212:$D$259,MATCH(T_Equipos[[#This Row],[Num]],Idiomas!$C$212:$C$259,0))</f>
        <v>Países Bajos</v>
      </c>
      <c r="C22" s="5" t="s">
        <v>4</v>
      </c>
      <c r="D22" s="5">
        <v>1</v>
      </c>
      <c r="K22" s="5" t="str">
        <f ca="1">Idiomas!D232</f>
        <v>Estados Unidos</v>
      </c>
      <c r="L22" s="5" t="s">
        <v>1281</v>
      </c>
      <c r="M22" s="5" t="e" vm="27">
        <v>#VALUE!</v>
      </c>
      <c r="O22" s="734"/>
      <c r="Q22" s="735" t="str">
        <f>Idiomas!D261</f>
        <v>Octavos de final</v>
      </c>
      <c r="R22" s="732">
        <v>21</v>
      </c>
      <c r="T22" s="733"/>
    </row>
    <row r="23" spans="1:20" ht="15" customHeight="1" x14ac:dyDescent="0.2">
      <c r="A23" s="5">
        <v>22</v>
      </c>
      <c r="B23" s="5" t="str">
        <f ca="1">+INDEX(Idiomas!$D$212:$D$259,MATCH(T_Equipos[[#This Row],[Num]],Idiomas!$C$212:$C$259,0))</f>
        <v>Japón</v>
      </c>
      <c r="C23" s="5" t="s">
        <v>4</v>
      </c>
      <c r="D23" s="5">
        <v>2</v>
      </c>
      <c r="K23" s="5" t="str">
        <f ca="1">Idiomas!D233</f>
        <v>Francia</v>
      </c>
      <c r="L23" s="5" t="s">
        <v>141</v>
      </c>
      <c r="M23" s="5" t="e" vm="28">
        <v>#VALUE!</v>
      </c>
      <c r="O23" s="734"/>
      <c r="Q23" s="735" t="str">
        <f>Idiomas!D262</f>
        <v>Cuartos de final</v>
      </c>
      <c r="R23" s="732">
        <v>22</v>
      </c>
    </row>
    <row r="24" spans="1:20" ht="15" customHeight="1" x14ac:dyDescent="0.2">
      <c r="A24" s="5">
        <v>23</v>
      </c>
      <c r="B24" s="5" t="str">
        <f ca="1">+INDEX(Idiomas!$D$212:$D$259,MATCH(T_Equipos[[#This Row],[Num]],Idiomas!$C$212:$C$259,0))</f>
        <v>Suecia</v>
      </c>
      <c r="C24" s="5" t="s">
        <v>4</v>
      </c>
      <c r="D24" s="5">
        <v>3</v>
      </c>
      <c r="K24" s="5" t="str">
        <f ca="1">Idiomas!D234</f>
        <v>Ghana</v>
      </c>
      <c r="L24" s="5" t="s">
        <v>1555</v>
      </c>
      <c r="M24" s="5" t="e" vm="29">
        <v>#VALUE!</v>
      </c>
      <c r="O24" s="734"/>
      <c r="Q24" s="735" t="str">
        <f>Idiomas!D263</f>
        <v>Semifinales</v>
      </c>
      <c r="R24" s="732">
        <v>23</v>
      </c>
    </row>
    <row r="25" spans="1:20" ht="15" customHeight="1" x14ac:dyDescent="0.2">
      <c r="A25" s="5">
        <v>24</v>
      </c>
      <c r="B25" s="5" t="str">
        <f ca="1">+INDEX(Idiomas!$D$212:$D$259,MATCH(T_Equipos[[#This Row],[Num]],Idiomas!$C$212:$C$259,0))</f>
        <v>Túnez</v>
      </c>
      <c r="C25" s="5" t="s">
        <v>4</v>
      </c>
      <c r="D25" s="5">
        <v>4</v>
      </c>
      <c r="K25" s="5" t="str">
        <f ca="1">Idiomas!D235</f>
        <v>Haití</v>
      </c>
      <c r="L25" s="5" t="s">
        <v>1733</v>
      </c>
      <c r="M25" s="5" t="e" vm="30">
        <v>#VALUE!</v>
      </c>
      <c r="O25" s="734"/>
      <c r="Q25" s="735" t="str">
        <f>Idiomas!D264</f>
        <v>3-4 &amp; Final</v>
      </c>
      <c r="R25" s="732">
        <v>24</v>
      </c>
    </row>
    <row r="26" spans="1:20" ht="15" customHeight="1" x14ac:dyDescent="0.2">
      <c r="A26" s="5">
        <v>25</v>
      </c>
      <c r="B26" s="5" t="str">
        <f ca="1">+INDEX(Idiomas!$D$212:$D$259,MATCH(T_Equipos[[#This Row],[Num]],Idiomas!$C$212:$C$259,0))</f>
        <v>Bélgica</v>
      </c>
      <c r="C26" s="5" t="s">
        <v>6</v>
      </c>
      <c r="D26" s="5">
        <v>1</v>
      </c>
      <c r="K26" s="5" t="str">
        <f ca="1">Idiomas!D236</f>
        <v>Inglaterra</v>
      </c>
      <c r="L26" s="5" t="s">
        <v>139</v>
      </c>
      <c r="M26" s="5" t="e" vm="31">
        <v>#VALUE!</v>
      </c>
      <c r="O26" s="734"/>
      <c r="Q26" s="734" t="str">
        <f>+PROPER(Idiomas!G137)</f>
        <v>Clasificados Para Dieciseisavos</v>
      </c>
      <c r="R26" s="734">
        <v>19</v>
      </c>
    </row>
    <row r="27" spans="1:20" ht="15" customHeight="1" x14ac:dyDescent="0.2">
      <c r="A27" s="5">
        <v>26</v>
      </c>
      <c r="B27" s="5" t="str">
        <f ca="1">+INDEX(Idiomas!$D$212:$D$259,MATCH(T_Equipos[[#This Row],[Num]],Idiomas!$C$212:$C$259,0))</f>
        <v>Egipto</v>
      </c>
      <c r="C27" s="5" t="s">
        <v>6</v>
      </c>
      <c r="D27" s="5">
        <v>2</v>
      </c>
      <c r="K27" s="5" t="str">
        <f ca="1">Idiomas!D237</f>
        <v>Irán</v>
      </c>
      <c r="L27" s="5" t="str">
        <f>+INDEX(Credits!$W$87:$W$91,MATCH(Credits!$N$87,Credits!$U$87:$U$91,0))</f>
        <v>🇮🇷</v>
      </c>
      <c r="M27" s="5" t="e" vm="32">
        <f>+INDEX(Credits!$X$87:$X$91,MATCH(Credits!$N$87,Credits!$U$87:$U$91,0))</f>
        <v>#VALUE!</v>
      </c>
      <c r="O27" s="734"/>
      <c r="P27" s="736"/>
      <c r="Q27" s="735" t="str">
        <f>Idiomas!G260</f>
        <v>Dieciseisavos de final</v>
      </c>
      <c r="R27" s="732">
        <v>20</v>
      </c>
    </row>
    <row r="28" spans="1:20" ht="15" customHeight="1" x14ac:dyDescent="0.2">
      <c r="A28" s="5">
        <v>27</v>
      </c>
      <c r="B28" s="5" t="str">
        <f ca="1">+INDEX(Idiomas!$D$212:$D$259,MATCH(T_Equipos[[#This Row],[Num]],Idiomas!$C$212:$C$259,0))</f>
        <v>Irán</v>
      </c>
      <c r="C28" s="5" t="s">
        <v>6</v>
      </c>
      <c r="D28" s="5">
        <v>3</v>
      </c>
      <c r="K28" s="5" t="str">
        <f ca="1">Idiomas!D238</f>
        <v>Japón</v>
      </c>
      <c r="L28" s="5" t="s">
        <v>1285</v>
      </c>
      <c r="M28" s="5" t="e" vm="33">
        <v>#VALUE!</v>
      </c>
      <c r="O28" s="734"/>
      <c r="P28" s="736"/>
      <c r="Q28" s="735" t="str">
        <f>Idiomas!G261</f>
        <v>Octavos de final</v>
      </c>
      <c r="R28" s="732">
        <v>21</v>
      </c>
    </row>
    <row r="29" spans="1:20" ht="15" customHeight="1" x14ac:dyDescent="0.2">
      <c r="A29" s="5">
        <v>28</v>
      </c>
      <c r="B29" s="5" t="str">
        <f ca="1">+INDEX(Idiomas!$D$212:$D$259,MATCH(T_Equipos[[#This Row],[Num]],Idiomas!$C$212:$C$259,0))</f>
        <v>Nueva Zelanda</v>
      </c>
      <c r="C29" s="5" t="s">
        <v>6</v>
      </c>
      <c r="D29" s="5">
        <v>4</v>
      </c>
      <c r="K29" s="5" t="str">
        <f ca="1">Idiomas!D239</f>
        <v>Jordania</v>
      </c>
      <c r="L29" s="5" t="s">
        <v>1287</v>
      </c>
      <c r="M29" s="5" t="e" vm="34">
        <v>#VALUE!</v>
      </c>
      <c r="O29" s="734"/>
      <c r="P29" s="736"/>
      <c r="Q29" s="735" t="str">
        <f>Idiomas!G262</f>
        <v>Cuartos de final</v>
      </c>
      <c r="R29" s="732">
        <v>22</v>
      </c>
    </row>
    <row r="30" spans="1:20" ht="15" customHeight="1" x14ac:dyDescent="0.2">
      <c r="A30" s="5">
        <v>29</v>
      </c>
      <c r="B30" s="5" t="str">
        <f ca="1">+INDEX(Idiomas!$D$212:$D$259,MATCH(T_Equipos[[#This Row],[Num]],Idiomas!$C$212:$C$259,0))</f>
        <v>España</v>
      </c>
      <c r="C30" s="5" t="s">
        <v>437</v>
      </c>
      <c r="D30" s="5">
        <v>1</v>
      </c>
      <c r="K30" s="5" t="str">
        <f ca="1">Idiomas!D240</f>
        <v>Marruecos</v>
      </c>
      <c r="L30" s="5" t="s">
        <v>1327</v>
      </c>
      <c r="M30" s="5" t="e" vm="35">
        <v>#VALUE!</v>
      </c>
      <c r="O30" s="734"/>
      <c r="Q30" s="735" t="str">
        <f>Idiomas!G263</f>
        <v>Semifinales</v>
      </c>
      <c r="R30" s="732">
        <v>23</v>
      </c>
    </row>
    <row r="31" spans="1:20" ht="15" customHeight="1" x14ac:dyDescent="0.2">
      <c r="A31" s="5">
        <v>30</v>
      </c>
      <c r="B31" s="5" t="str">
        <f ca="1">+INDEX(Idiomas!$D$212:$D$259,MATCH(T_Equipos[[#This Row],[Num]],Idiomas!$C$212:$C$259,0))</f>
        <v>Cabo Verde</v>
      </c>
      <c r="C31" s="5" t="s">
        <v>437</v>
      </c>
      <c r="D31" s="5">
        <v>2</v>
      </c>
      <c r="K31" s="5" t="str">
        <f ca="1">Idiomas!D241</f>
        <v>México</v>
      </c>
      <c r="L31" s="5" t="s">
        <v>1289</v>
      </c>
      <c r="M31" s="5" t="e" vm="36">
        <v>#VALUE!</v>
      </c>
      <c r="O31" s="734"/>
      <c r="Q31" s="735" t="str">
        <f>Idiomas!G264</f>
        <v>3-4 &amp; Final</v>
      </c>
      <c r="R31" s="732">
        <v>24</v>
      </c>
    </row>
    <row r="32" spans="1:20" ht="15" customHeight="1" x14ac:dyDescent="0.2">
      <c r="A32" s="5">
        <v>31</v>
      </c>
      <c r="B32" s="5" t="str">
        <f ca="1">+INDEX(Idiomas!$D$212:$D$259,MATCH(T_Equipos[[#This Row],[Num]],Idiomas!$C$212:$C$259,0))</f>
        <v>Arabia Saudita</v>
      </c>
      <c r="C32" s="5" t="s">
        <v>437</v>
      </c>
      <c r="D32" s="5">
        <v>3</v>
      </c>
      <c r="K32" s="5" t="str">
        <f ca="1">Idiomas!D242</f>
        <v>Noruega</v>
      </c>
      <c r="L32" s="5" t="s">
        <v>147</v>
      </c>
      <c r="M32" s="5" t="e" vm="37">
        <v>#VALUE!</v>
      </c>
      <c r="O32" s="734"/>
      <c r="Q32" s="734" t="str">
        <f>+PROPER(Idiomas!H137)</f>
        <v>Qualified For Round Of 32</v>
      </c>
      <c r="R32" s="734">
        <v>19</v>
      </c>
    </row>
    <row r="33" spans="1:20" ht="15" customHeight="1" x14ac:dyDescent="0.2">
      <c r="A33" s="5">
        <v>32</v>
      </c>
      <c r="B33" s="5" t="str">
        <f ca="1">+INDEX(Idiomas!$D$212:$D$259,MATCH(T_Equipos[[#This Row],[Num]],Idiomas!$C$212:$C$259,0))</f>
        <v>Uruguay</v>
      </c>
      <c r="C33" s="5" t="s">
        <v>437</v>
      </c>
      <c r="D33" s="5">
        <v>4</v>
      </c>
      <c r="K33" s="5" t="str">
        <f ca="1">Idiomas!D243</f>
        <v>Nueva Zelanda</v>
      </c>
      <c r="L33" s="5" t="s">
        <v>1291</v>
      </c>
      <c r="M33" s="5" t="e" vm="38">
        <v>#VALUE!</v>
      </c>
      <c r="O33" s="734"/>
      <c r="Q33" s="735" t="str">
        <f>Idiomas!H260</f>
        <v>Round of 32</v>
      </c>
      <c r="R33" s="732">
        <v>20</v>
      </c>
    </row>
    <row r="34" spans="1:20" ht="15" customHeight="1" x14ac:dyDescent="0.2">
      <c r="A34" s="5">
        <v>33</v>
      </c>
      <c r="B34" s="5" t="str">
        <f ca="1">+INDEX(Idiomas!$D$212:$D$259,MATCH(T_Equipos[[#This Row],[Num]],Idiomas!$C$212:$C$259,0))</f>
        <v>Francia</v>
      </c>
      <c r="C34" s="5" t="s">
        <v>438</v>
      </c>
      <c r="D34" s="5">
        <v>1</v>
      </c>
      <c r="K34" s="5" t="str">
        <f ca="1">Idiomas!D244</f>
        <v>Países Bajos</v>
      </c>
      <c r="L34" s="5" t="s">
        <v>138</v>
      </c>
      <c r="M34" s="5" t="e" vm="39">
        <v>#VALUE!</v>
      </c>
      <c r="O34" s="734"/>
      <c r="Q34" s="735" t="str">
        <f>Idiomas!H261</f>
        <v>Round Of 16</v>
      </c>
      <c r="R34" s="732">
        <v>21</v>
      </c>
    </row>
    <row r="35" spans="1:20" ht="15" customHeight="1" x14ac:dyDescent="0.2">
      <c r="A35" s="5">
        <v>34</v>
      </c>
      <c r="B35" s="5" t="str">
        <f ca="1">+INDEX(Idiomas!$D$212:$D$259,MATCH(T_Equipos[[#This Row],[Num]],Idiomas!$C$212:$C$259,0))</f>
        <v>Senegal</v>
      </c>
      <c r="C35" s="5" t="s">
        <v>438</v>
      </c>
      <c r="D35" s="5">
        <v>2</v>
      </c>
      <c r="K35" s="5" t="str">
        <f ca="1">Idiomas!D245</f>
        <v>Panamá</v>
      </c>
      <c r="L35" s="5" t="s">
        <v>1734</v>
      </c>
      <c r="M35" s="5" t="e" vm="40">
        <v>#VALUE!</v>
      </c>
      <c r="O35" s="734"/>
      <c r="Q35" s="735" t="str">
        <f>Idiomas!H262</f>
        <v>Quarterfinals</v>
      </c>
      <c r="R35" s="732">
        <v>22</v>
      </c>
    </row>
    <row r="36" spans="1:20" ht="15" customHeight="1" x14ac:dyDescent="0.2">
      <c r="A36" s="5">
        <v>35</v>
      </c>
      <c r="B36" s="5" t="str">
        <f ca="1">+INDEX(Idiomas!$D$212:$D$259,MATCH(T_Equipos[[#This Row],[Num]],Idiomas!$C$212:$C$259,0))</f>
        <v>Irak</v>
      </c>
      <c r="C36" s="5" t="s">
        <v>438</v>
      </c>
      <c r="D36" s="5">
        <v>3</v>
      </c>
      <c r="K36" s="5" t="str">
        <f ca="1">Idiomas!D246</f>
        <v>Paraguay</v>
      </c>
      <c r="L36" s="5" t="s">
        <v>1324</v>
      </c>
      <c r="M36" s="5" t="e" vm="41">
        <v>#VALUE!</v>
      </c>
      <c r="O36" s="734"/>
      <c r="Q36" s="735" t="str">
        <f>Idiomas!H263</f>
        <v>Semifinals</v>
      </c>
      <c r="R36" s="732">
        <v>23</v>
      </c>
    </row>
    <row r="37" spans="1:20" ht="15" customHeight="1" x14ac:dyDescent="0.2">
      <c r="A37" s="5">
        <v>36</v>
      </c>
      <c r="B37" s="5" t="str">
        <f ca="1">+INDEX(Idiomas!$D$212:$D$259,MATCH(T_Equipos[[#This Row],[Num]],Idiomas!$C$212:$C$259,0))</f>
        <v>Noruega</v>
      </c>
      <c r="C37" s="5" t="s">
        <v>438</v>
      </c>
      <c r="D37" s="5">
        <v>4</v>
      </c>
      <c r="K37" s="5" t="str">
        <f ca="1">Idiomas!D247</f>
        <v>Portugal</v>
      </c>
      <c r="L37" s="5" t="s">
        <v>137</v>
      </c>
      <c r="M37" s="5" t="e" vm="42">
        <v>#VALUE!</v>
      </c>
      <c r="O37" s="734"/>
      <c r="Q37" s="735" t="str">
        <f>Idiomas!H264</f>
        <v>3-4 &amp; Final</v>
      </c>
      <c r="R37" s="732">
        <v>24</v>
      </c>
      <c r="T37" s="735"/>
    </row>
    <row r="38" spans="1:20" ht="15" customHeight="1" x14ac:dyDescent="0.2">
      <c r="A38" s="5">
        <v>37</v>
      </c>
      <c r="B38" s="5" t="str">
        <f ca="1">+INDEX(Idiomas!$D$212:$D$259,MATCH(T_Equipos[[#This Row],[Num]],Idiomas!$C$212:$C$259,0))</f>
        <v>Argentina</v>
      </c>
      <c r="C38" s="5" t="s">
        <v>5</v>
      </c>
      <c r="D38" s="5">
        <v>1</v>
      </c>
      <c r="K38" s="5" t="str">
        <f ca="1">Idiomas!D248</f>
        <v>Senegal</v>
      </c>
      <c r="L38" s="5" t="s">
        <v>1643</v>
      </c>
      <c r="M38" s="5" t="e" vm="43">
        <v>#VALUE!</v>
      </c>
      <c r="O38" s="734"/>
      <c r="T38" s="735"/>
    </row>
    <row r="39" spans="1:20" ht="15" customHeight="1" x14ac:dyDescent="0.2">
      <c r="A39" s="5">
        <v>38</v>
      </c>
      <c r="B39" s="5" t="str">
        <f ca="1">+INDEX(Idiomas!$D$212:$D$259,MATCH(T_Equipos[[#This Row],[Num]],Idiomas!$C$212:$C$259,0))</f>
        <v>Argelia</v>
      </c>
      <c r="C39" s="5" t="s">
        <v>5</v>
      </c>
      <c r="D39" s="5">
        <v>2</v>
      </c>
      <c r="K39" s="5" t="str">
        <f ca="1">Idiomas!D249</f>
        <v>Sudáfrica</v>
      </c>
      <c r="L39" s="5" t="s">
        <v>1636</v>
      </c>
      <c r="M39" s="5" t="e" vm="44">
        <v>#VALUE!</v>
      </c>
      <c r="O39" s="734"/>
      <c r="Q39" s="734" t="s">
        <v>1647</v>
      </c>
      <c r="R39" s="734" t="s">
        <v>1648</v>
      </c>
      <c r="S39" s="734"/>
      <c r="T39" s="735"/>
    </row>
    <row r="40" spans="1:20" ht="15" customHeight="1" x14ac:dyDescent="0.2">
      <c r="A40" s="5">
        <v>39</v>
      </c>
      <c r="B40" s="5" t="str">
        <f ca="1">+INDEX(Idiomas!$D$212:$D$259,MATCH(T_Equipos[[#This Row],[Num]],Idiomas!$C$212:$C$259,0))</f>
        <v>Austria</v>
      </c>
      <c r="C40" s="5" t="s">
        <v>5</v>
      </c>
      <c r="D40" s="5">
        <v>3</v>
      </c>
      <c r="K40" s="5" t="str">
        <f ca="1">Idiomas!D250</f>
        <v>Suiza</v>
      </c>
      <c r="L40" s="5" t="s">
        <v>136</v>
      </c>
      <c r="M40" s="5" t="e" vm="45">
        <v>#VALUE!</v>
      </c>
      <c r="O40" s="734"/>
      <c r="Q40" s="735" cm="1">
        <f t="array" aca="1" ref="Q40" ca="1">IFERROR(INDEX($Q$2:$Q$25,SMALL(IF(($Q$2:$Q$25)=0,"",ROW($Q$2:$Q$25)),ROW(Q1))-MIN(ROW($Q$2:$Q$25))+1),"")</f>
        <v>46184</v>
      </c>
      <c r="R40" s="735" cm="1">
        <f t="array" aca="1" ref="R40:R63" ca="1">Equipos!$Q$40:INDEX(Equipos!$Q$40:$Q$63,SUMPRODUCT((NOT(ISERROR(Equipos!$Q$40:$Q$63)))*(Equipos!$Q$40:$Q$63&lt;&gt;"")))</f>
        <v>46184</v>
      </c>
      <c r="S40" s="734"/>
      <c r="T40" s="735"/>
    </row>
    <row r="41" spans="1:20" ht="15" customHeight="1" x14ac:dyDescent="0.2">
      <c r="A41" s="5">
        <v>40</v>
      </c>
      <c r="B41" s="5" t="str">
        <f ca="1">+INDEX(Idiomas!$D$212:$D$259,MATCH(T_Equipos[[#This Row],[Num]],Idiomas!$C$212:$C$259,0))</f>
        <v>Jordania</v>
      </c>
      <c r="C41" s="5" t="s">
        <v>5</v>
      </c>
      <c r="D41" s="5">
        <v>4</v>
      </c>
      <c r="K41" s="5" t="str">
        <f ca="1">Idiomas!D251</f>
        <v>Túnez</v>
      </c>
      <c r="L41" s="5" t="s">
        <v>1329</v>
      </c>
      <c r="M41" s="5" t="e" vm="46">
        <v>#VALUE!</v>
      </c>
      <c r="O41" s="734"/>
      <c r="Q41" s="735" cm="1">
        <f t="array" aca="1" ref="Q41" ca="1">IFERROR(INDEX($Q$2:$Q$25,SMALL(IF(($Q$2:$Q$25)=0,"",ROW($Q$2:$Q$25)),ROW(Q2))-MIN(ROW($Q$2:$Q$25))+1),"")</f>
        <v>46185</v>
      </c>
      <c r="R41" s="735">
        <f ca="1"/>
        <v>46185</v>
      </c>
      <c r="T41" s="735"/>
    </row>
    <row r="42" spans="1:20" ht="15" customHeight="1" x14ac:dyDescent="0.2">
      <c r="A42" s="5">
        <v>41</v>
      </c>
      <c r="B42" s="5" t="str">
        <f ca="1">+INDEX(Idiomas!$D$212:$D$259,MATCH(T_Equipos[[#This Row],[Num]],Idiomas!$C$212:$C$259,0))</f>
        <v>Portugal</v>
      </c>
      <c r="C42" s="5" t="s">
        <v>439</v>
      </c>
      <c r="D42" s="5">
        <v>1</v>
      </c>
      <c r="K42" s="5" t="str">
        <f ca="1">Idiomas!D252</f>
        <v>Uruguay</v>
      </c>
      <c r="L42" s="5" t="s">
        <v>1323</v>
      </c>
      <c r="M42" s="5" t="e" vm="47">
        <v>#VALUE!</v>
      </c>
      <c r="O42" s="734"/>
      <c r="Q42" s="735" cm="1">
        <f t="array" aca="1" ref="Q42" ca="1">IFERROR(INDEX($Q$2:$Q$25,SMALL(IF(($Q$2:$Q$25)=0,"",ROW($Q$2:$Q$25)),ROW(Q3))-MIN(ROW($Q$2:$Q$25))+1),"")</f>
        <v>46186</v>
      </c>
      <c r="R42" s="735">
        <f ca="1"/>
        <v>46186</v>
      </c>
      <c r="T42" s="735"/>
    </row>
    <row r="43" spans="1:20" ht="15" customHeight="1" x14ac:dyDescent="0.2">
      <c r="A43" s="5">
        <v>42</v>
      </c>
      <c r="B43" s="5" t="str">
        <f ca="1">+INDEX(Idiomas!$D$212:$D$259,MATCH(T_Equipos[[#This Row],[Num]],Idiomas!$C$212:$C$259,0))</f>
        <v>RD Congo</v>
      </c>
      <c r="C43" s="5" t="s">
        <v>439</v>
      </c>
      <c r="D43" s="5">
        <v>2</v>
      </c>
      <c r="K43" s="5" t="str">
        <f ca="1">Idiomas!D253</f>
        <v>Uzbekistán</v>
      </c>
      <c r="L43" s="5" t="s">
        <v>1293</v>
      </c>
      <c r="M43" s="5" t="e" vm="48">
        <v>#VALUE!</v>
      </c>
      <c r="O43" s="734"/>
      <c r="Q43" s="735" cm="1">
        <f t="array" aca="1" ref="Q43" ca="1">IFERROR(INDEX($Q$2:$Q$25,SMALL(IF(($Q$2:$Q$25)=0,"",ROW($Q$2:$Q$25)),ROW(Q4))-MIN(ROW($Q$2:$Q$25))+1),"")</f>
        <v>46187</v>
      </c>
      <c r="R43" s="735">
        <f ca="1"/>
        <v>46187</v>
      </c>
      <c r="T43" s="735"/>
    </row>
    <row r="44" spans="1:20" ht="15" customHeight="1" x14ac:dyDescent="0.2">
      <c r="A44" s="5">
        <v>43</v>
      </c>
      <c r="B44" s="5" t="str">
        <f ca="1">+INDEX(Idiomas!$D$212:$D$259,MATCH(T_Equipos[[#This Row],[Num]],Idiomas!$C$212:$C$259,0))</f>
        <v>Uzbekistán</v>
      </c>
      <c r="C44" s="5" t="s">
        <v>439</v>
      </c>
      <c r="D44" s="5">
        <v>3</v>
      </c>
      <c r="K44" s="5" t="str">
        <f ca="1">Idiomas!D254</f>
        <v>RD Congo</v>
      </c>
      <c r="L44" s="737" t="s">
        <v>1845</v>
      </c>
      <c r="M44" s="5" t="e" vm="49">
        <v>#VALUE!</v>
      </c>
      <c r="O44" s="734"/>
      <c r="Q44" s="735" cm="1">
        <f t="array" aca="1" ref="Q44" ca="1">IFERROR(INDEX($Q$2:$Q$25,SMALL(IF(($Q$2:$Q$25)=0,"",ROW($Q$2:$Q$25)),ROW(Q5))-MIN(ROW($Q$2:$Q$25))+1),"")</f>
        <v>46188</v>
      </c>
      <c r="R44" s="735">
        <f ca="1"/>
        <v>46188</v>
      </c>
      <c r="T44" s="735"/>
    </row>
    <row r="45" spans="1:20" ht="15" customHeight="1" x14ac:dyDescent="0.2">
      <c r="A45" s="5">
        <v>44</v>
      </c>
      <c r="B45" s="5" t="str">
        <f ca="1">+INDEX(Idiomas!$D$212:$D$259,MATCH(T_Equipos[[#This Row],[Num]],Idiomas!$C$212:$C$259,0))</f>
        <v>Colombia</v>
      </c>
      <c r="C45" s="5" t="s">
        <v>439</v>
      </c>
      <c r="D45" s="5">
        <v>4</v>
      </c>
      <c r="K45" s="5" t="str">
        <f ca="1">Idiomas!D255</f>
        <v>Irak</v>
      </c>
      <c r="L45" s="737" t="s">
        <v>1759</v>
      </c>
      <c r="M45" s="5" t="e" vm="50">
        <v>#VALUE!</v>
      </c>
      <c r="O45" s="734"/>
      <c r="Q45" s="735" cm="1">
        <f t="array" aca="1" ref="Q45" ca="1">IFERROR(INDEX($Q$2:$Q$25,SMALL(IF(($Q$2:$Q$25)=0,"",ROW($Q$2:$Q$25)),ROW(Q6))-MIN(ROW($Q$2:$Q$25))+1),"")</f>
        <v>46189</v>
      </c>
      <c r="R45" s="735">
        <f ca="1"/>
        <v>46189</v>
      </c>
      <c r="T45" s="735"/>
    </row>
    <row r="46" spans="1:20" ht="15" customHeight="1" x14ac:dyDescent="0.2">
      <c r="A46" s="5">
        <v>45</v>
      </c>
      <c r="B46" s="5" t="str">
        <f ca="1">+INDEX(Idiomas!$D$212:$D$259,MATCH(T_Equipos[[#This Row],[Num]],Idiomas!$C$212:$C$259,0))</f>
        <v>Inglaterra</v>
      </c>
      <c r="C46" s="5" t="s">
        <v>238</v>
      </c>
      <c r="D46" s="5">
        <v>1</v>
      </c>
      <c r="K46" s="5" t="str">
        <f ca="1">Idiomas!D256</f>
        <v>Bosnia y Herzegovina</v>
      </c>
      <c r="L46" s="738" t="s">
        <v>1846</v>
      </c>
      <c r="M46" s="5" t="e" vm="51">
        <v>#VALUE!</v>
      </c>
      <c r="O46" s="734"/>
      <c r="Q46" s="735" cm="1">
        <f t="array" aca="1" ref="Q46" ca="1">IFERROR(INDEX($Q$2:$Q$25,SMALL(IF(($Q$2:$Q$25)=0,"",ROW($Q$2:$Q$25)),ROW(Q7))-MIN(ROW($Q$2:$Q$25))+1),"")</f>
        <v>46190</v>
      </c>
      <c r="R46" s="735">
        <f ca="1"/>
        <v>46190</v>
      </c>
      <c r="T46" s="735"/>
    </row>
    <row r="47" spans="1:20" ht="15" customHeight="1" x14ac:dyDescent="0.2">
      <c r="A47" s="5">
        <v>46</v>
      </c>
      <c r="B47" s="5" t="str">
        <f ca="1">+INDEX(Idiomas!$D$212:$D$259,MATCH(T_Equipos[[#This Row],[Num]],Idiomas!$C$212:$C$259,0))</f>
        <v>Croacia</v>
      </c>
      <c r="C47" s="5" t="s">
        <v>238</v>
      </c>
      <c r="D47" s="5">
        <v>2</v>
      </c>
      <c r="K47" s="5" t="str">
        <f ca="1">Idiomas!D257</f>
        <v>Suecia</v>
      </c>
      <c r="L47" s="737" t="s">
        <v>1837</v>
      </c>
      <c r="M47" s="5" t="e" vm="52">
        <v>#VALUE!</v>
      </c>
      <c r="O47" s="734"/>
      <c r="Q47" s="735" cm="1">
        <f t="array" aca="1" ref="Q47" ca="1">IFERROR(INDEX($Q$2:$Q$25,SMALL(IF(($Q$2:$Q$25)=0,"",ROW($Q$2:$Q$25)),ROW(Q8))-MIN(ROW($Q$2:$Q$25))+1),"")</f>
        <v>46191</v>
      </c>
      <c r="R47" s="735">
        <f ca="1"/>
        <v>46191</v>
      </c>
      <c r="T47" s="735"/>
    </row>
    <row r="48" spans="1:20" ht="15" customHeight="1" x14ac:dyDescent="0.2">
      <c r="A48" s="5">
        <v>47</v>
      </c>
      <c r="B48" s="5" t="str">
        <f ca="1">+INDEX(Idiomas!$D$212:$D$259,MATCH(T_Equipos[[#This Row],[Num]],Idiomas!$C$212:$C$259,0))</f>
        <v>Ghana</v>
      </c>
      <c r="C48" s="5" t="s">
        <v>238</v>
      </c>
      <c r="D48" s="5">
        <v>3</v>
      </c>
      <c r="K48" s="5" t="str">
        <f ca="1">Idiomas!D258</f>
        <v>Turquía</v>
      </c>
      <c r="L48" s="737" t="s">
        <v>1838</v>
      </c>
      <c r="M48" s="5" t="e" vm="53">
        <v>#VALUE!</v>
      </c>
      <c r="O48" s="734"/>
      <c r="Q48" s="735" cm="1">
        <f t="array" aca="1" ref="Q48" ca="1">IFERROR(INDEX($Q$2:$Q$25,SMALL(IF(($Q$2:$Q$25)=0,"",ROW($Q$2:$Q$25)),ROW(Q9))-MIN(ROW($Q$2:$Q$25))+1),"")</f>
        <v>46192</v>
      </c>
      <c r="R48" s="735">
        <f ca="1"/>
        <v>46192</v>
      </c>
      <c r="T48" s="735"/>
    </row>
    <row r="49" spans="1:20" ht="15" customHeight="1" x14ac:dyDescent="0.2">
      <c r="A49" s="5">
        <v>48</v>
      </c>
      <c r="B49" s="5" t="str">
        <f ca="1">+INDEX(Idiomas!$D$212:$D$259,MATCH(T_Equipos[[#This Row],[Num]],Idiomas!$C$212:$C$259,0))</f>
        <v>Panamá</v>
      </c>
      <c r="C49" s="5" t="s">
        <v>238</v>
      </c>
      <c r="D49" s="5">
        <v>4</v>
      </c>
      <c r="K49" s="5" t="str">
        <f ca="1">Idiomas!D259</f>
        <v>República Checa</v>
      </c>
      <c r="L49" s="737" t="s">
        <v>1847</v>
      </c>
      <c r="M49" s="5" t="e" vm="54">
        <v>#VALUE!</v>
      </c>
      <c r="O49" s="734"/>
      <c r="Q49" s="735" cm="1">
        <f t="array" aca="1" ref="Q49" ca="1">IFERROR(INDEX($Q$2:$Q$25,SMALL(IF(($Q$2:$Q$25)=0,"",ROW($Q$2:$Q$25)),ROW(Q10))-MIN(ROW($Q$2:$Q$25))+1),"")</f>
        <v>46193</v>
      </c>
      <c r="R49" s="735">
        <f ca="1"/>
        <v>46193</v>
      </c>
      <c r="T49" s="735"/>
    </row>
    <row r="50" spans="1:20" ht="15" customHeight="1" x14ac:dyDescent="0.2">
      <c r="L50" s="5" t="s">
        <v>1304</v>
      </c>
      <c r="O50" s="734"/>
      <c r="Q50" s="735" cm="1">
        <f t="array" aca="1" ref="Q50" ca="1">IFERROR(INDEX($Q$2:$Q$25,SMALL(IF(($Q$2:$Q$25)=0,"",ROW($Q$2:$Q$25)),ROW(Q11))-MIN(ROW($Q$2:$Q$25))+1),"")</f>
        <v>46194</v>
      </c>
      <c r="R50" s="735">
        <f ca="1"/>
        <v>46194</v>
      </c>
      <c r="T50" s="735"/>
    </row>
    <row r="51" spans="1:20" ht="15" customHeight="1" x14ac:dyDescent="0.2">
      <c r="O51" s="734"/>
      <c r="Q51" s="735" cm="1">
        <f t="array" aca="1" ref="Q51" ca="1">IFERROR(INDEX($Q$2:$Q$25,SMALL(IF(($Q$2:$Q$25)=0,"",ROW($Q$2:$Q$25)),ROW(Q12))-MIN(ROW($Q$2:$Q$25))+1),"")</f>
        <v>46195</v>
      </c>
      <c r="R51" s="735">
        <f ca="1"/>
        <v>46195</v>
      </c>
      <c r="T51" s="735"/>
    </row>
    <row r="52" spans="1:20" ht="15" customHeight="1" x14ac:dyDescent="0.2">
      <c r="O52" s="734"/>
      <c r="Q52" s="735" cm="1">
        <f t="array" aca="1" ref="Q52" ca="1">IFERROR(INDEX($Q$2:$Q$25,SMALL(IF(($Q$2:$Q$25)=0,"",ROW($Q$2:$Q$25)),ROW(Q13))-MIN(ROW($Q$2:$Q$25))+1),"")</f>
        <v>46196</v>
      </c>
      <c r="R52" s="735">
        <f ca="1"/>
        <v>46196</v>
      </c>
      <c r="T52" s="735"/>
    </row>
    <row r="53" spans="1:20" ht="15" customHeight="1" x14ac:dyDescent="0.2">
      <c r="O53" s="734"/>
      <c r="P53" s="736"/>
      <c r="Q53" s="735" cm="1">
        <f t="array" aca="1" ref="Q53" ca="1">IFERROR(INDEX($Q$2:$Q$25,SMALL(IF(($Q$2:$Q$25)=0,"",ROW($Q$2:$Q$25)),ROW(Q14))-MIN(ROW($Q$2:$Q$25))+1),"")</f>
        <v>46197</v>
      </c>
      <c r="R53" s="735">
        <f ca="1"/>
        <v>46197</v>
      </c>
      <c r="T53" s="735"/>
    </row>
    <row r="54" spans="1:20" ht="15" customHeight="1" x14ac:dyDescent="0.2">
      <c r="O54" s="734"/>
      <c r="Q54" s="735" cm="1">
        <f t="array" aca="1" ref="Q54" ca="1">IFERROR(INDEX($Q$2:$Q$25,SMALL(IF(($Q$2:$Q$25)=0,"",ROW($Q$2:$Q$25)),ROW(Q15))-MIN(ROW($Q$2:$Q$25))+1),"")</f>
        <v>46198</v>
      </c>
      <c r="R54" s="735">
        <f ca="1"/>
        <v>46198</v>
      </c>
      <c r="T54" s="735"/>
    </row>
    <row r="55" spans="1:20" ht="15" customHeight="1" x14ac:dyDescent="0.2">
      <c r="O55" s="734"/>
      <c r="Q55" s="735" cm="1">
        <f t="array" aca="1" ref="Q55" ca="1">IFERROR(INDEX($Q$2:$Q$25,SMALL(IF(($Q$2:$Q$25)=0,"",ROW($Q$2:$Q$25)),ROW(Q16))-MIN(ROW($Q$2:$Q$25))+1),"")</f>
        <v>46199</v>
      </c>
      <c r="R55" s="735">
        <f ca="1"/>
        <v>46199</v>
      </c>
      <c r="T55" s="735"/>
    </row>
    <row r="56" spans="1:20" ht="15" customHeight="1" x14ac:dyDescent="0.2">
      <c r="O56" s="734"/>
      <c r="Q56" s="735" cm="1">
        <f t="array" aca="1" ref="Q56" ca="1">IFERROR(INDEX($Q$2:$Q$25,SMALL(IF(($Q$2:$Q$25)=0,"",ROW($Q$2:$Q$25)),ROW(Q17))-MIN(ROW($Q$2:$Q$25))+1),"")</f>
        <v>46200</v>
      </c>
      <c r="R56" s="735">
        <f ca="1"/>
        <v>46200</v>
      </c>
      <c r="T56" s="735"/>
    </row>
    <row r="57" spans="1:20" ht="15" customHeight="1" x14ac:dyDescent="0.2">
      <c r="O57" s="734"/>
      <c r="Q57" s="735" cm="1">
        <f t="array" aca="1" ref="Q57" ca="1">IFERROR(INDEX($Q$2:$Q$25,SMALL(IF(($Q$2:$Q$25)=0,"",ROW($Q$2:$Q$25)),ROW(Q18))-MIN(ROW($Q$2:$Q$25))+1),"")</f>
        <v>46201</v>
      </c>
      <c r="R57" s="735">
        <f ca="1"/>
        <v>46201</v>
      </c>
      <c r="T57" s="735"/>
    </row>
    <row r="58" spans="1:20" ht="15" customHeight="1" x14ac:dyDescent="0.2">
      <c r="O58" s="734"/>
      <c r="Q58" s="735" t="str" cm="1">
        <f t="array" aca="1" ref="Q58" ca="1">IFERROR(INDEX($Q$2:$Q$25,SMALL(IF(($Q$2:$Q$25)=0,"",ROW($Q$2:$Q$25)),ROW(Q19))-MIN(ROW($Q$2:$Q$25))+1),"")</f>
        <v>Clasificados Para Dieciseisavos</v>
      </c>
      <c r="R58" s="734" t="str">
        <f ca="1"/>
        <v>Clasificados Para Dieciseisavos</v>
      </c>
      <c r="T58" s="735"/>
    </row>
    <row r="59" spans="1:20" ht="15" customHeight="1" x14ac:dyDescent="0.2">
      <c r="O59" s="734"/>
      <c r="Q59" s="735" t="str" cm="1">
        <f t="array" aca="1" ref="Q59" ca="1">IFERROR(INDEX($Q$2:$Q$25,SMALL(IF(($Q$2:$Q$25)=0,"",ROW($Q$2:$Q$25)),ROW(Q20))-MIN(ROW($Q$2:$Q$25))+1),"")</f>
        <v>Dieciseisavos de final</v>
      </c>
      <c r="R59" s="734" t="str">
        <f ca="1"/>
        <v>Dieciseisavos de final</v>
      </c>
      <c r="T59" s="735"/>
    </row>
    <row r="60" spans="1:20" ht="15" customHeight="1" x14ac:dyDescent="0.2">
      <c r="O60" s="734"/>
      <c r="Q60" s="735" t="str" cm="1">
        <f t="array" aca="1" ref="Q60" ca="1">IFERROR(INDEX($Q$2:$Q$25,SMALL(IF(($Q$2:$Q$25)=0,"",ROW($Q$2:$Q$25)),ROW(Q21))-MIN(ROW($Q$2:$Q$25))+1),"")</f>
        <v>Octavos de final</v>
      </c>
      <c r="R60" s="734" t="str">
        <f ca="1"/>
        <v>Octavos de final</v>
      </c>
      <c r="T60" s="735"/>
    </row>
    <row r="61" spans="1:20" ht="15" customHeight="1" x14ac:dyDescent="0.2">
      <c r="O61" s="734"/>
      <c r="Q61" s="735" t="str" cm="1">
        <f t="array" aca="1" ref="Q61" ca="1">IFERROR(INDEX($Q$2:$Q$25,SMALL(IF(($Q$2:$Q$25)=0,"",ROW($Q$2:$Q$25)),ROW(Q22))-MIN(ROW($Q$2:$Q$25))+1),"")</f>
        <v>Cuartos de final</v>
      </c>
      <c r="R61" s="734" t="str">
        <f ca="1"/>
        <v>Cuartos de final</v>
      </c>
    </row>
    <row r="62" spans="1:20" ht="15" customHeight="1" x14ac:dyDescent="0.2">
      <c r="O62" s="734"/>
      <c r="Q62" s="735" t="str" cm="1">
        <f t="array" aca="1" ref="Q62" ca="1">IFERROR(INDEX($Q$2:$Q$25,SMALL(IF(($Q$2:$Q$25)=0,"",ROW($Q$2:$Q$25)),ROW(Q23))-MIN(ROW($Q$2:$Q$25))+1),"")</f>
        <v>Semifinales</v>
      </c>
      <c r="R62" s="734" t="str">
        <f ca="1"/>
        <v>Semifinales</v>
      </c>
    </row>
    <row r="63" spans="1:20" ht="15" customHeight="1" x14ac:dyDescent="0.2">
      <c r="O63" s="734"/>
      <c r="Q63" s="735" t="str" cm="1">
        <f t="array" aca="1" ref="Q63" ca="1">IFERROR(INDEX($Q$2:$Q$25,SMALL(IF(($Q$2:$Q$25)=0,"",ROW($Q$2:$Q$25)),ROW(Q24))-MIN(ROW($Q$2:$Q$25))+1),"")</f>
        <v>3-4 &amp; Final</v>
      </c>
      <c r="R63" s="734" t="str">
        <f ca="1"/>
        <v>3-4 &amp; Final</v>
      </c>
    </row>
    <row r="64" spans="1:20" ht="15" customHeight="1" x14ac:dyDescent="0.2">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RowHeight="15" x14ac:dyDescent="0.2"/>
  <cols>
    <col min="1" max="1" width="13.1640625" style="9" bestFit="1" customWidth="1"/>
    <col min="2" max="2" width="5" style="9" customWidth="1"/>
    <col min="3" max="3" width="12.5" style="9" customWidth="1"/>
    <col min="4" max="4" width="13.1640625" style="9" customWidth="1"/>
    <col min="5" max="5" width="12.33203125" style="9" bestFit="1" customWidth="1"/>
    <col min="6" max="6" width="10.83203125" style="9"/>
    <col min="7" max="7" width="12.33203125" style="9" bestFit="1" customWidth="1"/>
    <col min="8" max="15" width="10.83203125" style="9"/>
    <col min="16" max="16" width="4.83203125" style="9" bestFit="1" customWidth="1"/>
    <col min="17" max="17" width="17.83203125" style="9" bestFit="1" customWidth="1"/>
    <col min="18" max="18" width="11.1640625" style="9" bestFit="1" customWidth="1"/>
    <col min="19" max="19" width="11" style="9" bestFit="1" customWidth="1"/>
    <col min="20" max="20" width="10.33203125" style="9" bestFit="1" customWidth="1"/>
    <col min="21" max="21" width="10.5" style="9" customWidth="1"/>
    <col min="22" max="22" width="10.33203125" style="9" customWidth="1"/>
    <col min="23" max="23" width="3.33203125" style="9" bestFit="1" customWidth="1"/>
    <col min="24" max="26" width="10.83203125" style="9"/>
    <col min="27" max="27" width="6.5" style="9" customWidth="1"/>
    <col min="28" max="33" width="10.83203125" style="9"/>
    <col min="34" max="34" width="3.33203125" style="9" bestFit="1" customWidth="1"/>
    <col min="35" max="16384" width="10.83203125" style="9"/>
  </cols>
  <sheetData>
    <row r="1" spans="1:35" ht="16" thickBot="1" x14ac:dyDescent="0.25">
      <c r="A1" s="716"/>
      <c r="K1" s="720" t="s">
        <v>376</v>
      </c>
      <c r="L1" s="720" t="s">
        <v>367</v>
      </c>
      <c r="M1" s="720" t="s">
        <v>149</v>
      </c>
      <c r="N1" s="720" t="s">
        <v>372</v>
      </c>
      <c r="P1" s="9" t="s">
        <v>1343</v>
      </c>
    </row>
    <row r="2" spans="1:35" ht="16" thickBot="1" x14ac:dyDescent="0.25">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x14ac:dyDescent="0.2">
      <c r="A3" s="5" t="s">
        <v>39</v>
      </c>
      <c r="C3" s="9">
        <f ca="1">+IFERROR(INDEX($P$3:$P$86,MATCH(Home!$C$8,Horarios!$Q$3:$Q$86,0)),INDEX($P$3:$P$86,MATCH(1,$T$3:$T$86,0)))</f>
        <v>21</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x14ac:dyDescent="0.2">
      <c r="A4" s="716">
        <v>46184.625</v>
      </c>
      <c r="C4" s="716">
        <f t="shared" ref="C4:C9" ca="1" si="2">A4+INDEX($V$3:$V$86,MATCH($C$3,$P$3:$P$86,0))*INDEX($W$3:$W$86,MATCH($C$3,$P$3:$P$86,0))</f>
        <v>46184.875</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x14ac:dyDescent="0.2">
      <c r="A5" s="716">
        <v>46184.916666666664</v>
      </c>
      <c r="C5" s="716">
        <f t="shared" ca="1" si="2"/>
        <v>46185.166666666664</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x14ac:dyDescent="0.2">
      <c r="A6" s="716">
        <v>46191.5</v>
      </c>
      <c r="C6" s="716">
        <f t="shared" ca="1" si="2"/>
        <v>46191.75</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x14ac:dyDescent="0.2">
      <c r="A7" s="716">
        <v>46191.875</v>
      </c>
      <c r="C7" s="716">
        <f t="shared" ca="1" si="2"/>
        <v>46192.125</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x14ac:dyDescent="0.2">
      <c r="A8" s="716">
        <v>46197.875</v>
      </c>
      <c r="C8" s="716">
        <f t="shared" ca="1" si="2"/>
        <v>46198.125</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x14ac:dyDescent="0.2">
      <c r="A9" s="716">
        <v>46197.875</v>
      </c>
      <c r="C9" s="716">
        <f t="shared" ca="1" si="2"/>
        <v>46198.125</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x14ac:dyDescent="0.2">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x14ac:dyDescent="0.2">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x14ac:dyDescent="0.2">
      <c r="A12" s="716">
        <v>46185.625</v>
      </c>
      <c r="C12" s="716">
        <f t="shared" ref="C12:C17" ca="1" si="9">A12+INDEX($V$3:$V$86,MATCH($C$3,$P$3:$P$86,0))*INDEX($W$3:$W$86,MATCH($C$3,$P$3:$P$86,0))</f>
        <v>46185.875</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x14ac:dyDescent="0.2">
      <c r="A13" s="716">
        <v>46186.625</v>
      </c>
      <c r="C13" s="716">
        <f t="shared" ca="1" si="9"/>
        <v>46186.875</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x14ac:dyDescent="0.2">
      <c r="A14" s="716">
        <v>46191.625</v>
      </c>
      <c r="C14" s="716">
        <f t="shared" ca="1" si="9"/>
        <v>46191.875</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x14ac:dyDescent="0.2">
      <c r="A15" s="716">
        <v>46191.75</v>
      </c>
      <c r="C15" s="716">
        <f t="shared" ca="1" si="9"/>
        <v>46192</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x14ac:dyDescent="0.2">
      <c r="A16" s="716">
        <v>46197.625</v>
      </c>
      <c r="C16" s="716">
        <f t="shared" ca="1" si="9"/>
        <v>46197.875</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x14ac:dyDescent="0.2">
      <c r="A17" s="716">
        <v>46197.625</v>
      </c>
      <c r="C17" s="716">
        <f t="shared" ca="1" si="9"/>
        <v>46197.875</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x14ac:dyDescent="0.2">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x14ac:dyDescent="0.2">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x14ac:dyDescent="0.2">
      <c r="A20" s="716">
        <v>46186.75</v>
      </c>
      <c r="C20" s="716">
        <f t="shared" ref="C20:C25" ca="1" si="11">A20+INDEX($V$3:$V$86,MATCH($C$3,$P$3:$P$86,0))*INDEX($W$3:$W$86,MATCH($C$3,$P$3:$P$86,0))</f>
        <v>46187</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x14ac:dyDescent="0.2">
      <c r="A21" s="716">
        <v>46186.875</v>
      </c>
      <c r="C21" s="716">
        <f t="shared" ca="1" si="11"/>
        <v>46187.125</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x14ac:dyDescent="0.2">
      <c r="A22" s="716">
        <v>46192.75</v>
      </c>
      <c r="C22" s="716">
        <f t="shared" ca="1" si="11"/>
        <v>46193</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x14ac:dyDescent="0.2">
      <c r="A23" s="716">
        <v>46192.854166666664</v>
      </c>
      <c r="C23" s="716">
        <f t="shared" ca="1" si="11"/>
        <v>46193.104166666664</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x14ac:dyDescent="0.2">
      <c r="A24" s="716">
        <v>46197.75</v>
      </c>
      <c r="C24" s="716">
        <f t="shared" ca="1" si="11"/>
        <v>46198</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x14ac:dyDescent="0.2">
      <c r="A25" s="716">
        <v>46197.75</v>
      </c>
      <c r="C25" s="716">
        <f t="shared" ca="1" si="11"/>
        <v>46198</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x14ac:dyDescent="0.2">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x14ac:dyDescent="0.2">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x14ac:dyDescent="0.2">
      <c r="A28" s="716">
        <v>46185.875</v>
      </c>
      <c r="C28" s="716">
        <f t="shared" ref="C28:C33" ca="1" si="13">A28+INDEX($V$3:$V$86,MATCH($C$3,$P$3:$P$86,0))*INDEX($W$3:$W$86,MATCH($C$3,$P$3:$P$86,0))</f>
        <v>46186.125</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x14ac:dyDescent="0.2">
      <c r="A29" s="716">
        <v>46187</v>
      </c>
      <c r="C29" s="716">
        <f t="shared" ca="1" si="13"/>
        <v>46187.25</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x14ac:dyDescent="0.2">
      <c r="A30" s="716">
        <v>46192.625</v>
      </c>
      <c r="C30" s="716">
        <f ca="1">A30+INDEX($V$3:$V$86,MATCH($C$3,$P$3:$P$86,0))*INDEX($W$3:$W$86,MATCH($C$3,$P$3:$P$86,0))</f>
        <v>46192.875</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x14ac:dyDescent="0.2">
      <c r="A31" s="716">
        <v>46192.958333333336</v>
      </c>
      <c r="C31" s="716">
        <f ca="1">A31+INDEX($V$3:$V$86,MATCH($C$3,$P$3:$P$86,0))*INDEX($W$3:$W$86,MATCH($C$3,$P$3:$P$86,0))</f>
        <v>46193.208333333336</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x14ac:dyDescent="0.2">
      <c r="A32" s="716">
        <v>46198.916666666664</v>
      </c>
      <c r="C32" s="716">
        <f t="shared" ca="1" si="13"/>
        <v>46199.166666666664</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x14ac:dyDescent="0.2">
      <c r="A33" s="716">
        <v>46198.916666666664</v>
      </c>
      <c r="C33" s="716">
        <f t="shared" ca="1" si="13"/>
        <v>46199.166666666664</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x14ac:dyDescent="0.2">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x14ac:dyDescent="0.2">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x14ac:dyDescent="0.2">
      <c r="A36" s="716">
        <v>46187.541666666664</v>
      </c>
      <c r="C36" s="716">
        <f t="shared" ref="C36:C41" ca="1" si="15">A36+INDEX($V$3:$V$86,MATCH($C$3,$P$3:$P$86,0))*INDEX($W$3:$W$86,MATCH($C$3,$P$3:$P$86,0))</f>
        <v>46187.791666666664</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x14ac:dyDescent="0.2">
      <c r="A37" s="716">
        <v>46187.791666666664</v>
      </c>
      <c r="C37" s="716">
        <f t="shared" ca="1" si="15"/>
        <v>46188.041666666664</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x14ac:dyDescent="0.2">
      <c r="A38" s="716">
        <v>46193.666666666664</v>
      </c>
      <c r="C38" s="716">
        <f t="shared" ca="1" si="15"/>
        <v>46193.916666666664</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x14ac:dyDescent="0.2">
      <c r="A39" s="716">
        <v>46193.833333333336</v>
      </c>
      <c r="C39" s="716">
        <f t="shared" ca="1" si="15"/>
        <v>46194.083333333336</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x14ac:dyDescent="0.2">
      <c r="A40" s="716">
        <v>46198.666666666664</v>
      </c>
      <c r="C40" s="716">
        <f t="shared" ca="1" si="15"/>
        <v>46198.916666666664</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x14ac:dyDescent="0.2">
      <c r="A41" s="716">
        <v>46198.666666666664</v>
      </c>
      <c r="C41" s="716">
        <f t="shared" ca="1" si="15"/>
        <v>46198.916666666664</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x14ac:dyDescent="0.2">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x14ac:dyDescent="0.2">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x14ac:dyDescent="0.2">
      <c r="A44" s="716">
        <v>46187.666666666664</v>
      </c>
      <c r="C44" s="716">
        <f t="shared" ref="C44:C49" ca="1" si="17">A44+INDEX($V$3:$V$86,MATCH($C$3,$P$3:$P$86,0))*INDEX($W$3:$W$86,MATCH($C$3,$P$3:$P$86,0))</f>
        <v>46187.916666666664</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x14ac:dyDescent="0.2">
      <c r="A45" s="716">
        <v>46187.916666666664</v>
      </c>
      <c r="C45" s="716">
        <f t="shared" ca="1" si="17"/>
        <v>46188.166666666664</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x14ac:dyDescent="0.2">
      <c r="A46" s="716">
        <v>46193.541666666664</v>
      </c>
      <c r="C46" s="716">
        <f t="shared" ca="1" si="17"/>
        <v>46193.791666666664</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x14ac:dyDescent="0.2">
      <c r="A47" s="716">
        <v>46194</v>
      </c>
      <c r="C47" s="716">
        <f t="shared" ca="1" si="17"/>
        <v>46194.25</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x14ac:dyDescent="0.2">
      <c r="A48" s="716">
        <v>46198.791666666664</v>
      </c>
      <c r="C48" s="716">
        <f t="shared" ca="1" si="17"/>
        <v>46199.041666666664</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x14ac:dyDescent="0.2">
      <c r="A49" s="716">
        <v>46198.791666666664</v>
      </c>
      <c r="C49" s="716">
        <f t="shared" ca="1" si="17"/>
        <v>46199.041666666664</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x14ac:dyDescent="0.2">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x14ac:dyDescent="0.2">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x14ac:dyDescent="0.2">
      <c r="A52" s="716">
        <v>46188.625</v>
      </c>
      <c r="C52" s="716">
        <f t="shared" ref="C52:C57" ca="1" si="21">A52+INDEX($V$3:$V$86,MATCH($C$3,$P$3:$P$86,0))*INDEX($W$3:$W$86,MATCH($C$3,$P$3:$P$86,0))</f>
        <v>46188.875</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x14ac:dyDescent="0.2">
      <c r="A53" s="716">
        <v>46188.875</v>
      </c>
      <c r="C53" s="716">
        <f t="shared" ca="1" si="21"/>
        <v>46189.125</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x14ac:dyDescent="0.2">
      <c r="A54" s="716">
        <v>46194.625</v>
      </c>
      <c r="C54" s="716">
        <f t="shared" ca="1" si="21"/>
        <v>46194.875</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x14ac:dyDescent="0.2">
      <c r="A55" s="716">
        <v>46194.875</v>
      </c>
      <c r="C55" s="716">
        <f t="shared" ca="1" si="21"/>
        <v>46195.125</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x14ac:dyDescent="0.2">
      <c r="A56" s="716">
        <v>46199.958333333336</v>
      </c>
      <c r="C56" s="716">
        <f t="shared" ca="1" si="21"/>
        <v>46200.208333333336</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x14ac:dyDescent="0.2">
      <c r="A57" s="716">
        <v>46199.958333333336</v>
      </c>
      <c r="C57" s="716">
        <f t="shared" ca="1" si="21"/>
        <v>46200.208333333336</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x14ac:dyDescent="0.2">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x14ac:dyDescent="0.2">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x14ac:dyDescent="0.2">
      <c r="A60" s="716">
        <v>46188.5</v>
      </c>
      <c r="C60" s="716">
        <f t="shared" ref="C60:C65" ca="1" si="26">A60+INDEX($V$3:$V$86,MATCH($C$3,$P$3:$P$86,0))*INDEX($W$3:$W$86,MATCH($C$3,$P$3:$P$86,0))</f>
        <v>46188.75</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x14ac:dyDescent="0.2">
      <c r="A61" s="716">
        <v>46188.75</v>
      </c>
      <c r="C61" s="716">
        <f t="shared" ca="1" si="26"/>
        <v>46189</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x14ac:dyDescent="0.2">
      <c r="A62" s="716">
        <v>46194.5</v>
      </c>
      <c r="C62" s="716">
        <f t="shared" ca="1" si="26"/>
        <v>46194.75</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x14ac:dyDescent="0.2">
      <c r="A63" s="716">
        <v>46194.75</v>
      </c>
      <c r="C63" s="716">
        <f t="shared" ca="1" si="26"/>
        <v>46195</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x14ac:dyDescent="0.2">
      <c r="A64" s="716">
        <v>46199.833333333336</v>
      </c>
      <c r="C64" s="716">
        <f t="shared" ca="1" si="26"/>
        <v>46200.083333333336</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x14ac:dyDescent="0.2">
      <c r="A65" s="716">
        <v>46199.833333333336</v>
      </c>
      <c r="C65" s="716">
        <f t="shared" ca="1" si="26"/>
        <v>46200.083333333336</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x14ac:dyDescent="0.2">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x14ac:dyDescent="0.2">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x14ac:dyDescent="0.2">
      <c r="A68" s="716">
        <v>46189.625</v>
      </c>
      <c r="C68" s="716">
        <f t="shared" ref="C68:C73" ca="1" si="30">A68+INDEX($V$3:$V$86,MATCH($C$3,$P$3:$P$86,0))*INDEX($W$3:$W$86,MATCH($C$3,$P$3:$P$86,0))</f>
        <v>46189.875</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x14ac:dyDescent="0.2">
      <c r="A69" s="716">
        <v>46189.75</v>
      </c>
      <c r="C69" s="716">
        <f t="shared" ca="1" si="30"/>
        <v>46190</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x14ac:dyDescent="0.2">
      <c r="A70" s="716">
        <v>46195.708333333336</v>
      </c>
      <c r="C70" s="716">
        <f t="shared" ca="1" si="30"/>
        <v>46195.958333333336</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x14ac:dyDescent="0.2">
      <c r="A71" s="716">
        <v>46195.833333333336</v>
      </c>
      <c r="C71" s="716">
        <f t="shared" ca="1" si="30"/>
        <v>46196.083333333336</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x14ac:dyDescent="0.2">
      <c r="A72" s="716">
        <v>46199.625</v>
      </c>
      <c r="C72" s="716">
        <f t="shared" ca="1" si="30"/>
        <v>46199.875</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x14ac:dyDescent="0.2">
      <c r="A73" s="716">
        <v>46199.625</v>
      </c>
      <c r="C73" s="716">
        <f t="shared" ca="1" si="30"/>
        <v>46199.875</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x14ac:dyDescent="0.2">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x14ac:dyDescent="0.2">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x14ac:dyDescent="0.2">
      <c r="A76" s="716">
        <v>46189.875</v>
      </c>
      <c r="C76" s="716">
        <f t="shared" ref="C76:C81" ca="1" si="33">A76+INDEX($V$3:$V$86,MATCH($C$3,$P$3:$P$86,0))*INDEX($W$3:$W$86,MATCH($C$3,$P$3:$P$86,0))</f>
        <v>46190.125</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x14ac:dyDescent="0.2">
      <c r="A77" s="716">
        <v>46190</v>
      </c>
      <c r="C77" s="716">
        <f t="shared" ca="1" si="33"/>
        <v>46190.25</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x14ac:dyDescent="0.2">
      <c r="A78" s="716">
        <v>46195.541666666664</v>
      </c>
      <c r="C78" s="716">
        <f t="shared" ca="1" si="33"/>
        <v>46195.791666666664</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x14ac:dyDescent="0.2">
      <c r="A79" s="716">
        <v>46195.958333333336</v>
      </c>
      <c r="C79" s="716">
        <f t="shared" ca="1" si="33"/>
        <v>46196.208333333336</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x14ac:dyDescent="0.2">
      <c r="A80" s="716">
        <v>46200.916666666664</v>
      </c>
      <c r="C80" s="716">
        <f t="shared" ca="1" si="33"/>
        <v>46201.166666666664</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x14ac:dyDescent="0.2">
      <c r="A81" s="716">
        <v>46200.916666666664</v>
      </c>
      <c r="C81" s="716">
        <f t="shared" ca="1" si="33"/>
        <v>46201.166666666664</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x14ac:dyDescent="0.2">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x14ac:dyDescent="0.2">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x14ac:dyDescent="0.2">
      <c r="A84" s="716">
        <v>46190.541666666664</v>
      </c>
      <c r="C84" s="716">
        <f t="shared" ref="C84:C89" ca="1" si="34">A84+INDEX($V$3:$V$86,MATCH($C$3,$P$3:$P$86,0))*INDEX($W$3:$W$86,MATCH($C$3,$P$3:$P$86,0))</f>
        <v>46190.791666666664</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x14ac:dyDescent="0.2">
      <c r="A85" s="716">
        <v>46190.916666666664</v>
      </c>
      <c r="C85" s="716">
        <f t="shared" ca="1" si="34"/>
        <v>46191.166666666664</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x14ac:dyDescent="0.2">
      <c r="A86" s="716">
        <v>46196.541666666664</v>
      </c>
      <c r="C86" s="716">
        <f t="shared" ca="1" si="34"/>
        <v>46196.791666666664</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x14ac:dyDescent="0.2">
      <c r="A87" s="716">
        <v>46196.916666666664</v>
      </c>
      <c r="C87" s="716">
        <f t="shared" ca="1" si="34"/>
        <v>46197.166666666664</v>
      </c>
    </row>
    <row r="88" spans="1:34" x14ac:dyDescent="0.2">
      <c r="A88" s="716">
        <v>46200.8125</v>
      </c>
      <c r="C88" s="716">
        <f t="shared" ca="1" si="34"/>
        <v>46201.0625</v>
      </c>
    </row>
    <row r="89" spans="1:34" x14ac:dyDescent="0.2">
      <c r="A89" s="716">
        <v>46200.8125</v>
      </c>
      <c r="C89" s="716">
        <f t="shared" ca="1" si="34"/>
        <v>46201.0625</v>
      </c>
    </row>
    <row r="90" spans="1:34" x14ac:dyDescent="0.2">
      <c r="C90" s="716"/>
    </row>
    <row r="91" spans="1:34" x14ac:dyDescent="0.2">
      <c r="A91" s="5" t="s">
        <v>489</v>
      </c>
      <c r="C91" s="716"/>
    </row>
    <row r="92" spans="1:34" x14ac:dyDescent="0.2">
      <c r="A92" s="716">
        <v>46190.666666666664</v>
      </c>
      <c r="C92" s="716">
        <f t="shared" ref="C92:C97" ca="1" si="35">A92+INDEX($V$3:$V$86,MATCH($C$3,$P$3:$P$86,0))*INDEX($W$3:$W$86,MATCH($C$3,$P$3:$P$86,0))</f>
        <v>46190.916666666664</v>
      </c>
    </row>
    <row r="93" spans="1:34" x14ac:dyDescent="0.2">
      <c r="A93" s="716">
        <v>46190.791666666664</v>
      </c>
      <c r="C93" s="716">
        <f t="shared" ca="1" si="35"/>
        <v>46191.041666666664</v>
      </c>
    </row>
    <row r="94" spans="1:34" x14ac:dyDescent="0.2">
      <c r="A94" s="716">
        <v>46196.666666666664</v>
      </c>
      <c r="C94" s="716">
        <f t="shared" ca="1" si="35"/>
        <v>46196.916666666664</v>
      </c>
    </row>
    <row r="95" spans="1:34" x14ac:dyDescent="0.2">
      <c r="A95" s="716">
        <v>46196.791666666664</v>
      </c>
      <c r="C95" s="716">
        <f t="shared" ca="1" si="35"/>
        <v>46197.041666666664</v>
      </c>
    </row>
    <row r="96" spans="1:34" x14ac:dyDescent="0.2">
      <c r="A96" s="716">
        <v>46200.708333333336</v>
      </c>
      <c r="C96" s="716">
        <f t="shared" ca="1" si="35"/>
        <v>46200.958333333336</v>
      </c>
    </row>
    <row r="97" spans="1:3" x14ac:dyDescent="0.2">
      <c r="A97" s="716">
        <v>46200.708333333336</v>
      </c>
      <c r="C97" s="716">
        <f t="shared" ca="1" si="35"/>
        <v>46200.958333333336</v>
      </c>
    </row>
    <row r="100" spans="1:3" x14ac:dyDescent="0.2">
      <c r="A100" s="725" t="s">
        <v>490</v>
      </c>
      <c r="C100" s="716"/>
    </row>
    <row r="101" spans="1:3" x14ac:dyDescent="0.2">
      <c r="A101" s="716">
        <v>46201.625</v>
      </c>
      <c r="C101" s="716">
        <f t="shared" ref="C101:C116" ca="1" si="36">A101+INDEX($V$3:$V$86,MATCH($C$3,$P$3:$P$86,0))*INDEX($W$3:$W$86,MATCH($C$3,$P$3:$P$86,0))</f>
        <v>46201.875</v>
      </c>
    </row>
    <row r="102" spans="1:3" x14ac:dyDescent="0.2">
      <c r="A102" s="716">
        <v>46202.541666666664</v>
      </c>
      <c r="C102" s="716">
        <f t="shared" ca="1" si="36"/>
        <v>46202.791666666664</v>
      </c>
    </row>
    <row r="103" spans="1:3" x14ac:dyDescent="0.2">
      <c r="A103" s="716">
        <v>46202.6875</v>
      </c>
      <c r="C103" s="716">
        <f t="shared" ca="1" si="36"/>
        <v>46202.9375</v>
      </c>
    </row>
    <row r="104" spans="1:3" x14ac:dyDescent="0.2">
      <c r="A104" s="716">
        <v>46202.875</v>
      </c>
      <c r="C104" s="716">
        <f t="shared" ca="1" si="36"/>
        <v>46203.125</v>
      </c>
    </row>
    <row r="105" spans="1:3" x14ac:dyDescent="0.2">
      <c r="A105" s="716">
        <v>46203.541666666664</v>
      </c>
      <c r="C105" s="716">
        <f t="shared" ca="1" si="36"/>
        <v>46203.791666666664</v>
      </c>
    </row>
    <row r="106" spans="1:3" x14ac:dyDescent="0.2">
      <c r="A106" s="716">
        <v>46203.708333333336</v>
      </c>
      <c r="C106" s="716">
        <f t="shared" ca="1" si="36"/>
        <v>46203.958333333336</v>
      </c>
    </row>
    <row r="107" spans="1:3" x14ac:dyDescent="0.2">
      <c r="A107" s="716">
        <v>46203.875</v>
      </c>
      <c r="C107" s="716">
        <f t="shared" ca="1" si="36"/>
        <v>46204.125</v>
      </c>
    </row>
    <row r="108" spans="1:3" x14ac:dyDescent="0.2">
      <c r="A108" s="716">
        <v>46204.5</v>
      </c>
      <c r="C108" s="716">
        <f t="shared" ca="1" si="36"/>
        <v>46204.75</v>
      </c>
    </row>
    <row r="109" spans="1:3" x14ac:dyDescent="0.2">
      <c r="A109" s="716">
        <v>46204.666666666664</v>
      </c>
      <c r="C109" s="716">
        <f t="shared" ca="1" si="36"/>
        <v>46204.916666666664</v>
      </c>
    </row>
    <row r="110" spans="1:3" x14ac:dyDescent="0.2">
      <c r="A110" s="716">
        <v>46204.833333333336</v>
      </c>
      <c r="C110" s="716">
        <f t="shared" ca="1" si="36"/>
        <v>46205.083333333336</v>
      </c>
    </row>
    <row r="111" spans="1:3" x14ac:dyDescent="0.2">
      <c r="A111" s="716">
        <v>46205.625</v>
      </c>
      <c r="C111" s="716">
        <f t="shared" ca="1" si="36"/>
        <v>46205.875</v>
      </c>
    </row>
    <row r="112" spans="1:3" x14ac:dyDescent="0.2">
      <c r="A112" s="716">
        <v>46205.791666666664</v>
      </c>
      <c r="C112" s="716">
        <f t="shared" ca="1" si="36"/>
        <v>46206.041666666664</v>
      </c>
    </row>
    <row r="113" spans="1:3" x14ac:dyDescent="0.2">
      <c r="A113" s="716">
        <v>46205.958333333336</v>
      </c>
      <c r="C113" s="716">
        <f t="shared" ca="1" si="36"/>
        <v>46206.208333333336</v>
      </c>
    </row>
    <row r="114" spans="1:3" x14ac:dyDescent="0.2">
      <c r="A114" s="716">
        <v>46206.583333333336</v>
      </c>
      <c r="C114" s="716">
        <f t="shared" ca="1" si="36"/>
        <v>46206.833333333336</v>
      </c>
    </row>
    <row r="115" spans="1:3" x14ac:dyDescent="0.2">
      <c r="A115" s="716">
        <v>46206.75</v>
      </c>
      <c r="C115" s="716">
        <f t="shared" ca="1" si="36"/>
        <v>46207</v>
      </c>
    </row>
    <row r="116" spans="1:3" x14ac:dyDescent="0.2">
      <c r="A116" s="716">
        <v>46206.895833333336</v>
      </c>
      <c r="C116" s="716">
        <f t="shared" ca="1" si="36"/>
        <v>46207.145833333336</v>
      </c>
    </row>
    <row r="117" spans="1:3" x14ac:dyDescent="0.2">
      <c r="C117" s="716"/>
    </row>
    <row r="118" spans="1:3" x14ac:dyDescent="0.2">
      <c r="C118" s="716"/>
    </row>
    <row r="119" spans="1:3" x14ac:dyDescent="0.2">
      <c r="A119" s="725" t="s">
        <v>718</v>
      </c>
    </row>
    <row r="120" spans="1:3" x14ac:dyDescent="0.2">
      <c r="A120" s="716">
        <v>46207.541666666664</v>
      </c>
      <c r="C120" s="716">
        <f t="shared" ref="C120:C127" ca="1" si="37">A120+INDEX($V$3:$V$86,MATCH($C$3,$P$3:$P$86,0))*INDEX($W$3:$W$86,MATCH($C$3,$P$3:$P$86,0))</f>
        <v>46207.791666666664</v>
      </c>
    </row>
    <row r="121" spans="1:3" x14ac:dyDescent="0.2">
      <c r="A121" s="716">
        <v>46207.708333333336</v>
      </c>
      <c r="C121" s="716">
        <f t="shared" ca="1" si="37"/>
        <v>46207.958333333336</v>
      </c>
    </row>
    <row r="122" spans="1:3" x14ac:dyDescent="0.2">
      <c r="A122" s="716">
        <v>46208.666666666664</v>
      </c>
      <c r="C122" s="716">
        <f t="shared" ca="1" si="37"/>
        <v>46208.916666666664</v>
      </c>
    </row>
    <row r="123" spans="1:3" x14ac:dyDescent="0.2">
      <c r="A123" s="716">
        <v>46208.833333333336</v>
      </c>
      <c r="C123" s="716">
        <f t="shared" ca="1" si="37"/>
        <v>46209.083333333336</v>
      </c>
    </row>
    <row r="124" spans="1:3" x14ac:dyDescent="0.2">
      <c r="A124" s="716">
        <v>46209.625</v>
      </c>
      <c r="C124" s="716">
        <f t="shared" ca="1" si="37"/>
        <v>46209.875</v>
      </c>
    </row>
    <row r="125" spans="1:3" x14ac:dyDescent="0.2">
      <c r="A125" s="716">
        <v>46209.833333333336</v>
      </c>
      <c r="C125" s="716">
        <f t="shared" ca="1" si="37"/>
        <v>46210.083333333336</v>
      </c>
    </row>
    <row r="126" spans="1:3" x14ac:dyDescent="0.2">
      <c r="A126" s="716">
        <v>46210.5</v>
      </c>
      <c r="C126" s="716">
        <f t="shared" ca="1" si="37"/>
        <v>46210.75</v>
      </c>
    </row>
    <row r="127" spans="1:3" x14ac:dyDescent="0.2">
      <c r="A127" s="716">
        <v>46210.666666666664</v>
      </c>
      <c r="C127" s="716">
        <f t="shared" ca="1" si="37"/>
        <v>46210.916666666664</v>
      </c>
    </row>
    <row r="130" spans="1:3" x14ac:dyDescent="0.2">
      <c r="A130" s="725" t="s">
        <v>95</v>
      </c>
      <c r="C130" s="716"/>
    </row>
    <row r="131" spans="1:3" x14ac:dyDescent="0.2">
      <c r="A131" s="716">
        <v>46212.666666666664</v>
      </c>
      <c r="C131" s="716">
        <f ca="1">A131+INDEX($V$3:$V$86,MATCH($C$3,$P$3:$P$86,0))*INDEX($W$3:$W$86,MATCH($C$3,$P$3:$P$86,0))</f>
        <v>46212.916666666664</v>
      </c>
    </row>
    <row r="132" spans="1:3" x14ac:dyDescent="0.2">
      <c r="A132" s="716">
        <v>46213.625</v>
      </c>
      <c r="C132" s="716">
        <f ca="1">A132+INDEX($V$3:$V$86,MATCH($C$3,$P$3:$P$86,0))*INDEX($W$3:$W$86,MATCH($C$3,$P$3:$P$86,0))</f>
        <v>46213.875</v>
      </c>
    </row>
    <row r="133" spans="1:3" x14ac:dyDescent="0.2">
      <c r="A133" s="716">
        <v>46214.708333333336</v>
      </c>
      <c r="C133" s="716">
        <f ca="1">A133+INDEX($V$3:$V$86,MATCH($C$3,$P$3:$P$86,0))*INDEX($W$3:$W$86,MATCH($C$3,$P$3:$P$86,0))</f>
        <v>46214.958333333336</v>
      </c>
    </row>
    <row r="134" spans="1:3" x14ac:dyDescent="0.2">
      <c r="A134" s="716">
        <v>46214.875</v>
      </c>
      <c r="C134" s="716">
        <f ca="1">A134+INDEX($V$3:$V$86,MATCH($C$3,$P$3:$P$86,0))*INDEX($W$3:$W$86,MATCH($C$3,$P$3:$P$86,0))</f>
        <v>46215.125</v>
      </c>
    </row>
    <row r="135" spans="1:3" x14ac:dyDescent="0.2">
      <c r="C135" s="716"/>
    </row>
    <row r="137" spans="1:3" x14ac:dyDescent="0.2">
      <c r="A137" s="726" t="s">
        <v>41</v>
      </c>
      <c r="C137" s="716"/>
    </row>
    <row r="138" spans="1:3" x14ac:dyDescent="0.2">
      <c r="A138" s="716">
        <v>46217.625</v>
      </c>
      <c r="C138" s="716">
        <f ca="1">A138+INDEX($V$3:$V$86,MATCH($C$3,$P$3:$P$86,0))*INDEX($W$3:$W$86,MATCH($C$3,$P$3:$P$86,0))</f>
        <v>46217.875</v>
      </c>
    </row>
    <row r="139" spans="1:3" x14ac:dyDescent="0.2">
      <c r="A139" s="716">
        <v>46218.625</v>
      </c>
      <c r="C139" s="716">
        <f ca="1">A139+INDEX($V$3:$V$86,MATCH($C$3,$P$3:$P$86,0))*INDEX($W$3:$W$86,MATCH($C$3,$P$3:$P$86,0))</f>
        <v>46218.875</v>
      </c>
    </row>
    <row r="140" spans="1:3" x14ac:dyDescent="0.2">
      <c r="C140" s="716"/>
    </row>
    <row r="142" spans="1:3" x14ac:dyDescent="0.2">
      <c r="A142" s="727" t="s">
        <v>493</v>
      </c>
    </row>
    <row r="143" spans="1:3" x14ac:dyDescent="0.2">
      <c r="A143" s="716">
        <v>46221.708333333336</v>
      </c>
      <c r="C143" s="716">
        <f ca="1">A143+INDEX($V$3:$V$86,MATCH($C$3,$P$3:$P$86,0))*INDEX($W$3:$W$86,MATCH($C$3,$P$3:$P$86,0))</f>
        <v>46221.958333333336</v>
      </c>
    </row>
    <row r="146" spans="1:3" x14ac:dyDescent="0.2">
      <c r="A146" s="728" t="s">
        <v>4</v>
      </c>
      <c r="C146" s="716"/>
    </row>
    <row r="147" spans="1:3" x14ac:dyDescent="0.2">
      <c r="A147" s="716">
        <v>46222.625</v>
      </c>
      <c r="C147" s="716">
        <f ca="1">A147+INDEX($V$3:$V$86,MATCH($C$3,$P$3:$P$86,0))*INDEX($W$3:$W$86,MATCH($C$3,$P$3:$P$86,0))</f>
        <v>46222.875</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RowHeight="15" x14ac:dyDescent="0.2"/>
  <cols>
    <col min="1" max="1" width="9.5" style="9" bestFit="1" customWidth="1"/>
    <col min="2" max="2" width="6" style="9" bestFit="1" customWidth="1"/>
    <col min="3" max="13" width="10.83203125" style="9"/>
    <col min="14" max="14" width="9.5" style="9" bestFit="1" customWidth="1"/>
    <col min="15" max="15" width="6.5" style="9" bestFit="1" customWidth="1"/>
    <col min="16" max="16384" width="10.83203125" style="9"/>
  </cols>
  <sheetData>
    <row r="1" spans="1:23" x14ac:dyDescent="0.2">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x14ac:dyDescent="0.2">
      <c r="A2" s="9" t="s">
        <v>479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N2" s="9" t="s">
        <v>479</v>
      </c>
      <c r="O2" s="9">
        <v>1</v>
      </c>
      <c r="P2" s="9" t="s">
        <v>93</v>
      </c>
      <c r="Q2" s="9" t="s">
        <v>441</v>
      </c>
      <c r="R2" s="9" t="s">
        <v>440</v>
      </c>
      <c r="S2" s="9" t="s">
        <v>94</v>
      </c>
      <c r="T2" s="9" t="s">
        <v>436</v>
      </c>
      <c r="U2" s="9" t="s">
        <v>435</v>
      </c>
      <c r="V2" s="9" t="s">
        <v>443</v>
      </c>
      <c r="W2" s="9" t="s">
        <v>442</v>
      </c>
    </row>
    <row r="3" spans="1:23" x14ac:dyDescent="0.2">
      <c r="A3" s="9" t="s">
        <v>611</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9" t="s">
        <v>611</v>
      </c>
      <c r="O3" s="9">
        <v>2</v>
      </c>
      <c r="P3" s="9" t="s">
        <v>436</v>
      </c>
      <c r="Q3" s="9" t="s">
        <v>435</v>
      </c>
      <c r="R3" s="9" t="s">
        <v>440</v>
      </c>
      <c r="S3" s="9" t="s">
        <v>92</v>
      </c>
      <c r="T3" s="9" t="s">
        <v>441</v>
      </c>
      <c r="U3" s="9" t="s">
        <v>94</v>
      </c>
      <c r="V3" s="9" t="s">
        <v>443</v>
      </c>
      <c r="W3" s="9" t="s">
        <v>442</v>
      </c>
    </row>
    <row r="4" spans="1:23" x14ac:dyDescent="0.2">
      <c r="A4" s="9" t="s">
        <v>1190</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9" t="s">
        <v>1190</v>
      </c>
      <c r="O4" s="9">
        <v>3</v>
      </c>
      <c r="P4" s="9" t="s">
        <v>93</v>
      </c>
      <c r="Q4" s="9" t="s">
        <v>441</v>
      </c>
      <c r="R4" s="9" t="s">
        <v>440</v>
      </c>
      <c r="S4" s="9" t="s">
        <v>92</v>
      </c>
      <c r="T4" s="9" t="s">
        <v>436</v>
      </c>
      <c r="U4" s="9" t="s">
        <v>435</v>
      </c>
      <c r="V4" s="9" t="s">
        <v>443</v>
      </c>
      <c r="W4" s="9" t="s">
        <v>442</v>
      </c>
    </row>
    <row r="5" spans="1:23" x14ac:dyDescent="0.2">
      <c r="A5" s="9" t="s">
        <v>1189</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9" t="s">
        <v>1189</v>
      </c>
      <c r="O5" s="9">
        <v>4</v>
      </c>
      <c r="P5" s="9" t="s">
        <v>93</v>
      </c>
      <c r="Q5" s="9" t="s">
        <v>441</v>
      </c>
      <c r="R5" s="9" t="s">
        <v>440</v>
      </c>
      <c r="S5" s="9" t="s">
        <v>92</v>
      </c>
      <c r="T5" s="9" t="s">
        <v>436</v>
      </c>
      <c r="U5" s="9" t="s">
        <v>94</v>
      </c>
      <c r="V5" s="9" t="s">
        <v>443</v>
      </c>
      <c r="W5" s="9" t="s">
        <v>442</v>
      </c>
    </row>
    <row r="6" spans="1:23" x14ac:dyDescent="0.2">
      <c r="A6" s="9" t="s">
        <v>1188</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9" t="s">
        <v>1188</v>
      </c>
      <c r="O6" s="9">
        <v>5</v>
      </c>
      <c r="P6" s="9" t="s">
        <v>93</v>
      </c>
      <c r="Q6" s="9" t="s">
        <v>435</v>
      </c>
      <c r="R6" s="9" t="s">
        <v>440</v>
      </c>
      <c r="S6" s="9" t="s">
        <v>92</v>
      </c>
      <c r="T6" s="9" t="s">
        <v>441</v>
      </c>
      <c r="U6" s="9" t="s">
        <v>94</v>
      </c>
      <c r="V6" s="9" t="s">
        <v>443</v>
      </c>
      <c r="W6" s="9" t="s">
        <v>442</v>
      </c>
    </row>
    <row r="7" spans="1:23" x14ac:dyDescent="0.2">
      <c r="A7" s="9" t="s">
        <v>1187</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9" t="s">
        <v>1187</v>
      </c>
      <c r="O7" s="9">
        <v>6</v>
      </c>
      <c r="P7" s="9" t="s">
        <v>93</v>
      </c>
      <c r="Q7" s="9" t="s">
        <v>435</v>
      </c>
      <c r="R7" s="9" t="s">
        <v>441</v>
      </c>
      <c r="S7" s="9" t="s">
        <v>92</v>
      </c>
      <c r="T7" s="9" t="s">
        <v>436</v>
      </c>
      <c r="U7" s="9" t="s">
        <v>94</v>
      </c>
      <c r="V7" s="9" t="s">
        <v>443</v>
      </c>
      <c r="W7" s="9" t="s">
        <v>442</v>
      </c>
    </row>
    <row r="8" spans="1:23" x14ac:dyDescent="0.2">
      <c r="A8" s="9" t="s">
        <v>478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9" t="s">
        <v>478</v>
      </c>
      <c r="O8" s="9">
        <v>7</v>
      </c>
      <c r="P8" s="9" t="s">
        <v>93</v>
      </c>
      <c r="Q8" s="9" t="s">
        <v>435</v>
      </c>
      <c r="R8" s="9" t="s">
        <v>440</v>
      </c>
      <c r="S8" s="9" t="s">
        <v>92</v>
      </c>
      <c r="T8" s="9" t="s">
        <v>436</v>
      </c>
      <c r="U8" s="9" t="s">
        <v>94</v>
      </c>
      <c r="V8" s="9" t="s">
        <v>443</v>
      </c>
      <c r="W8" s="9" t="s">
        <v>442</v>
      </c>
    </row>
    <row r="9" spans="1:23" x14ac:dyDescent="0.2">
      <c r="A9" s="9" t="s">
        <v>477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x14ac:dyDescent="0.2">
      <c r="A10" s="9" t="s">
        <v>476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9" t="s">
        <v>476</v>
      </c>
      <c r="O10" s="9">
        <v>9</v>
      </c>
      <c r="P10" s="9" t="s">
        <v>93</v>
      </c>
      <c r="Q10" s="9" t="s">
        <v>435</v>
      </c>
      <c r="R10" s="9" t="s">
        <v>441</v>
      </c>
      <c r="S10" s="9" t="s">
        <v>92</v>
      </c>
      <c r="T10" s="9" t="s">
        <v>436</v>
      </c>
      <c r="U10" s="9" t="s">
        <v>94</v>
      </c>
      <c r="V10" s="9" t="s">
        <v>440</v>
      </c>
      <c r="W10" s="9" t="s">
        <v>442</v>
      </c>
    </row>
    <row r="11" spans="1:23" x14ac:dyDescent="0.2">
      <c r="A11" s="9" t="s">
        <v>610</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9" t="s">
        <v>610</v>
      </c>
      <c r="O11" s="9">
        <v>10</v>
      </c>
      <c r="P11" s="9" t="s">
        <v>436</v>
      </c>
      <c r="Q11" s="9" t="s">
        <v>435</v>
      </c>
      <c r="R11" s="9" t="s">
        <v>440</v>
      </c>
      <c r="S11" s="9" t="s">
        <v>91</v>
      </c>
      <c r="T11" s="9" t="s">
        <v>441</v>
      </c>
      <c r="U11" s="9" t="s">
        <v>94</v>
      </c>
      <c r="V11" s="9" t="s">
        <v>443</v>
      </c>
      <c r="W11" s="9" t="s">
        <v>442</v>
      </c>
    </row>
    <row r="12" spans="1:23" x14ac:dyDescent="0.2">
      <c r="A12" s="9" t="s">
        <v>1186</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9" t="s">
        <v>1186</v>
      </c>
      <c r="O12" s="9">
        <v>11</v>
      </c>
      <c r="P12" s="9" t="s">
        <v>93</v>
      </c>
      <c r="Q12" s="9" t="s">
        <v>441</v>
      </c>
      <c r="R12" s="9" t="s">
        <v>440</v>
      </c>
      <c r="S12" s="9" t="s">
        <v>91</v>
      </c>
      <c r="T12" s="9" t="s">
        <v>436</v>
      </c>
      <c r="U12" s="9" t="s">
        <v>435</v>
      </c>
      <c r="V12" s="9" t="s">
        <v>443</v>
      </c>
      <c r="W12" s="9" t="s">
        <v>442</v>
      </c>
    </row>
    <row r="13" spans="1:23" x14ac:dyDescent="0.2">
      <c r="A13" s="9" t="s">
        <v>1185</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9" t="s">
        <v>1185</v>
      </c>
      <c r="O13" s="9">
        <v>12</v>
      </c>
      <c r="P13" s="9" t="s">
        <v>93</v>
      </c>
      <c r="Q13" s="9" t="s">
        <v>441</v>
      </c>
      <c r="R13" s="9" t="s">
        <v>440</v>
      </c>
      <c r="S13" s="9" t="s">
        <v>91</v>
      </c>
      <c r="T13" s="9" t="s">
        <v>436</v>
      </c>
      <c r="U13" s="9" t="s">
        <v>94</v>
      </c>
      <c r="V13" s="9" t="s">
        <v>443</v>
      </c>
      <c r="W13" s="9" t="s">
        <v>442</v>
      </c>
    </row>
    <row r="14" spans="1:23" x14ac:dyDescent="0.2">
      <c r="A14" s="9" t="s">
        <v>1184</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9" t="s">
        <v>1184</v>
      </c>
      <c r="O14" s="9">
        <v>13</v>
      </c>
      <c r="P14" s="9" t="s">
        <v>93</v>
      </c>
      <c r="Q14" s="9" t="s">
        <v>435</v>
      </c>
      <c r="R14" s="9" t="s">
        <v>440</v>
      </c>
      <c r="S14" s="9" t="s">
        <v>91</v>
      </c>
      <c r="T14" s="9" t="s">
        <v>441</v>
      </c>
      <c r="U14" s="9" t="s">
        <v>94</v>
      </c>
      <c r="V14" s="9" t="s">
        <v>443</v>
      </c>
      <c r="W14" s="9" t="s">
        <v>442</v>
      </c>
    </row>
    <row r="15" spans="1:23" x14ac:dyDescent="0.2">
      <c r="A15" s="9" t="s">
        <v>1183</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9" t="s">
        <v>1183</v>
      </c>
      <c r="O15" s="9">
        <v>14</v>
      </c>
      <c r="P15" s="9" t="s">
        <v>93</v>
      </c>
      <c r="Q15" s="9" t="s">
        <v>435</v>
      </c>
      <c r="R15" s="9" t="s">
        <v>441</v>
      </c>
      <c r="S15" s="9" t="s">
        <v>91</v>
      </c>
      <c r="T15" s="9" t="s">
        <v>436</v>
      </c>
      <c r="U15" s="9" t="s">
        <v>94</v>
      </c>
      <c r="V15" s="9" t="s">
        <v>443</v>
      </c>
      <c r="W15" s="9" t="s">
        <v>442</v>
      </c>
    </row>
    <row r="16" spans="1:23" x14ac:dyDescent="0.2">
      <c r="A16" s="9" t="s">
        <v>609</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9" t="s">
        <v>609</v>
      </c>
      <c r="O16" s="9">
        <v>15</v>
      </c>
      <c r="P16" s="9" t="s">
        <v>93</v>
      </c>
      <c r="Q16" s="9" t="s">
        <v>435</v>
      </c>
      <c r="R16" s="9" t="s">
        <v>440</v>
      </c>
      <c r="S16" s="9" t="s">
        <v>91</v>
      </c>
      <c r="T16" s="9" t="s">
        <v>436</v>
      </c>
      <c r="U16" s="9" t="s">
        <v>94</v>
      </c>
      <c r="V16" s="9" t="s">
        <v>443</v>
      </c>
      <c r="W16" s="9" t="s">
        <v>442</v>
      </c>
    </row>
    <row r="17" spans="1:23" x14ac:dyDescent="0.2">
      <c r="A17" s="9" t="s">
        <v>608</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x14ac:dyDescent="0.2">
      <c r="A18" s="9" t="s">
        <v>607</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9" t="s">
        <v>607</v>
      </c>
      <c r="O18" s="9">
        <v>17</v>
      </c>
      <c r="P18" s="9" t="s">
        <v>93</v>
      </c>
      <c r="Q18" s="9" t="s">
        <v>435</v>
      </c>
      <c r="R18" s="9" t="s">
        <v>441</v>
      </c>
      <c r="S18" s="9" t="s">
        <v>91</v>
      </c>
      <c r="T18" s="9" t="s">
        <v>436</v>
      </c>
      <c r="U18" s="9" t="s">
        <v>94</v>
      </c>
      <c r="V18" s="9" t="s">
        <v>440</v>
      </c>
      <c r="W18" s="9" t="s">
        <v>442</v>
      </c>
    </row>
    <row r="19" spans="1:23" x14ac:dyDescent="0.2">
      <c r="A19" s="9" t="s">
        <v>1182</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9" t="s">
        <v>1182</v>
      </c>
      <c r="O19" s="9">
        <v>18</v>
      </c>
      <c r="P19" s="9" t="s">
        <v>436</v>
      </c>
      <c r="Q19" s="9" t="s">
        <v>435</v>
      </c>
      <c r="R19" s="9" t="s">
        <v>440</v>
      </c>
      <c r="S19" s="9" t="s">
        <v>91</v>
      </c>
      <c r="T19" s="9" t="s">
        <v>441</v>
      </c>
      <c r="U19" s="9" t="s">
        <v>92</v>
      </c>
      <c r="V19" s="9" t="s">
        <v>443</v>
      </c>
      <c r="W19" s="9" t="s">
        <v>442</v>
      </c>
    </row>
    <row r="20" spans="1:23" x14ac:dyDescent="0.2">
      <c r="A20" s="9" t="s">
        <v>1181</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9" t="s">
        <v>1181</v>
      </c>
      <c r="O20" s="9">
        <v>19</v>
      </c>
      <c r="P20" s="9" t="s">
        <v>91</v>
      </c>
      <c r="Q20" s="9" t="s">
        <v>441</v>
      </c>
      <c r="R20" s="9" t="s">
        <v>440</v>
      </c>
      <c r="S20" s="9" t="s">
        <v>92</v>
      </c>
      <c r="T20" s="9" t="s">
        <v>436</v>
      </c>
      <c r="U20" s="9" t="s">
        <v>94</v>
      </c>
      <c r="V20" s="9" t="s">
        <v>443</v>
      </c>
      <c r="W20" s="9" t="s">
        <v>442</v>
      </c>
    </row>
    <row r="21" spans="1:23" x14ac:dyDescent="0.2">
      <c r="A21" s="9" t="s">
        <v>1180</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9" t="s">
        <v>1180</v>
      </c>
      <c r="O21" s="9">
        <v>20</v>
      </c>
      <c r="P21" s="9" t="s">
        <v>91</v>
      </c>
      <c r="Q21" s="9" t="s">
        <v>435</v>
      </c>
      <c r="R21" s="9" t="s">
        <v>440</v>
      </c>
      <c r="S21" s="9" t="s">
        <v>92</v>
      </c>
      <c r="T21" s="9" t="s">
        <v>441</v>
      </c>
      <c r="U21" s="9" t="s">
        <v>94</v>
      </c>
      <c r="V21" s="9" t="s">
        <v>443</v>
      </c>
      <c r="W21" s="9" t="s">
        <v>442</v>
      </c>
    </row>
    <row r="22" spans="1:23" x14ac:dyDescent="0.2">
      <c r="A22" s="9" t="s">
        <v>1179</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9" t="s">
        <v>1179</v>
      </c>
      <c r="O22" s="9">
        <v>21</v>
      </c>
      <c r="P22" s="9" t="s">
        <v>91</v>
      </c>
      <c r="Q22" s="9" t="s">
        <v>435</v>
      </c>
      <c r="R22" s="9" t="s">
        <v>441</v>
      </c>
      <c r="S22" s="9" t="s">
        <v>92</v>
      </c>
      <c r="T22" s="9" t="s">
        <v>436</v>
      </c>
      <c r="U22" s="9" t="s">
        <v>94</v>
      </c>
      <c r="V22" s="9" t="s">
        <v>443</v>
      </c>
      <c r="W22" s="9" t="s">
        <v>442</v>
      </c>
    </row>
    <row r="23" spans="1:23" x14ac:dyDescent="0.2">
      <c r="A23" s="9" t="s">
        <v>1178</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9" t="s">
        <v>1178</v>
      </c>
      <c r="O23" s="9">
        <v>22</v>
      </c>
      <c r="P23" s="9" t="s">
        <v>91</v>
      </c>
      <c r="Q23" s="9" t="s">
        <v>435</v>
      </c>
      <c r="R23" s="9" t="s">
        <v>440</v>
      </c>
      <c r="S23" s="9" t="s">
        <v>92</v>
      </c>
      <c r="T23" s="9" t="s">
        <v>436</v>
      </c>
      <c r="U23" s="9" t="s">
        <v>94</v>
      </c>
      <c r="V23" s="9" t="s">
        <v>443</v>
      </c>
      <c r="W23" s="9" t="s">
        <v>442</v>
      </c>
    </row>
    <row r="24" spans="1:23" x14ac:dyDescent="0.2">
      <c r="A24" s="9" t="s">
        <v>1177</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x14ac:dyDescent="0.2">
      <c r="A25" s="9" t="s">
        <v>1176</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9" t="s">
        <v>1176</v>
      </c>
      <c r="O25" s="9">
        <v>24</v>
      </c>
      <c r="P25" s="9" t="s">
        <v>91</v>
      </c>
      <c r="Q25" s="9" t="s">
        <v>435</v>
      </c>
      <c r="R25" s="9" t="s">
        <v>441</v>
      </c>
      <c r="S25" s="9" t="s">
        <v>92</v>
      </c>
      <c r="T25" s="9" t="s">
        <v>436</v>
      </c>
      <c r="U25" s="9" t="s">
        <v>94</v>
      </c>
      <c r="V25" s="9" t="s">
        <v>440</v>
      </c>
      <c r="W25" s="9" t="s">
        <v>442</v>
      </c>
    </row>
    <row r="26" spans="1:23" x14ac:dyDescent="0.2">
      <c r="A26" s="9" t="s">
        <v>1175</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9" t="s">
        <v>1175</v>
      </c>
      <c r="O26" s="9">
        <v>25</v>
      </c>
      <c r="P26" s="9" t="s">
        <v>93</v>
      </c>
      <c r="Q26" s="9" t="s">
        <v>441</v>
      </c>
      <c r="R26" s="9" t="s">
        <v>440</v>
      </c>
      <c r="S26" s="9" t="s">
        <v>91</v>
      </c>
      <c r="T26" s="9" t="s">
        <v>436</v>
      </c>
      <c r="U26" s="9" t="s">
        <v>92</v>
      </c>
      <c r="V26" s="9" t="s">
        <v>443</v>
      </c>
      <c r="W26" s="9" t="s">
        <v>442</v>
      </c>
    </row>
    <row r="27" spans="1:23" x14ac:dyDescent="0.2">
      <c r="A27" s="9" t="s">
        <v>1174</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9" t="s">
        <v>1174</v>
      </c>
      <c r="O27" s="9">
        <v>26</v>
      </c>
      <c r="P27" s="9" t="s">
        <v>93</v>
      </c>
      <c r="Q27" s="9" t="s">
        <v>435</v>
      </c>
      <c r="R27" s="9" t="s">
        <v>440</v>
      </c>
      <c r="S27" s="9" t="s">
        <v>91</v>
      </c>
      <c r="T27" s="9" t="s">
        <v>441</v>
      </c>
      <c r="U27" s="9" t="s">
        <v>92</v>
      </c>
      <c r="V27" s="9" t="s">
        <v>443</v>
      </c>
      <c r="W27" s="9" t="s">
        <v>442</v>
      </c>
    </row>
    <row r="28" spans="1:23" x14ac:dyDescent="0.2">
      <c r="A28" s="9" t="s">
        <v>1173</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9" t="s">
        <v>1173</v>
      </c>
      <c r="O28" s="9">
        <v>27</v>
      </c>
      <c r="P28" s="9" t="s">
        <v>93</v>
      </c>
      <c r="Q28" s="9" t="s">
        <v>435</v>
      </c>
      <c r="R28" s="9" t="s">
        <v>441</v>
      </c>
      <c r="S28" s="9" t="s">
        <v>91</v>
      </c>
      <c r="T28" s="9" t="s">
        <v>436</v>
      </c>
      <c r="U28" s="9" t="s">
        <v>92</v>
      </c>
      <c r="V28" s="9" t="s">
        <v>443</v>
      </c>
      <c r="W28" s="9" t="s">
        <v>442</v>
      </c>
    </row>
    <row r="29" spans="1:23" x14ac:dyDescent="0.2">
      <c r="A29" s="9" t="s">
        <v>1172</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9" t="s">
        <v>1172</v>
      </c>
      <c r="O29" s="9">
        <v>28</v>
      </c>
      <c r="P29" s="9" t="s">
        <v>93</v>
      </c>
      <c r="Q29" s="9" t="s">
        <v>435</v>
      </c>
      <c r="R29" s="9" t="s">
        <v>440</v>
      </c>
      <c r="S29" s="9" t="s">
        <v>91</v>
      </c>
      <c r="T29" s="9" t="s">
        <v>436</v>
      </c>
      <c r="U29" s="9" t="s">
        <v>92</v>
      </c>
      <c r="V29" s="9" t="s">
        <v>443</v>
      </c>
      <c r="W29" s="9" t="s">
        <v>442</v>
      </c>
    </row>
    <row r="30" spans="1:23" x14ac:dyDescent="0.2">
      <c r="A30" s="9" t="s">
        <v>1171</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x14ac:dyDescent="0.2">
      <c r="A31" s="9" t="s">
        <v>1170</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9" t="s">
        <v>1170</v>
      </c>
      <c r="O31" s="9">
        <v>30</v>
      </c>
      <c r="P31" s="9" t="s">
        <v>93</v>
      </c>
      <c r="Q31" s="9" t="s">
        <v>435</v>
      </c>
      <c r="R31" s="9" t="s">
        <v>441</v>
      </c>
      <c r="S31" s="9" t="s">
        <v>91</v>
      </c>
      <c r="T31" s="9" t="s">
        <v>436</v>
      </c>
      <c r="U31" s="9" t="s">
        <v>92</v>
      </c>
      <c r="V31" s="9" t="s">
        <v>440</v>
      </c>
      <c r="W31" s="9" t="s">
        <v>442</v>
      </c>
    </row>
    <row r="32" spans="1:23" x14ac:dyDescent="0.2">
      <c r="A32" s="9" t="s">
        <v>1169</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9" t="s">
        <v>1169</v>
      </c>
      <c r="O32" s="9">
        <v>31</v>
      </c>
      <c r="P32" s="9" t="s">
        <v>91</v>
      </c>
      <c r="Q32" s="9" t="s">
        <v>441</v>
      </c>
      <c r="R32" s="9" t="s">
        <v>93</v>
      </c>
      <c r="S32" s="9" t="s">
        <v>92</v>
      </c>
      <c r="T32" s="9" t="s">
        <v>440</v>
      </c>
      <c r="U32" s="9" t="s">
        <v>94</v>
      </c>
      <c r="V32" s="9" t="s">
        <v>443</v>
      </c>
      <c r="W32" s="9" t="s">
        <v>442</v>
      </c>
    </row>
    <row r="33" spans="1:23" x14ac:dyDescent="0.2">
      <c r="A33" s="9" t="s">
        <v>1168</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9" t="s">
        <v>1168</v>
      </c>
      <c r="O33" s="9">
        <v>32</v>
      </c>
      <c r="P33" s="9" t="s">
        <v>91</v>
      </c>
      <c r="Q33" s="9" t="s">
        <v>441</v>
      </c>
      <c r="R33" s="9" t="s">
        <v>93</v>
      </c>
      <c r="S33" s="9" t="s">
        <v>92</v>
      </c>
      <c r="T33" s="9" t="s">
        <v>436</v>
      </c>
      <c r="U33" s="9" t="s">
        <v>94</v>
      </c>
      <c r="V33" s="9" t="s">
        <v>443</v>
      </c>
      <c r="W33" s="9" t="s">
        <v>442</v>
      </c>
    </row>
    <row r="34" spans="1:23" x14ac:dyDescent="0.2">
      <c r="A34" s="9" t="s">
        <v>1167</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9" t="s">
        <v>1167</v>
      </c>
      <c r="O34" s="9">
        <v>33</v>
      </c>
      <c r="P34" s="9" t="s">
        <v>91</v>
      </c>
      <c r="Q34" s="9" t="s">
        <v>93</v>
      </c>
      <c r="R34" s="9" t="s">
        <v>440</v>
      </c>
      <c r="S34" s="9" t="s">
        <v>92</v>
      </c>
      <c r="T34" s="9" t="s">
        <v>436</v>
      </c>
      <c r="U34" s="9" t="s">
        <v>94</v>
      </c>
      <c r="V34" s="9" t="s">
        <v>443</v>
      </c>
      <c r="W34" s="9" t="s">
        <v>442</v>
      </c>
    </row>
    <row r="35" spans="1:23" x14ac:dyDescent="0.2">
      <c r="A35" s="9" t="s">
        <v>1166</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x14ac:dyDescent="0.2">
      <c r="A36" s="9" t="s">
        <v>1165</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9" t="s">
        <v>1165</v>
      </c>
      <c r="O36" s="9">
        <v>35</v>
      </c>
      <c r="P36" s="9" t="s">
        <v>91</v>
      </c>
      <c r="Q36" s="9" t="s">
        <v>441</v>
      </c>
      <c r="R36" s="9" t="s">
        <v>93</v>
      </c>
      <c r="S36" s="9" t="s">
        <v>92</v>
      </c>
      <c r="T36" s="9" t="s">
        <v>436</v>
      </c>
      <c r="U36" s="9" t="s">
        <v>94</v>
      </c>
      <c r="V36" s="9" t="s">
        <v>440</v>
      </c>
      <c r="W36" s="9" t="s">
        <v>442</v>
      </c>
    </row>
    <row r="37" spans="1:23" x14ac:dyDescent="0.2">
      <c r="A37" s="9" t="s">
        <v>1164</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9" t="s">
        <v>1164</v>
      </c>
      <c r="O37" s="9">
        <v>36</v>
      </c>
      <c r="P37" s="9" t="s">
        <v>91</v>
      </c>
      <c r="Q37" s="9" t="s">
        <v>435</v>
      </c>
      <c r="R37" s="9" t="s">
        <v>93</v>
      </c>
      <c r="S37" s="9" t="s">
        <v>92</v>
      </c>
      <c r="T37" s="9" t="s">
        <v>441</v>
      </c>
      <c r="U37" s="9" t="s">
        <v>94</v>
      </c>
      <c r="V37" s="9" t="s">
        <v>443</v>
      </c>
      <c r="W37" s="9" t="s">
        <v>442</v>
      </c>
    </row>
    <row r="38" spans="1:23" x14ac:dyDescent="0.2">
      <c r="A38" s="9" t="s">
        <v>1163</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9" t="s">
        <v>1163</v>
      </c>
      <c r="O38" s="9">
        <v>37</v>
      </c>
      <c r="P38" s="9" t="s">
        <v>91</v>
      </c>
      <c r="Q38" s="9" t="s">
        <v>435</v>
      </c>
      <c r="R38" s="9" t="s">
        <v>93</v>
      </c>
      <c r="S38" s="9" t="s">
        <v>92</v>
      </c>
      <c r="T38" s="9" t="s">
        <v>440</v>
      </c>
      <c r="U38" s="9" t="s">
        <v>94</v>
      </c>
      <c r="V38" s="9" t="s">
        <v>443</v>
      </c>
      <c r="W38" s="9" t="s">
        <v>442</v>
      </c>
    </row>
    <row r="39" spans="1:23" x14ac:dyDescent="0.2">
      <c r="A39" s="9" t="s">
        <v>1162</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x14ac:dyDescent="0.2">
      <c r="A40" s="9" t="s">
        <v>1161</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9" t="s">
        <v>1161</v>
      </c>
      <c r="O40" s="9">
        <v>39</v>
      </c>
      <c r="P40" s="9" t="s">
        <v>91</v>
      </c>
      <c r="Q40" s="9" t="s">
        <v>435</v>
      </c>
      <c r="R40" s="9" t="s">
        <v>93</v>
      </c>
      <c r="S40" s="9" t="s">
        <v>92</v>
      </c>
      <c r="T40" s="9" t="s">
        <v>441</v>
      </c>
      <c r="U40" s="9" t="s">
        <v>94</v>
      </c>
      <c r="V40" s="9" t="s">
        <v>440</v>
      </c>
      <c r="W40" s="9" t="s">
        <v>442</v>
      </c>
    </row>
    <row r="41" spans="1:23" x14ac:dyDescent="0.2">
      <c r="A41" s="9" t="s">
        <v>474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9" t="s">
        <v>474</v>
      </c>
      <c r="O41" s="9">
        <v>40</v>
      </c>
      <c r="P41" s="9" t="s">
        <v>91</v>
      </c>
      <c r="Q41" s="9" t="s">
        <v>435</v>
      </c>
      <c r="R41" s="9" t="s">
        <v>93</v>
      </c>
      <c r="S41" s="9" t="s">
        <v>92</v>
      </c>
      <c r="T41" s="9" t="s">
        <v>436</v>
      </c>
      <c r="U41" s="9" t="s">
        <v>94</v>
      </c>
      <c r="V41" s="9" t="s">
        <v>443</v>
      </c>
      <c r="W41" s="9" t="s">
        <v>442</v>
      </c>
    </row>
    <row r="42" spans="1:23" x14ac:dyDescent="0.2">
      <c r="A42" s="9" t="s">
        <v>473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9" t="s">
        <v>473</v>
      </c>
      <c r="O42" s="9">
        <v>41</v>
      </c>
      <c r="P42" s="9" t="s">
        <v>91</v>
      </c>
      <c r="Q42" s="9" t="s">
        <v>435</v>
      </c>
      <c r="R42" s="9" t="s">
        <v>441</v>
      </c>
      <c r="S42" s="9" t="s">
        <v>92</v>
      </c>
      <c r="T42" s="9" t="s">
        <v>436</v>
      </c>
      <c r="U42" s="9" t="s">
        <v>94</v>
      </c>
      <c r="V42" s="9" t="s">
        <v>443</v>
      </c>
      <c r="W42" s="9" t="s">
        <v>93</v>
      </c>
    </row>
    <row r="43" spans="1:23" x14ac:dyDescent="0.2">
      <c r="A43" s="9" t="s">
        <v>472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9" t="s">
        <v>472</v>
      </c>
      <c r="O43" s="9">
        <v>42</v>
      </c>
      <c r="P43" s="9" t="s">
        <v>91</v>
      </c>
      <c r="Q43" s="9" t="s">
        <v>435</v>
      </c>
      <c r="R43" s="9" t="s">
        <v>441</v>
      </c>
      <c r="S43" s="9" t="s">
        <v>92</v>
      </c>
      <c r="T43" s="9" t="s">
        <v>436</v>
      </c>
      <c r="U43" s="9" t="s">
        <v>94</v>
      </c>
      <c r="V43" s="9" t="s">
        <v>93</v>
      </c>
      <c r="W43" s="9" t="s">
        <v>442</v>
      </c>
    </row>
    <row r="44" spans="1:23" x14ac:dyDescent="0.2">
      <c r="A44" s="9" t="s">
        <v>471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x14ac:dyDescent="0.2">
      <c r="A45" s="9" t="s">
        <v>470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9" t="s">
        <v>470</v>
      </c>
      <c r="O45" s="9">
        <v>44</v>
      </c>
      <c r="P45" s="9" t="s">
        <v>91</v>
      </c>
      <c r="Q45" s="9" t="s">
        <v>435</v>
      </c>
      <c r="R45" s="9" t="s">
        <v>93</v>
      </c>
      <c r="S45" s="9" t="s">
        <v>92</v>
      </c>
      <c r="T45" s="9" t="s">
        <v>436</v>
      </c>
      <c r="U45" s="9" t="s">
        <v>94</v>
      </c>
      <c r="V45" s="9" t="s">
        <v>440</v>
      </c>
      <c r="W45" s="9" t="s">
        <v>442</v>
      </c>
    </row>
    <row r="46" spans="1:23" x14ac:dyDescent="0.2">
      <c r="A46" s="9" t="s">
        <v>469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9" t="s">
        <v>469</v>
      </c>
      <c r="O46" s="9">
        <v>45</v>
      </c>
      <c r="P46" s="9" t="s">
        <v>91</v>
      </c>
      <c r="Q46" s="9" t="s">
        <v>435</v>
      </c>
      <c r="R46" s="9" t="s">
        <v>441</v>
      </c>
      <c r="S46" s="9" t="s">
        <v>92</v>
      </c>
      <c r="T46" s="9" t="s">
        <v>436</v>
      </c>
      <c r="U46" s="9" t="s">
        <v>94</v>
      </c>
      <c r="V46" s="9" t="s">
        <v>93</v>
      </c>
      <c r="W46" s="9" t="s">
        <v>440</v>
      </c>
    </row>
    <row r="47" spans="1:23" x14ac:dyDescent="0.2">
      <c r="A47" s="9" t="s">
        <v>606</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9" t="s">
        <v>606</v>
      </c>
      <c r="O47" s="9">
        <v>46</v>
      </c>
      <c r="P47" s="9" t="s">
        <v>436</v>
      </c>
      <c r="Q47" s="9" t="s">
        <v>441</v>
      </c>
      <c r="R47" s="9" t="s">
        <v>90</v>
      </c>
      <c r="S47" s="9" t="s">
        <v>94</v>
      </c>
      <c r="T47" s="9" t="s">
        <v>440</v>
      </c>
      <c r="U47" s="9" t="s">
        <v>435</v>
      </c>
      <c r="V47" s="9" t="s">
        <v>443</v>
      </c>
      <c r="W47" s="9" t="s">
        <v>442</v>
      </c>
    </row>
    <row r="48" spans="1:23" x14ac:dyDescent="0.2">
      <c r="A48" s="9" t="s">
        <v>1160</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9" t="s">
        <v>1160</v>
      </c>
      <c r="O48" s="9">
        <v>47</v>
      </c>
      <c r="P48" s="9" t="s">
        <v>93</v>
      </c>
      <c r="Q48" s="9" t="s">
        <v>441</v>
      </c>
      <c r="R48" s="9" t="s">
        <v>440</v>
      </c>
      <c r="S48" s="9" t="s">
        <v>90</v>
      </c>
      <c r="T48" s="9" t="s">
        <v>436</v>
      </c>
      <c r="U48" s="9" t="s">
        <v>435</v>
      </c>
      <c r="V48" s="9" t="s">
        <v>443</v>
      </c>
      <c r="W48" s="9" t="s">
        <v>442</v>
      </c>
    </row>
    <row r="49" spans="1:23" x14ac:dyDescent="0.2">
      <c r="A49" s="9" t="s">
        <v>1159</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9" t="s">
        <v>1159</v>
      </c>
      <c r="O49" s="9">
        <v>48</v>
      </c>
      <c r="P49" s="9" t="s">
        <v>93</v>
      </c>
      <c r="Q49" s="9" t="s">
        <v>441</v>
      </c>
      <c r="R49" s="9" t="s">
        <v>90</v>
      </c>
      <c r="S49" s="9" t="s">
        <v>94</v>
      </c>
      <c r="T49" s="9" t="s">
        <v>440</v>
      </c>
      <c r="U49" s="9" t="s">
        <v>436</v>
      </c>
      <c r="V49" s="9" t="s">
        <v>443</v>
      </c>
      <c r="W49" s="9" t="s">
        <v>442</v>
      </c>
    </row>
    <row r="50" spans="1:23" x14ac:dyDescent="0.2">
      <c r="A50" s="9" t="s">
        <v>1158</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9" t="s">
        <v>1158</v>
      </c>
      <c r="O50" s="9">
        <v>49</v>
      </c>
      <c r="P50" s="9" t="s">
        <v>93</v>
      </c>
      <c r="Q50" s="9" t="s">
        <v>441</v>
      </c>
      <c r="R50" s="9" t="s">
        <v>90</v>
      </c>
      <c r="S50" s="9" t="s">
        <v>94</v>
      </c>
      <c r="T50" s="9" t="s">
        <v>440</v>
      </c>
      <c r="U50" s="9" t="s">
        <v>435</v>
      </c>
      <c r="V50" s="9" t="s">
        <v>443</v>
      </c>
      <c r="W50" s="9" t="s">
        <v>442</v>
      </c>
    </row>
    <row r="51" spans="1:23" x14ac:dyDescent="0.2">
      <c r="A51" s="9" t="s">
        <v>1157</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9" t="s">
        <v>1157</v>
      </c>
      <c r="O51" s="9">
        <v>50</v>
      </c>
      <c r="P51" s="9" t="s">
        <v>93</v>
      </c>
      <c r="Q51" s="9" t="s">
        <v>441</v>
      </c>
      <c r="R51" s="9" t="s">
        <v>90</v>
      </c>
      <c r="S51" s="9" t="s">
        <v>94</v>
      </c>
      <c r="T51" s="9" t="s">
        <v>436</v>
      </c>
      <c r="U51" s="9" t="s">
        <v>435</v>
      </c>
      <c r="V51" s="9" t="s">
        <v>443</v>
      </c>
      <c r="W51" s="9" t="s">
        <v>442</v>
      </c>
    </row>
    <row r="52" spans="1:23" x14ac:dyDescent="0.2">
      <c r="A52" s="9" t="s">
        <v>605</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9" t="s">
        <v>605</v>
      </c>
      <c r="O52" s="9">
        <v>51</v>
      </c>
      <c r="P52" s="9" t="s">
        <v>93</v>
      </c>
      <c r="Q52" s="9" t="s">
        <v>435</v>
      </c>
      <c r="R52" s="9" t="s">
        <v>90</v>
      </c>
      <c r="S52" s="9" t="s">
        <v>94</v>
      </c>
      <c r="T52" s="9" t="s">
        <v>440</v>
      </c>
      <c r="U52" s="9" t="s">
        <v>436</v>
      </c>
      <c r="V52" s="9" t="s">
        <v>443</v>
      </c>
      <c r="W52" s="9" t="s">
        <v>442</v>
      </c>
    </row>
    <row r="53" spans="1:23" x14ac:dyDescent="0.2">
      <c r="A53" s="9" t="s">
        <v>604</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x14ac:dyDescent="0.2">
      <c r="A54" s="9" t="s">
        <v>603</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9" t="s">
        <v>603</v>
      </c>
      <c r="O54" s="9">
        <v>53</v>
      </c>
      <c r="P54" s="9" t="s">
        <v>93</v>
      </c>
      <c r="Q54" s="9" t="s">
        <v>441</v>
      </c>
      <c r="R54" s="9" t="s">
        <v>90</v>
      </c>
      <c r="S54" s="9" t="s">
        <v>94</v>
      </c>
      <c r="T54" s="9" t="s">
        <v>436</v>
      </c>
      <c r="U54" s="9" t="s">
        <v>435</v>
      </c>
      <c r="V54" s="9" t="s">
        <v>440</v>
      </c>
      <c r="W54" s="9" t="s">
        <v>442</v>
      </c>
    </row>
    <row r="55" spans="1:23" x14ac:dyDescent="0.2">
      <c r="A55" s="9" t="s">
        <v>1156</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9" t="s">
        <v>1156</v>
      </c>
      <c r="O55" s="9">
        <v>54</v>
      </c>
      <c r="P55" s="9" t="s">
        <v>436</v>
      </c>
      <c r="Q55" s="9" t="s">
        <v>441</v>
      </c>
      <c r="R55" s="9" t="s">
        <v>90</v>
      </c>
      <c r="S55" s="9" t="s">
        <v>92</v>
      </c>
      <c r="T55" s="9" t="s">
        <v>440</v>
      </c>
      <c r="U55" s="9" t="s">
        <v>435</v>
      </c>
      <c r="V55" s="9" t="s">
        <v>443</v>
      </c>
      <c r="W55" s="9" t="s">
        <v>442</v>
      </c>
    </row>
    <row r="56" spans="1:23" x14ac:dyDescent="0.2">
      <c r="A56" s="9" t="s">
        <v>1155</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9" t="s">
        <v>1155</v>
      </c>
      <c r="O56" s="9">
        <v>55</v>
      </c>
      <c r="P56" s="9" t="s">
        <v>436</v>
      </c>
      <c r="Q56" s="9" t="s">
        <v>441</v>
      </c>
      <c r="R56" s="9" t="s">
        <v>90</v>
      </c>
      <c r="S56" s="9" t="s">
        <v>92</v>
      </c>
      <c r="T56" s="9" t="s">
        <v>440</v>
      </c>
      <c r="U56" s="9" t="s">
        <v>94</v>
      </c>
      <c r="V56" s="9" t="s">
        <v>443</v>
      </c>
      <c r="W56" s="9" t="s">
        <v>442</v>
      </c>
    </row>
    <row r="57" spans="1:23" x14ac:dyDescent="0.2">
      <c r="A57" s="9" t="s">
        <v>1154</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9" t="s">
        <v>1154</v>
      </c>
      <c r="O57" s="9">
        <v>56</v>
      </c>
      <c r="P57" s="9" t="s">
        <v>440</v>
      </c>
      <c r="Q57" s="9" t="s">
        <v>435</v>
      </c>
      <c r="R57" s="9" t="s">
        <v>90</v>
      </c>
      <c r="S57" s="9" t="s">
        <v>92</v>
      </c>
      <c r="T57" s="9" t="s">
        <v>441</v>
      </c>
      <c r="U57" s="9" t="s">
        <v>94</v>
      </c>
      <c r="V57" s="9" t="s">
        <v>443</v>
      </c>
      <c r="W57" s="9" t="s">
        <v>442</v>
      </c>
    </row>
    <row r="58" spans="1:23" x14ac:dyDescent="0.2">
      <c r="A58" s="9" t="s">
        <v>1153</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9" t="s">
        <v>1153</v>
      </c>
      <c r="O58" s="9">
        <v>57</v>
      </c>
      <c r="P58" s="9" t="s">
        <v>436</v>
      </c>
      <c r="Q58" s="9" t="s">
        <v>435</v>
      </c>
      <c r="R58" s="9" t="s">
        <v>90</v>
      </c>
      <c r="S58" s="9" t="s">
        <v>92</v>
      </c>
      <c r="T58" s="9" t="s">
        <v>441</v>
      </c>
      <c r="U58" s="9" t="s">
        <v>94</v>
      </c>
      <c r="V58" s="9" t="s">
        <v>443</v>
      </c>
      <c r="W58" s="9" t="s">
        <v>442</v>
      </c>
    </row>
    <row r="59" spans="1:23" x14ac:dyDescent="0.2">
      <c r="A59" s="9" t="s">
        <v>1152</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9" t="s">
        <v>1152</v>
      </c>
      <c r="O59" s="9">
        <v>58</v>
      </c>
      <c r="P59" s="9" t="s">
        <v>436</v>
      </c>
      <c r="Q59" s="9" t="s">
        <v>435</v>
      </c>
      <c r="R59" s="9" t="s">
        <v>90</v>
      </c>
      <c r="S59" s="9" t="s">
        <v>92</v>
      </c>
      <c r="T59" s="9" t="s">
        <v>440</v>
      </c>
      <c r="U59" s="9" t="s">
        <v>94</v>
      </c>
      <c r="V59" s="9" t="s">
        <v>443</v>
      </c>
      <c r="W59" s="9" t="s">
        <v>442</v>
      </c>
    </row>
    <row r="60" spans="1:23" x14ac:dyDescent="0.2">
      <c r="A60" s="9" t="s">
        <v>1151</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x14ac:dyDescent="0.2">
      <c r="A61" s="9" t="s">
        <v>1150</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9" t="s">
        <v>1150</v>
      </c>
      <c r="O61" s="9">
        <v>60</v>
      </c>
      <c r="P61" s="9" t="s">
        <v>436</v>
      </c>
      <c r="Q61" s="9" t="s">
        <v>435</v>
      </c>
      <c r="R61" s="9" t="s">
        <v>90</v>
      </c>
      <c r="S61" s="9" t="s">
        <v>92</v>
      </c>
      <c r="T61" s="9" t="s">
        <v>441</v>
      </c>
      <c r="U61" s="9" t="s">
        <v>94</v>
      </c>
      <c r="V61" s="9" t="s">
        <v>440</v>
      </c>
      <c r="W61" s="9" t="s">
        <v>442</v>
      </c>
    </row>
    <row r="62" spans="1:23" x14ac:dyDescent="0.2">
      <c r="A62" s="9" t="s">
        <v>1149</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9" t="s">
        <v>1149</v>
      </c>
      <c r="O62" s="9">
        <v>61</v>
      </c>
      <c r="P62" s="9" t="s">
        <v>93</v>
      </c>
      <c r="Q62" s="9" t="s">
        <v>441</v>
      </c>
      <c r="R62" s="9" t="s">
        <v>90</v>
      </c>
      <c r="S62" s="9" t="s">
        <v>92</v>
      </c>
      <c r="T62" s="9" t="s">
        <v>440</v>
      </c>
      <c r="U62" s="9" t="s">
        <v>436</v>
      </c>
      <c r="V62" s="9" t="s">
        <v>443</v>
      </c>
      <c r="W62" s="9" t="s">
        <v>442</v>
      </c>
    </row>
    <row r="63" spans="1:23" x14ac:dyDescent="0.2">
      <c r="A63" s="9" t="s">
        <v>1148</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9" t="s">
        <v>1148</v>
      </c>
      <c r="O63" s="9">
        <v>62</v>
      </c>
      <c r="P63" s="9" t="s">
        <v>93</v>
      </c>
      <c r="Q63" s="9" t="s">
        <v>441</v>
      </c>
      <c r="R63" s="9" t="s">
        <v>90</v>
      </c>
      <c r="S63" s="9" t="s">
        <v>92</v>
      </c>
      <c r="T63" s="9" t="s">
        <v>440</v>
      </c>
      <c r="U63" s="9" t="s">
        <v>435</v>
      </c>
      <c r="V63" s="9" t="s">
        <v>443</v>
      </c>
      <c r="W63" s="9" t="s">
        <v>442</v>
      </c>
    </row>
    <row r="64" spans="1:23" x14ac:dyDescent="0.2">
      <c r="A64" s="9" t="s">
        <v>1147</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9" t="s">
        <v>1147</v>
      </c>
      <c r="O64" s="9">
        <v>63</v>
      </c>
      <c r="P64" s="9" t="s">
        <v>93</v>
      </c>
      <c r="Q64" s="9" t="s">
        <v>441</v>
      </c>
      <c r="R64" s="9" t="s">
        <v>90</v>
      </c>
      <c r="S64" s="9" t="s">
        <v>92</v>
      </c>
      <c r="T64" s="9" t="s">
        <v>436</v>
      </c>
      <c r="U64" s="9" t="s">
        <v>435</v>
      </c>
      <c r="V64" s="9" t="s">
        <v>443</v>
      </c>
      <c r="W64" s="9" t="s">
        <v>442</v>
      </c>
    </row>
    <row r="65" spans="1:23" x14ac:dyDescent="0.2">
      <c r="A65" s="9" t="s">
        <v>1146</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9" t="s">
        <v>1146</v>
      </c>
      <c r="O65" s="9">
        <v>64</v>
      </c>
      <c r="P65" s="9" t="s">
        <v>93</v>
      </c>
      <c r="Q65" s="9" t="s">
        <v>435</v>
      </c>
      <c r="R65" s="9" t="s">
        <v>90</v>
      </c>
      <c r="S65" s="9" t="s">
        <v>92</v>
      </c>
      <c r="T65" s="9" t="s">
        <v>440</v>
      </c>
      <c r="U65" s="9" t="s">
        <v>436</v>
      </c>
      <c r="V65" s="9" t="s">
        <v>443</v>
      </c>
      <c r="W65" s="9" t="s">
        <v>442</v>
      </c>
    </row>
    <row r="66" spans="1:23" x14ac:dyDescent="0.2">
      <c r="A66" s="9" t="s">
        <v>1145</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x14ac:dyDescent="0.2">
      <c r="A67" s="9" t="s">
        <v>1144</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9" t="s">
        <v>1144</v>
      </c>
      <c r="O67" s="9">
        <v>66</v>
      </c>
      <c r="P67" s="9" t="s">
        <v>93</v>
      </c>
      <c r="Q67" s="9" t="s">
        <v>441</v>
      </c>
      <c r="R67" s="9" t="s">
        <v>90</v>
      </c>
      <c r="S67" s="9" t="s">
        <v>92</v>
      </c>
      <c r="T67" s="9" t="s">
        <v>436</v>
      </c>
      <c r="U67" s="9" t="s">
        <v>435</v>
      </c>
      <c r="V67" s="9" t="s">
        <v>440</v>
      </c>
      <c r="W67" s="9" t="s">
        <v>442</v>
      </c>
    </row>
    <row r="68" spans="1:23" x14ac:dyDescent="0.2">
      <c r="A68" s="9" t="s">
        <v>1143</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9" t="s">
        <v>1143</v>
      </c>
      <c r="O68" s="9">
        <v>67</v>
      </c>
      <c r="P68" s="9" t="s">
        <v>93</v>
      </c>
      <c r="Q68" s="9" t="s">
        <v>441</v>
      </c>
      <c r="R68" s="9" t="s">
        <v>90</v>
      </c>
      <c r="S68" s="9" t="s">
        <v>92</v>
      </c>
      <c r="T68" s="9" t="s">
        <v>440</v>
      </c>
      <c r="U68" s="9" t="s">
        <v>94</v>
      </c>
      <c r="V68" s="9" t="s">
        <v>443</v>
      </c>
      <c r="W68" s="9" t="s">
        <v>442</v>
      </c>
    </row>
    <row r="69" spans="1:23" x14ac:dyDescent="0.2">
      <c r="A69" s="9" t="s">
        <v>1142</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9" t="s">
        <v>1142</v>
      </c>
      <c r="O69" s="9">
        <v>68</v>
      </c>
      <c r="P69" s="9" t="s">
        <v>93</v>
      </c>
      <c r="Q69" s="9" t="s">
        <v>441</v>
      </c>
      <c r="R69" s="9" t="s">
        <v>90</v>
      </c>
      <c r="S69" s="9" t="s">
        <v>92</v>
      </c>
      <c r="T69" s="9" t="s">
        <v>436</v>
      </c>
      <c r="U69" s="9" t="s">
        <v>94</v>
      </c>
      <c r="V69" s="9" t="s">
        <v>443</v>
      </c>
      <c r="W69" s="9" t="s">
        <v>442</v>
      </c>
    </row>
    <row r="70" spans="1:23" x14ac:dyDescent="0.2">
      <c r="A70" s="9" t="s">
        <v>1141</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9" t="s">
        <v>1141</v>
      </c>
      <c r="O70" s="9">
        <v>69</v>
      </c>
      <c r="P70" s="9" t="s">
        <v>93</v>
      </c>
      <c r="Q70" s="9" t="s">
        <v>440</v>
      </c>
      <c r="R70" s="9" t="s">
        <v>90</v>
      </c>
      <c r="S70" s="9" t="s">
        <v>92</v>
      </c>
      <c r="T70" s="9" t="s">
        <v>436</v>
      </c>
      <c r="U70" s="9" t="s">
        <v>94</v>
      </c>
      <c r="V70" s="9" t="s">
        <v>443</v>
      </c>
      <c r="W70" s="9" t="s">
        <v>442</v>
      </c>
    </row>
    <row r="71" spans="1:23" x14ac:dyDescent="0.2">
      <c r="A71" s="9" t="s">
        <v>1140</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x14ac:dyDescent="0.2">
      <c r="A72" s="9" t="s">
        <v>1139</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9" t="s">
        <v>1139</v>
      </c>
      <c r="O72" s="9">
        <v>71</v>
      </c>
      <c r="P72" s="9" t="s">
        <v>93</v>
      </c>
      <c r="Q72" s="9" t="s">
        <v>441</v>
      </c>
      <c r="R72" s="9" t="s">
        <v>90</v>
      </c>
      <c r="S72" s="9" t="s">
        <v>92</v>
      </c>
      <c r="T72" s="9" t="s">
        <v>436</v>
      </c>
      <c r="U72" s="9" t="s">
        <v>94</v>
      </c>
      <c r="V72" s="9" t="s">
        <v>440</v>
      </c>
      <c r="W72" s="9" t="s">
        <v>442</v>
      </c>
    </row>
    <row r="73" spans="1:23" x14ac:dyDescent="0.2">
      <c r="A73" s="9" t="s">
        <v>1138</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9" t="s">
        <v>1138</v>
      </c>
      <c r="O73" s="9">
        <v>72</v>
      </c>
      <c r="P73" s="9" t="s">
        <v>93</v>
      </c>
      <c r="Q73" s="9" t="s">
        <v>435</v>
      </c>
      <c r="R73" s="9" t="s">
        <v>90</v>
      </c>
      <c r="S73" s="9" t="s">
        <v>92</v>
      </c>
      <c r="T73" s="9" t="s">
        <v>441</v>
      </c>
      <c r="U73" s="9" t="s">
        <v>94</v>
      </c>
      <c r="V73" s="9" t="s">
        <v>443</v>
      </c>
      <c r="W73" s="9" t="s">
        <v>442</v>
      </c>
    </row>
    <row r="74" spans="1:23" x14ac:dyDescent="0.2">
      <c r="A74" s="9" t="s">
        <v>1137</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9" t="s">
        <v>1137</v>
      </c>
      <c r="O74" s="9">
        <v>73</v>
      </c>
      <c r="P74" s="9" t="s">
        <v>93</v>
      </c>
      <c r="Q74" s="9" t="s">
        <v>435</v>
      </c>
      <c r="R74" s="9" t="s">
        <v>90</v>
      </c>
      <c r="S74" s="9" t="s">
        <v>92</v>
      </c>
      <c r="T74" s="9" t="s">
        <v>440</v>
      </c>
      <c r="U74" s="9" t="s">
        <v>94</v>
      </c>
      <c r="V74" s="9" t="s">
        <v>443</v>
      </c>
      <c r="W74" s="9" t="s">
        <v>442</v>
      </c>
    </row>
    <row r="75" spans="1:23" x14ac:dyDescent="0.2">
      <c r="A75" s="9" t="s">
        <v>1136</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x14ac:dyDescent="0.2">
      <c r="A76" s="9" t="s">
        <v>1135</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9" t="s">
        <v>1135</v>
      </c>
      <c r="O76" s="9">
        <v>75</v>
      </c>
      <c r="P76" s="9" t="s">
        <v>93</v>
      </c>
      <c r="Q76" s="9" t="s">
        <v>435</v>
      </c>
      <c r="R76" s="9" t="s">
        <v>90</v>
      </c>
      <c r="S76" s="9" t="s">
        <v>92</v>
      </c>
      <c r="T76" s="9" t="s">
        <v>441</v>
      </c>
      <c r="U76" s="9" t="s">
        <v>94</v>
      </c>
      <c r="V76" s="9" t="s">
        <v>440</v>
      </c>
      <c r="W76" s="9" t="s">
        <v>442</v>
      </c>
    </row>
    <row r="77" spans="1:23" x14ac:dyDescent="0.2">
      <c r="A77" s="9" t="s">
        <v>602</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9" t="s">
        <v>602</v>
      </c>
      <c r="O77" s="9">
        <v>76</v>
      </c>
      <c r="P77" s="9" t="s">
        <v>93</v>
      </c>
      <c r="Q77" s="9" t="s">
        <v>435</v>
      </c>
      <c r="R77" s="9" t="s">
        <v>90</v>
      </c>
      <c r="S77" s="9" t="s">
        <v>92</v>
      </c>
      <c r="T77" s="9" t="s">
        <v>436</v>
      </c>
      <c r="U77" s="9" t="s">
        <v>94</v>
      </c>
      <c r="V77" s="9" t="s">
        <v>443</v>
      </c>
      <c r="W77" s="9" t="s">
        <v>442</v>
      </c>
    </row>
    <row r="78" spans="1:23" x14ac:dyDescent="0.2">
      <c r="A78" s="9" t="s">
        <v>601</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9" t="s">
        <v>601</v>
      </c>
      <c r="O78" s="9">
        <v>77</v>
      </c>
      <c r="P78" s="9" t="s">
        <v>436</v>
      </c>
      <c r="Q78" s="9" t="s">
        <v>435</v>
      </c>
      <c r="R78" s="9" t="s">
        <v>90</v>
      </c>
      <c r="S78" s="9" t="s">
        <v>92</v>
      </c>
      <c r="T78" s="9" t="s">
        <v>441</v>
      </c>
      <c r="U78" s="9" t="s">
        <v>94</v>
      </c>
      <c r="V78" s="9" t="s">
        <v>443</v>
      </c>
      <c r="W78" s="9" t="s">
        <v>93</v>
      </c>
    </row>
    <row r="79" spans="1:23" x14ac:dyDescent="0.2">
      <c r="A79" s="9" t="s">
        <v>600</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9" t="s">
        <v>600</v>
      </c>
      <c r="O79" s="9">
        <v>78</v>
      </c>
      <c r="P79" s="9" t="s">
        <v>436</v>
      </c>
      <c r="Q79" s="9" t="s">
        <v>435</v>
      </c>
      <c r="R79" s="9" t="s">
        <v>90</v>
      </c>
      <c r="S79" s="9" t="s">
        <v>92</v>
      </c>
      <c r="T79" s="9" t="s">
        <v>441</v>
      </c>
      <c r="U79" s="9" t="s">
        <v>94</v>
      </c>
      <c r="V79" s="9" t="s">
        <v>93</v>
      </c>
      <c r="W79" s="9" t="s">
        <v>442</v>
      </c>
    </row>
    <row r="80" spans="1:23" x14ac:dyDescent="0.2">
      <c r="A80" s="9" t="s">
        <v>599</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x14ac:dyDescent="0.2">
      <c r="A81" s="9" t="s">
        <v>598</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9" t="s">
        <v>598</v>
      </c>
      <c r="O81" s="9">
        <v>80</v>
      </c>
      <c r="P81" s="9" t="s">
        <v>93</v>
      </c>
      <c r="Q81" s="9" t="s">
        <v>435</v>
      </c>
      <c r="R81" s="9" t="s">
        <v>90</v>
      </c>
      <c r="S81" s="9" t="s">
        <v>92</v>
      </c>
      <c r="T81" s="9" t="s">
        <v>436</v>
      </c>
      <c r="U81" s="9" t="s">
        <v>94</v>
      </c>
      <c r="V81" s="9" t="s">
        <v>440</v>
      </c>
      <c r="W81" s="9" t="s">
        <v>442</v>
      </c>
    </row>
    <row r="82" spans="1:23" x14ac:dyDescent="0.2">
      <c r="A82" s="9" t="s">
        <v>597</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9" t="s">
        <v>597</v>
      </c>
      <c r="O82" s="9">
        <v>81</v>
      </c>
      <c r="P82" s="9" t="s">
        <v>436</v>
      </c>
      <c r="Q82" s="9" t="s">
        <v>435</v>
      </c>
      <c r="R82" s="9" t="s">
        <v>90</v>
      </c>
      <c r="S82" s="9" t="s">
        <v>92</v>
      </c>
      <c r="T82" s="9" t="s">
        <v>441</v>
      </c>
      <c r="U82" s="9" t="s">
        <v>94</v>
      </c>
      <c r="V82" s="9" t="s">
        <v>93</v>
      </c>
      <c r="W82" s="9" t="s">
        <v>440</v>
      </c>
    </row>
    <row r="83" spans="1:23" x14ac:dyDescent="0.2">
      <c r="A83" s="9" t="s">
        <v>1134</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9" t="s">
        <v>1134</v>
      </c>
      <c r="O83" s="9">
        <v>82</v>
      </c>
      <c r="P83" s="9" t="s">
        <v>436</v>
      </c>
      <c r="Q83" s="9" t="s">
        <v>441</v>
      </c>
      <c r="R83" s="9" t="s">
        <v>90</v>
      </c>
      <c r="S83" s="9" t="s">
        <v>91</v>
      </c>
      <c r="T83" s="9" t="s">
        <v>440</v>
      </c>
      <c r="U83" s="9" t="s">
        <v>435</v>
      </c>
      <c r="V83" s="9" t="s">
        <v>443</v>
      </c>
      <c r="W83" s="9" t="s">
        <v>442</v>
      </c>
    </row>
    <row r="84" spans="1:23" x14ac:dyDescent="0.2">
      <c r="A84" s="9" t="s">
        <v>1133</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9" t="s">
        <v>1133</v>
      </c>
      <c r="O84" s="9">
        <v>83</v>
      </c>
      <c r="P84" s="9" t="s">
        <v>436</v>
      </c>
      <c r="Q84" s="9" t="s">
        <v>441</v>
      </c>
      <c r="R84" s="9" t="s">
        <v>90</v>
      </c>
      <c r="S84" s="9" t="s">
        <v>91</v>
      </c>
      <c r="T84" s="9" t="s">
        <v>440</v>
      </c>
      <c r="U84" s="9" t="s">
        <v>94</v>
      </c>
      <c r="V84" s="9" t="s">
        <v>443</v>
      </c>
      <c r="W84" s="9" t="s">
        <v>442</v>
      </c>
    </row>
    <row r="85" spans="1:23" x14ac:dyDescent="0.2">
      <c r="A85" s="9" t="s">
        <v>1132</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9" t="s">
        <v>1132</v>
      </c>
      <c r="O85" s="9">
        <v>84</v>
      </c>
      <c r="P85" s="9" t="s">
        <v>440</v>
      </c>
      <c r="Q85" s="9" t="s">
        <v>435</v>
      </c>
      <c r="R85" s="9" t="s">
        <v>90</v>
      </c>
      <c r="S85" s="9" t="s">
        <v>91</v>
      </c>
      <c r="T85" s="9" t="s">
        <v>441</v>
      </c>
      <c r="U85" s="9" t="s">
        <v>94</v>
      </c>
      <c r="V85" s="9" t="s">
        <v>443</v>
      </c>
      <c r="W85" s="9" t="s">
        <v>442</v>
      </c>
    </row>
    <row r="86" spans="1:23" x14ac:dyDescent="0.2">
      <c r="A86" s="9" t="s">
        <v>1131</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9" t="s">
        <v>1131</v>
      </c>
      <c r="O86" s="9">
        <v>85</v>
      </c>
      <c r="P86" s="9" t="s">
        <v>436</v>
      </c>
      <c r="Q86" s="9" t="s">
        <v>435</v>
      </c>
      <c r="R86" s="9" t="s">
        <v>90</v>
      </c>
      <c r="S86" s="9" t="s">
        <v>91</v>
      </c>
      <c r="T86" s="9" t="s">
        <v>441</v>
      </c>
      <c r="U86" s="9" t="s">
        <v>94</v>
      </c>
      <c r="V86" s="9" t="s">
        <v>443</v>
      </c>
      <c r="W86" s="9" t="s">
        <v>442</v>
      </c>
    </row>
    <row r="87" spans="1:23" x14ac:dyDescent="0.2">
      <c r="A87" s="9" t="s">
        <v>1130</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9" t="s">
        <v>1130</v>
      </c>
      <c r="O87" s="9">
        <v>86</v>
      </c>
      <c r="P87" s="9" t="s">
        <v>436</v>
      </c>
      <c r="Q87" s="9" t="s">
        <v>435</v>
      </c>
      <c r="R87" s="9" t="s">
        <v>90</v>
      </c>
      <c r="S87" s="9" t="s">
        <v>91</v>
      </c>
      <c r="T87" s="9" t="s">
        <v>440</v>
      </c>
      <c r="U87" s="9" t="s">
        <v>94</v>
      </c>
      <c r="V87" s="9" t="s">
        <v>443</v>
      </c>
      <c r="W87" s="9" t="s">
        <v>442</v>
      </c>
    </row>
    <row r="88" spans="1:23" x14ac:dyDescent="0.2">
      <c r="A88" s="9" t="s">
        <v>1129</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x14ac:dyDescent="0.2">
      <c r="A89" s="9" t="s">
        <v>1128</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9" t="s">
        <v>1128</v>
      </c>
      <c r="O89" s="9">
        <v>88</v>
      </c>
      <c r="P89" s="9" t="s">
        <v>436</v>
      </c>
      <c r="Q89" s="9" t="s">
        <v>435</v>
      </c>
      <c r="R89" s="9" t="s">
        <v>90</v>
      </c>
      <c r="S89" s="9" t="s">
        <v>91</v>
      </c>
      <c r="T89" s="9" t="s">
        <v>441</v>
      </c>
      <c r="U89" s="9" t="s">
        <v>94</v>
      </c>
      <c r="V89" s="9" t="s">
        <v>440</v>
      </c>
      <c r="W89" s="9" t="s">
        <v>442</v>
      </c>
    </row>
    <row r="90" spans="1:23" x14ac:dyDescent="0.2">
      <c r="A90" s="9" t="s">
        <v>1127</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9" t="s">
        <v>1127</v>
      </c>
      <c r="O90" s="9">
        <v>89</v>
      </c>
      <c r="P90" s="9" t="s">
        <v>93</v>
      </c>
      <c r="Q90" s="9" t="s">
        <v>441</v>
      </c>
      <c r="R90" s="9" t="s">
        <v>90</v>
      </c>
      <c r="S90" s="9" t="s">
        <v>91</v>
      </c>
      <c r="T90" s="9" t="s">
        <v>440</v>
      </c>
      <c r="U90" s="9" t="s">
        <v>436</v>
      </c>
      <c r="V90" s="9" t="s">
        <v>443</v>
      </c>
      <c r="W90" s="9" t="s">
        <v>442</v>
      </c>
    </row>
    <row r="91" spans="1:23" x14ac:dyDescent="0.2">
      <c r="A91" s="9" t="s">
        <v>1126</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9" t="s">
        <v>1126</v>
      </c>
      <c r="O91" s="9">
        <v>90</v>
      </c>
      <c r="P91" s="9" t="s">
        <v>93</v>
      </c>
      <c r="Q91" s="9" t="s">
        <v>441</v>
      </c>
      <c r="R91" s="9" t="s">
        <v>90</v>
      </c>
      <c r="S91" s="9" t="s">
        <v>91</v>
      </c>
      <c r="T91" s="9" t="s">
        <v>440</v>
      </c>
      <c r="U91" s="9" t="s">
        <v>435</v>
      </c>
      <c r="V91" s="9" t="s">
        <v>443</v>
      </c>
      <c r="W91" s="9" t="s">
        <v>442</v>
      </c>
    </row>
    <row r="92" spans="1:23" x14ac:dyDescent="0.2">
      <c r="A92" s="9" t="s">
        <v>1125</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9" t="s">
        <v>1125</v>
      </c>
      <c r="O92" s="9">
        <v>91</v>
      </c>
      <c r="P92" s="9" t="s">
        <v>93</v>
      </c>
      <c r="Q92" s="9" t="s">
        <v>441</v>
      </c>
      <c r="R92" s="9" t="s">
        <v>90</v>
      </c>
      <c r="S92" s="9" t="s">
        <v>91</v>
      </c>
      <c r="T92" s="9" t="s">
        <v>436</v>
      </c>
      <c r="U92" s="9" t="s">
        <v>435</v>
      </c>
      <c r="V92" s="9" t="s">
        <v>443</v>
      </c>
      <c r="W92" s="9" t="s">
        <v>442</v>
      </c>
    </row>
    <row r="93" spans="1:23" x14ac:dyDescent="0.2">
      <c r="A93" s="9" t="s">
        <v>1124</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9" t="s">
        <v>1124</v>
      </c>
      <c r="O93" s="9">
        <v>92</v>
      </c>
      <c r="P93" s="9" t="s">
        <v>93</v>
      </c>
      <c r="Q93" s="9" t="s">
        <v>435</v>
      </c>
      <c r="R93" s="9" t="s">
        <v>90</v>
      </c>
      <c r="S93" s="9" t="s">
        <v>91</v>
      </c>
      <c r="T93" s="9" t="s">
        <v>440</v>
      </c>
      <c r="U93" s="9" t="s">
        <v>436</v>
      </c>
      <c r="V93" s="9" t="s">
        <v>443</v>
      </c>
      <c r="W93" s="9" t="s">
        <v>442</v>
      </c>
    </row>
    <row r="94" spans="1:23" x14ac:dyDescent="0.2">
      <c r="A94" s="9" t="s">
        <v>1123</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x14ac:dyDescent="0.2">
      <c r="A95" s="9" t="s">
        <v>1122</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9" t="s">
        <v>1122</v>
      </c>
      <c r="O95" s="9">
        <v>94</v>
      </c>
      <c r="P95" s="9" t="s">
        <v>93</v>
      </c>
      <c r="Q95" s="9" t="s">
        <v>441</v>
      </c>
      <c r="R95" s="9" t="s">
        <v>90</v>
      </c>
      <c r="S95" s="9" t="s">
        <v>91</v>
      </c>
      <c r="T95" s="9" t="s">
        <v>436</v>
      </c>
      <c r="U95" s="9" t="s">
        <v>435</v>
      </c>
      <c r="V95" s="9" t="s">
        <v>440</v>
      </c>
      <c r="W95" s="9" t="s">
        <v>442</v>
      </c>
    </row>
    <row r="96" spans="1:23" x14ac:dyDescent="0.2">
      <c r="A96" s="9" t="s">
        <v>1121</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9" t="s">
        <v>1121</v>
      </c>
      <c r="O96" s="9">
        <v>95</v>
      </c>
      <c r="P96" s="9" t="s">
        <v>93</v>
      </c>
      <c r="Q96" s="9" t="s">
        <v>441</v>
      </c>
      <c r="R96" s="9" t="s">
        <v>90</v>
      </c>
      <c r="S96" s="9" t="s">
        <v>91</v>
      </c>
      <c r="T96" s="9" t="s">
        <v>440</v>
      </c>
      <c r="U96" s="9" t="s">
        <v>94</v>
      </c>
      <c r="V96" s="9" t="s">
        <v>443</v>
      </c>
      <c r="W96" s="9" t="s">
        <v>442</v>
      </c>
    </row>
    <row r="97" spans="1:23" x14ac:dyDescent="0.2">
      <c r="A97" s="9" t="s">
        <v>1120</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9" t="s">
        <v>1120</v>
      </c>
      <c r="O97" s="9">
        <v>96</v>
      </c>
      <c r="P97" s="9" t="s">
        <v>93</v>
      </c>
      <c r="Q97" s="9" t="s">
        <v>441</v>
      </c>
      <c r="R97" s="9" t="s">
        <v>90</v>
      </c>
      <c r="S97" s="9" t="s">
        <v>91</v>
      </c>
      <c r="T97" s="9" t="s">
        <v>436</v>
      </c>
      <c r="U97" s="9" t="s">
        <v>94</v>
      </c>
      <c r="V97" s="9" t="s">
        <v>443</v>
      </c>
      <c r="W97" s="9" t="s">
        <v>442</v>
      </c>
    </row>
    <row r="98" spans="1:23" x14ac:dyDescent="0.2">
      <c r="A98" s="9" t="s">
        <v>1119</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9" t="s">
        <v>1119</v>
      </c>
      <c r="O98" s="9">
        <v>97</v>
      </c>
      <c r="P98" s="9" t="s">
        <v>93</v>
      </c>
      <c r="Q98" s="9" t="s">
        <v>440</v>
      </c>
      <c r="R98" s="9" t="s">
        <v>90</v>
      </c>
      <c r="S98" s="9" t="s">
        <v>91</v>
      </c>
      <c r="T98" s="9" t="s">
        <v>436</v>
      </c>
      <c r="U98" s="9" t="s">
        <v>94</v>
      </c>
      <c r="V98" s="9" t="s">
        <v>443</v>
      </c>
      <c r="W98" s="9" t="s">
        <v>442</v>
      </c>
    </row>
    <row r="99" spans="1:23" x14ac:dyDescent="0.2">
      <c r="A99" s="9" t="s">
        <v>1118</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x14ac:dyDescent="0.2">
      <c r="A100" s="9" t="s">
        <v>1117</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x14ac:dyDescent="0.2">
      <c r="A101" s="9" t="s">
        <v>1116</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x14ac:dyDescent="0.2">
      <c r="A102" s="9" t="s">
        <v>1115</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x14ac:dyDescent="0.2">
      <c r="A103" s="9" t="s">
        <v>1114</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x14ac:dyDescent="0.2">
      <c r="A104" s="9" t="s">
        <v>1113</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x14ac:dyDescent="0.2">
      <c r="A105" s="9" t="s">
        <v>1112</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x14ac:dyDescent="0.2">
      <c r="A106" s="9" t="s">
        <v>1111</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9" t="s">
        <v>1111</v>
      </c>
      <c r="O106" s="9">
        <v>105</v>
      </c>
      <c r="P106" s="9" t="s">
        <v>436</v>
      </c>
      <c r="Q106" s="9" t="s">
        <v>435</v>
      </c>
      <c r="R106" s="9" t="s">
        <v>90</v>
      </c>
      <c r="S106" s="9" t="s">
        <v>91</v>
      </c>
      <c r="T106" s="9" t="s">
        <v>441</v>
      </c>
      <c r="U106" s="9" t="s">
        <v>94</v>
      </c>
      <c r="V106" s="9" t="s">
        <v>443</v>
      </c>
      <c r="W106" s="9" t="s">
        <v>93</v>
      </c>
    </row>
    <row r="107" spans="1:23" x14ac:dyDescent="0.2">
      <c r="A107" s="9" t="s">
        <v>1110</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x14ac:dyDescent="0.2">
      <c r="A108" s="9" t="s">
        <v>1109</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x14ac:dyDescent="0.2">
      <c r="A109" s="9" t="s">
        <v>1108</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x14ac:dyDescent="0.2">
      <c r="A110" s="9" t="s">
        <v>1107</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x14ac:dyDescent="0.2">
      <c r="A111" s="9" t="s">
        <v>1106</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x14ac:dyDescent="0.2">
      <c r="A112" s="9" t="s">
        <v>1105</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x14ac:dyDescent="0.2">
      <c r="A113" s="9" t="s">
        <v>1104</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x14ac:dyDescent="0.2">
      <c r="A114" s="9" t="s">
        <v>1103</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x14ac:dyDescent="0.2">
      <c r="A115" s="9" t="s">
        <v>1102</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x14ac:dyDescent="0.2">
      <c r="A116" s="9" t="s">
        <v>1101</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x14ac:dyDescent="0.2">
      <c r="A117" s="9" t="s">
        <v>1100</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x14ac:dyDescent="0.2">
      <c r="A118" s="9" t="s">
        <v>1099</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x14ac:dyDescent="0.2">
      <c r="A119" s="9" t="s">
        <v>1098</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x14ac:dyDescent="0.2">
      <c r="A120" s="9" t="s">
        <v>1097</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x14ac:dyDescent="0.2">
      <c r="A121" s="9" t="s">
        <v>1096</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x14ac:dyDescent="0.2">
      <c r="A122" s="9" t="s">
        <v>1095</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x14ac:dyDescent="0.2">
      <c r="A123" s="9" t="s">
        <v>1094</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x14ac:dyDescent="0.2">
      <c r="A124" s="9" t="s">
        <v>1093</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x14ac:dyDescent="0.2">
      <c r="A125" s="9" t="s">
        <v>1092</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x14ac:dyDescent="0.2">
      <c r="A126" s="9" t="s">
        <v>1091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x14ac:dyDescent="0.2">
      <c r="A127" s="9" t="s">
        <v>1090</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x14ac:dyDescent="0.2">
      <c r="A128" s="9" t="s">
        <v>1089</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x14ac:dyDescent="0.2">
      <c r="A129" s="9" t="s">
        <v>1088</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x14ac:dyDescent="0.2">
      <c r="A130" s="9" t="s">
        <v>1087</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x14ac:dyDescent="0.2">
      <c r="A131" s="9" t="s">
        <v>1086</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x14ac:dyDescent="0.2">
      <c r="A132" s="9" t="s">
        <v>1085</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x14ac:dyDescent="0.2">
      <c r="A133" s="9" t="s">
        <v>1084</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x14ac:dyDescent="0.2">
      <c r="A134" s="9" t="s">
        <v>1083</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x14ac:dyDescent="0.2">
      <c r="A135" s="9" t="s">
        <v>1082</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x14ac:dyDescent="0.2">
      <c r="A136" s="9" t="s">
        <v>1081</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x14ac:dyDescent="0.2">
      <c r="A137" s="9" t="s">
        <v>1080</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x14ac:dyDescent="0.2">
      <c r="A138" s="9" t="s">
        <v>1079</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x14ac:dyDescent="0.2">
      <c r="A139" s="9" t="s">
        <v>1078</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x14ac:dyDescent="0.2">
      <c r="A140" s="9" t="s">
        <v>1077</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x14ac:dyDescent="0.2">
      <c r="A141" s="9" t="s">
        <v>1076</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x14ac:dyDescent="0.2">
      <c r="A142" s="9" t="s">
        <v>1075</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9" t="s">
        <v>1075</v>
      </c>
      <c r="O142" s="9">
        <v>141</v>
      </c>
      <c r="P142" s="9" t="s">
        <v>436</v>
      </c>
      <c r="Q142" s="9" t="s">
        <v>435</v>
      </c>
      <c r="R142" s="9" t="s">
        <v>90</v>
      </c>
      <c r="S142" s="9" t="s">
        <v>91</v>
      </c>
      <c r="T142" s="9" t="s">
        <v>441</v>
      </c>
      <c r="U142" s="9" t="s">
        <v>92</v>
      </c>
      <c r="V142" s="9" t="s">
        <v>443</v>
      </c>
      <c r="W142" s="9" t="s">
        <v>93</v>
      </c>
    </row>
    <row r="143" spans="1:23" x14ac:dyDescent="0.2">
      <c r="A143" s="9" t="s">
        <v>1074</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x14ac:dyDescent="0.2">
      <c r="A144" s="9" t="s">
        <v>1073</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x14ac:dyDescent="0.2">
      <c r="A145" s="9" t="s">
        <v>1072</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x14ac:dyDescent="0.2">
      <c r="A146" s="9" t="s">
        <v>1071</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x14ac:dyDescent="0.2">
      <c r="A147" s="9" t="s">
        <v>1070</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x14ac:dyDescent="0.2">
      <c r="A148" s="9" t="s">
        <v>1069</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x14ac:dyDescent="0.2">
      <c r="A149" s="9" t="s">
        <v>1068</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x14ac:dyDescent="0.2">
      <c r="A150" s="9" t="s">
        <v>1067</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x14ac:dyDescent="0.2">
      <c r="A151" s="9" t="s">
        <v>1066</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x14ac:dyDescent="0.2">
      <c r="A152" s="9" t="s">
        <v>1065</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9" t="s">
        <v>1065</v>
      </c>
      <c r="O152" s="9">
        <v>151</v>
      </c>
      <c r="P152" s="9" t="s">
        <v>91</v>
      </c>
      <c r="Q152" s="9" t="s">
        <v>441</v>
      </c>
      <c r="R152" s="9" t="s">
        <v>90</v>
      </c>
      <c r="S152" s="9" t="s">
        <v>92</v>
      </c>
      <c r="T152" s="9" t="s">
        <v>436</v>
      </c>
      <c r="U152" s="9" t="s">
        <v>94</v>
      </c>
      <c r="V152" s="9" t="s">
        <v>443</v>
      </c>
      <c r="W152" s="9" t="s">
        <v>93</v>
      </c>
    </row>
    <row r="153" spans="1:23" x14ac:dyDescent="0.2">
      <c r="A153" s="9" t="s">
        <v>1064</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x14ac:dyDescent="0.2">
      <c r="A154" s="9" t="s">
        <v>1063</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x14ac:dyDescent="0.2">
      <c r="A155" s="9" t="s">
        <v>1062</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x14ac:dyDescent="0.2">
      <c r="A156" s="9" t="s">
        <v>1061</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x14ac:dyDescent="0.2">
      <c r="A157" s="9" t="s">
        <v>475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x14ac:dyDescent="0.2">
      <c r="A158" s="9" t="s">
        <v>468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9" t="s">
        <v>468</v>
      </c>
      <c r="O158" s="9">
        <v>157</v>
      </c>
      <c r="P158" s="9" t="s">
        <v>91</v>
      </c>
      <c r="Q158" s="9" t="s">
        <v>435</v>
      </c>
      <c r="R158" s="9" t="s">
        <v>90</v>
      </c>
      <c r="S158" s="9" t="s">
        <v>92</v>
      </c>
      <c r="T158" s="9" t="s">
        <v>441</v>
      </c>
      <c r="U158" s="9" t="s">
        <v>94</v>
      </c>
      <c r="V158" s="9" t="s">
        <v>443</v>
      </c>
      <c r="W158" s="9" t="s">
        <v>93</v>
      </c>
    </row>
    <row r="159" spans="1:23" x14ac:dyDescent="0.2">
      <c r="A159" s="9" t="s">
        <v>467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x14ac:dyDescent="0.2">
      <c r="A160" s="9" t="s">
        <v>466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x14ac:dyDescent="0.2">
      <c r="A161" s="9" t="s">
        <v>465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x14ac:dyDescent="0.2">
      <c r="A162" s="9" t="s">
        <v>464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x14ac:dyDescent="0.2">
      <c r="A163" s="9" t="s">
        <v>463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9" t="s">
        <v>463</v>
      </c>
      <c r="O163" s="9">
        <v>162</v>
      </c>
      <c r="P163" s="9" t="s">
        <v>91</v>
      </c>
      <c r="Q163" s="9" t="s">
        <v>435</v>
      </c>
      <c r="R163" s="9" t="s">
        <v>90</v>
      </c>
      <c r="S163" s="9" t="s">
        <v>92</v>
      </c>
      <c r="T163" s="9" t="s">
        <v>436</v>
      </c>
      <c r="U163" s="9" t="s">
        <v>94</v>
      </c>
      <c r="V163" s="9" t="s">
        <v>443</v>
      </c>
      <c r="W163" s="9" t="s">
        <v>93</v>
      </c>
    </row>
    <row r="164" spans="1:23" x14ac:dyDescent="0.2">
      <c r="A164" s="9" t="s">
        <v>462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x14ac:dyDescent="0.2">
      <c r="A165" s="9" t="s">
        <v>461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9" t="s">
        <v>461</v>
      </c>
      <c r="O165" s="9">
        <v>164</v>
      </c>
      <c r="P165" s="9" t="s">
        <v>436</v>
      </c>
      <c r="Q165" s="9" t="s">
        <v>435</v>
      </c>
      <c r="R165" s="9" t="s">
        <v>90</v>
      </c>
      <c r="S165" s="9" t="s">
        <v>91</v>
      </c>
      <c r="T165" s="9" t="s">
        <v>441</v>
      </c>
      <c r="U165" s="9" t="s">
        <v>94</v>
      </c>
      <c r="V165" s="9" t="s">
        <v>92</v>
      </c>
      <c r="W165" s="9" t="s">
        <v>93</v>
      </c>
    </row>
    <row r="166" spans="1:23" x14ac:dyDescent="0.2">
      <c r="A166" s="9" t="s">
        <v>460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x14ac:dyDescent="0.2">
      <c r="A167" s="9" t="s">
        <v>596</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x14ac:dyDescent="0.2">
      <c r="A168" s="9" t="s">
        <v>1060</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x14ac:dyDescent="0.2">
      <c r="A169" s="9" t="s">
        <v>1059</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x14ac:dyDescent="0.2">
      <c r="A170" s="9" t="s">
        <v>1058</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x14ac:dyDescent="0.2">
      <c r="A171" s="9" t="s">
        <v>1057</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x14ac:dyDescent="0.2">
      <c r="A172" s="9" t="s">
        <v>593</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x14ac:dyDescent="0.2">
      <c r="A173" s="9" t="s">
        <v>595</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x14ac:dyDescent="0.2">
      <c r="A174" s="9" t="s">
        <v>594</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x14ac:dyDescent="0.2">
      <c r="A175" s="9" t="s">
        <v>1056</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x14ac:dyDescent="0.2">
      <c r="A176" s="9" t="s">
        <v>1055</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x14ac:dyDescent="0.2">
      <c r="A177" s="9" t="s">
        <v>1054</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x14ac:dyDescent="0.2">
      <c r="A178" s="9" t="s">
        <v>1053</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x14ac:dyDescent="0.2">
      <c r="A179" s="9" t="s">
        <v>1052</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x14ac:dyDescent="0.2">
      <c r="A180" s="9" t="s">
        <v>1051</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x14ac:dyDescent="0.2">
      <c r="A181" s="9" t="s">
        <v>1050</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x14ac:dyDescent="0.2">
      <c r="A182" s="9" t="s">
        <v>1049</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x14ac:dyDescent="0.2">
      <c r="A183" s="9" t="s">
        <v>1048</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x14ac:dyDescent="0.2">
      <c r="A184" s="9" t="s">
        <v>1047</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x14ac:dyDescent="0.2">
      <c r="A185" s="9" t="s">
        <v>1046</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x14ac:dyDescent="0.2">
      <c r="A186" s="9" t="s">
        <v>1045</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x14ac:dyDescent="0.2">
      <c r="A187" s="9" t="s">
        <v>1044</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x14ac:dyDescent="0.2">
      <c r="A188" s="9" t="s">
        <v>1043</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x14ac:dyDescent="0.2">
      <c r="A189" s="9" t="s">
        <v>1042</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x14ac:dyDescent="0.2">
      <c r="A190" s="9" t="s">
        <v>1041</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x14ac:dyDescent="0.2">
      <c r="A191" s="9" t="s">
        <v>1040</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x14ac:dyDescent="0.2">
      <c r="A192" s="9" t="s">
        <v>1039</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x14ac:dyDescent="0.2">
      <c r="A193" s="9" t="s">
        <v>1038</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x14ac:dyDescent="0.2">
      <c r="A194" s="9" t="s">
        <v>1037</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x14ac:dyDescent="0.2">
      <c r="A195" s="9" t="s">
        <v>1036</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x14ac:dyDescent="0.2">
      <c r="A196" s="9" t="s">
        <v>1035</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x14ac:dyDescent="0.2">
      <c r="A197" s="9" t="s">
        <v>592</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x14ac:dyDescent="0.2">
      <c r="A198" s="9" t="s">
        <v>591</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9" t="s">
        <v>591</v>
      </c>
      <c r="O198" s="9">
        <v>197</v>
      </c>
      <c r="P198" s="9" t="s">
        <v>436</v>
      </c>
      <c r="Q198" s="9" t="s">
        <v>435</v>
      </c>
      <c r="R198" s="9" t="s">
        <v>441</v>
      </c>
      <c r="S198" s="9" t="s">
        <v>92</v>
      </c>
      <c r="T198" s="9" t="s">
        <v>89</v>
      </c>
      <c r="U198" s="9" t="s">
        <v>94</v>
      </c>
      <c r="V198" s="9" t="s">
        <v>443</v>
      </c>
      <c r="W198" s="9" t="s">
        <v>93</v>
      </c>
    </row>
    <row r="199" spans="1:23" x14ac:dyDescent="0.2">
      <c r="A199" s="9" t="s">
        <v>590</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x14ac:dyDescent="0.2">
      <c r="A200" s="9" t="s">
        <v>589</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x14ac:dyDescent="0.2">
      <c r="A201" s="9" t="s">
        <v>588</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x14ac:dyDescent="0.2">
      <c r="A202" s="9" t="s">
        <v>587</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x14ac:dyDescent="0.2">
      <c r="A203" s="9" t="s">
        <v>1034</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x14ac:dyDescent="0.2">
      <c r="A204" s="9" t="s">
        <v>1033</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x14ac:dyDescent="0.2">
      <c r="A205" s="9" t="s">
        <v>1032</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x14ac:dyDescent="0.2">
      <c r="A206" s="9" t="s">
        <v>1031</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x14ac:dyDescent="0.2">
      <c r="A207" s="9" t="s">
        <v>1030</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x14ac:dyDescent="0.2">
      <c r="A208" s="9" t="s">
        <v>1029</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x14ac:dyDescent="0.2">
      <c r="A209" s="9" t="s">
        <v>1028</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x14ac:dyDescent="0.2">
      <c r="A210" s="9" t="s">
        <v>1027</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x14ac:dyDescent="0.2">
      <c r="A211" s="9" t="s">
        <v>1026</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x14ac:dyDescent="0.2">
      <c r="A212" s="9" t="s">
        <v>1025</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x14ac:dyDescent="0.2">
      <c r="A213" s="9" t="s">
        <v>1024</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x14ac:dyDescent="0.2">
      <c r="A214" s="9" t="s">
        <v>1023</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x14ac:dyDescent="0.2">
      <c r="A215" s="9" t="s">
        <v>1022</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x14ac:dyDescent="0.2">
      <c r="A216" s="9" t="s">
        <v>1021</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x14ac:dyDescent="0.2">
      <c r="A217" s="9" t="s">
        <v>1020</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x14ac:dyDescent="0.2">
      <c r="A218" s="9" t="s">
        <v>1019</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x14ac:dyDescent="0.2">
      <c r="A219" s="9" t="s">
        <v>1018</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x14ac:dyDescent="0.2">
      <c r="A220" s="9" t="s">
        <v>1017</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x14ac:dyDescent="0.2">
      <c r="A221" s="9" t="s">
        <v>1016</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x14ac:dyDescent="0.2">
      <c r="A222" s="9" t="s">
        <v>1015</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x14ac:dyDescent="0.2">
      <c r="A223" s="9" t="s">
        <v>1014</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x14ac:dyDescent="0.2">
      <c r="A224" s="9" t="s">
        <v>1013</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x14ac:dyDescent="0.2">
      <c r="A225" s="9" t="s">
        <v>1012</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x14ac:dyDescent="0.2">
      <c r="A226" s="9" t="s">
        <v>1011</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9" t="s">
        <v>1011</v>
      </c>
      <c r="O226" s="9">
        <v>225</v>
      </c>
      <c r="P226" s="9" t="s">
        <v>436</v>
      </c>
      <c r="Q226" s="9" t="s">
        <v>435</v>
      </c>
      <c r="R226" s="9" t="s">
        <v>441</v>
      </c>
      <c r="S226" s="9" t="s">
        <v>91</v>
      </c>
      <c r="T226" s="9" t="s">
        <v>89</v>
      </c>
      <c r="U226" s="9" t="s">
        <v>94</v>
      </c>
      <c r="V226" s="9" t="s">
        <v>443</v>
      </c>
      <c r="W226" s="9" t="s">
        <v>93</v>
      </c>
    </row>
    <row r="227" spans="1:23" x14ac:dyDescent="0.2">
      <c r="A227" s="9" t="s">
        <v>1010</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x14ac:dyDescent="0.2">
      <c r="A228" s="9" t="s">
        <v>1009</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x14ac:dyDescent="0.2">
      <c r="A229" s="9" t="s">
        <v>1008</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x14ac:dyDescent="0.2">
      <c r="A230" s="9" t="s">
        <v>1007</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x14ac:dyDescent="0.2">
      <c r="A231" s="9" t="s">
        <v>1006</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x14ac:dyDescent="0.2">
      <c r="A232" s="9" t="s">
        <v>1005</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x14ac:dyDescent="0.2">
      <c r="A233" s="9" t="s">
        <v>1004</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x14ac:dyDescent="0.2">
      <c r="A234" s="9" t="s">
        <v>1003</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x14ac:dyDescent="0.2">
      <c r="A235" s="9" t="s">
        <v>1002</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x14ac:dyDescent="0.2">
      <c r="A236" s="9" t="s">
        <v>1001</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x14ac:dyDescent="0.2">
      <c r="A237" s="9" t="s">
        <v>1000</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x14ac:dyDescent="0.2">
      <c r="A238" s="9" t="s">
        <v>999</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x14ac:dyDescent="0.2">
      <c r="A239" s="9" t="s">
        <v>998</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x14ac:dyDescent="0.2">
      <c r="A240" s="9" t="s">
        <v>997</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x14ac:dyDescent="0.2">
      <c r="A241" s="9" t="s">
        <v>996</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x14ac:dyDescent="0.2">
      <c r="A242" s="9" t="s">
        <v>995</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x14ac:dyDescent="0.2">
      <c r="A243" s="9" t="s">
        <v>994</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x14ac:dyDescent="0.2">
      <c r="A244" s="9" t="s">
        <v>993</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x14ac:dyDescent="0.2">
      <c r="A245" s="9" t="s">
        <v>992</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x14ac:dyDescent="0.2">
      <c r="A246" s="9" t="s">
        <v>991</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x14ac:dyDescent="0.2">
      <c r="A247" s="9" t="s">
        <v>990</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9" t="s">
        <v>990</v>
      </c>
      <c r="O247" s="9">
        <v>246</v>
      </c>
      <c r="P247" s="9" t="s">
        <v>91</v>
      </c>
      <c r="Q247" s="9" t="s">
        <v>435</v>
      </c>
      <c r="R247" s="9" t="s">
        <v>441</v>
      </c>
      <c r="S247" s="9" t="s">
        <v>92</v>
      </c>
      <c r="T247" s="9" t="s">
        <v>89</v>
      </c>
      <c r="U247" s="9" t="s">
        <v>94</v>
      </c>
      <c r="V247" s="9" t="s">
        <v>443</v>
      </c>
      <c r="W247" s="9" t="s">
        <v>436</v>
      </c>
    </row>
    <row r="248" spans="1:23" x14ac:dyDescent="0.2">
      <c r="A248" s="9" t="s">
        <v>989</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x14ac:dyDescent="0.2">
      <c r="A249" s="9" t="s">
        <v>988</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x14ac:dyDescent="0.2">
      <c r="A250" s="9" t="s">
        <v>987</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x14ac:dyDescent="0.2">
      <c r="A251" s="9" t="s">
        <v>986</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x14ac:dyDescent="0.2">
      <c r="A252" s="9" t="s">
        <v>985</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x14ac:dyDescent="0.2">
      <c r="A253" s="9" t="s">
        <v>984</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x14ac:dyDescent="0.2">
      <c r="A254" s="9" t="s">
        <v>983</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x14ac:dyDescent="0.2">
      <c r="A255" s="9" t="s">
        <v>982</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x14ac:dyDescent="0.2">
      <c r="A256" s="9" t="s">
        <v>981</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x14ac:dyDescent="0.2">
      <c r="A257" s="9" t="s">
        <v>980</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x14ac:dyDescent="0.2">
      <c r="A258" s="9" t="s">
        <v>979</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x14ac:dyDescent="0.2">
      <c r="A259" s="9" t="s">
        <v>978</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x14ac:dyDescent="0.2">
      <c r="A260" s="9" t="s">
        <v>977</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x14ac:dyDescent="0.2">
      <c r="A261" s="9" t="s">
        <v>976</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x14ac:dyDescent="0.2">
      <c r="A262" s="9" t="s">
        <v>975</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9" t="s">
        <v>975</v>
      </c>
      <c r="O262" s="9">
        <v>261</v>
      </c>
      <c r="P262" s="9" t="s">
        <v>436</v>
      </c>
      <c r="Q262" s="9" t="s">
        <v>435</v>
      </c>
      <c r="R262" s="9" t="s">
        <v>441</v>
      </c>
      <c r="S262" s="9" t="s">
        <v>91</v>
      </c>
      <c r="T262" s="9" t="s">
        <v>89</v>
      </c>
      <c r="U262" s="9" t="s">
        <v>92</v>
      </c>
      <c r="V262" s="9" t="s">
        <v>443</v>
      </c>
      <c r="W262" s="9" t="s">
        <v>93</v>
      </c>
    </row>
    <row r="263" spans="1:23" x14ac:dyDescent="0.2">
      <c r="A263" s="9" t="s">
        <v>974</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x14ac:dyDescent="0.2">
      <c r="A264" s="9" t="s">
        <v>973</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x14ac:dyDescent="0.2">
      <c r="A265" s="9" t="s">
        <v>972</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x14ac:dyDescent="0.2">
      <c r="A266" s="9" t="s">
        <v>971</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x14ac:dyDescent="0.2">
      <c r="A267" s="9" t="s">
        <v>970</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x14ac:dyDescent="0.2">
      <c r="A268" s="9" t="s">
        <v>969</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x14ac:dyDescent="0.2">
      <c r="A269" s="9" t="s">
        <v>968</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x14ac:dyDescent="0.2">
      <c r="A270" s="9" t="s">
        <v>967</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x14ac:dyDescent="0.2">
      <c r="A271" s="9" t="s">
        <v>966</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x14ac:dyDescent="0.2">
      <c r="A272" s="9" t="s">
        <v>965</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9" t="s">
        <v>965</v>
      </c>
      <c r="O272" s="9">
        <v>271</v>
      </c>
      <c r="P272" s="9" t="s">
        <v>436</v>
      </c>
      <c r="Q272" s="9" t="s">
        <v>441</v>
      </c>
      <c r="R272" s="9" t="s">
        <v>94</v>
      </c>
      <c r="S272" s="9" t="s">
        <v>91</v>
      </c>
      <c r="T272" s="9" t="s">
        <v>89</v>
      </c>
      <c r="U272" s="9" t="s">
        <v>92</v>
      </c>
      <c r="V272" s="9" t="s">
        <v>443</v>
      </c>
      <c r="W272" s="9" t="s">
        <v>93</v>
      </c>
    </row>
    <row r="273" spans="1:23" x14ac:dyDescent="0.2">
      <c r="A273" s="9" t="s">
        <v>964</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x14ac:dyDescent="0.2">
      <c r="A274" s="9" t="s">
        <v>963</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x14ac:dyDescent="0.2">
      <c r="A275" s="9" t="s">
        <v>962</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x14ac:dyDescent="0.2">
      <c r="A276" s="9" t="s">
        <v>961</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x14ac:dyDescent="0.2">
      <c r="A277" s="9" t="s">
        <v>960</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x14ac:dyDescent="0.2">
      <c r="A278" s="9" t="s">
        <v>586</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9" t="s">
        <v>586</v>
      </c>
      <c r="O278" s="9">
        <v>277</v>
      </c>
      <c r="P278" s="9" t="s">
        <v>91</v>
      </c>
      <c r="Q278" s="9" t="s">
        <v>435</v>
      </c>
      <c r="R278" s="9" t="s">
        <v>441</v>
      </c>
      <c r="S278" s="9" t="s">
        <v>92</v>
      </c>
      <c r="T278" s="9" t="s">
        <v>89</v>
      </c>
      <c r="U278" s="9" t="s">
        <v>94</v>
      </c>
      <c r="V278" s="9" t="s">
        <v>443</v>
      </c>
      <c r="W278" s="9" t="s">
        <v>93</v>
      </c>
    </row>
    <row r="279" spans="1:23" x14ac:dyDescent="0.2">
      <c r="A279" s="9" t="s">
        <v>585</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x14ac:dyDescent="0.2">
      <c r="A280" s="9" t="s">
        <v>584</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x14ac:dyDescent="0.2">
      <c r="A281" s="9" t="s">
        <v>583</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x14ac:dyDescent="0.2">
      <c r="A282" s="9" t="s">
        <v>582</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x14ac:dyDescent="0.2">
      <c r="A283" s="9" t="s">
        <v>581</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9" t="s">
        <v>581</v>
      </c>
      <c r="O283" s="9">
        <v>282</v>
      </c>
      <c r="P283" s="9" t="s">
        <v>436</v>
      </c>
      <c r="Q283" s="9" t="s">
        <v>435</v>
      </c>
      <c r="R283" s="9" t="s">
        <v>94</v>
      </c>
      <c r="S283" s="9" t="s">
        <v>91</v>
      </c>
      <c r="T283" s="9" t="s">
        <v>89</v>
      </c>
      <c r="U283" s="9" t="s">
        <v>92</v>
      </c>
      <c r="V283" s="9" t="s">
        <v>443</v>
      </c>
      <c r="W283" s="9" t="s">
        <v>93</v>
      </c>
    </row>
    <row r="284" spans="1:23" x14ac:dyDescent="0.2">
      <c r="A284" s="9" t="s">
        <v>580</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x14ac:dyDescent="0.2">
      <c r="A285" s="9" t="s">
        <v>579</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9" t="s">
        <v>579</v>
      </c>
      <c r="O285" s="9">
        <v>284</v>
      </c>
      <c r="P285" s="9" t="s">
        <v>436</v>
      </c>
      <c r="Q285" s="9" t="s">
        <v>435</v>
      </c>
      <c r="R285" s="9" t="s">
        <v>441</v>
      </c>
      <c r="S285" s="9" t="s">
        <v>91</v>
      </c>
      <c r="T285" s="9" t="s">
        <v>89</v>
      </c>
      <c r="U285" s="9" t="s">
        <v>94</v>
      </c>
      <c r="V285" s="9" t="s">
        <v>92</v>
      </c>
      <c r="W285" s="9" t="s">
        <v>93</v>
      </c>
    </row>
    <row r="286" spans="1:23" x14ac:dyDescent="0.2">
      <c r="A286" s="9" t="s">
        <v>578</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x14ac:dyDescent="0.2">
      <c r="A287" s="9" t="s">
        <v>959</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x14ac:dyDescent="0.2">
      <c r="A288" s="9" t="s">
        <v>958</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x14ac:dyDescent="0.2">
      <c r="A289" s="9" t="s">
        <v>957</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x14ac:dyDescent="0.2">
      <c r="A290" s="9" t="s">
        <v>956</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x14ac:dyDescent="0.2">
      <c r="A291" s="9" t="s">
        <v>955</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x14ac:dyDescent="0.2">
      <c r="A292" s="9" t="s">
        <v>954</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x14ac:dyDescent="0.2">
      <c r="A293" s="9" t="s">
        <v>953</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x14ac:dyDescent="0.2">
      <c r="A294" s="9" t="s">
        <v>952</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x14ac:dyDescent="0.2">
      <c r="A295" s="9" t="s">
        <v>951</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x14ac:dyDescent="0.2">
      <c r="A296" s="9" t="s">
        <v>950</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x14ac:dyDescent="0.2">
      <c r="A297" s="9" t="s">
        <v>949</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x14ac:dyDescent="0.2">
      <c r="A298" s="9" t="s">
        <v>948</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x14ac:dyDescent="0.2">
      <c r="A299" s="9" t="s">
        <v>947</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x14ac:dyDescent="0.2">
      <c r="A300" s="9" t="s">
        <v>946</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x14ac:dyDescent="0.2">
      <c r="A301" s="9" t="s">
        <v>945</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x14ac:dyDescent="0.2">
      <c r="A302" s="9" t="s">
        <v>944</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x14ac:dyDescent="0.2">
      <c r="A303" s="9" t="s">
        <v>943</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x14ac:dyDescent="0.2">
      <c r="A304" s="9" t="s">
        <v>942</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x14ac:dyDescent="0.2">
      <c r="A305" s="9" t="s">
        <v>941</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x14ac:dyDescent="0.2">
      <c r="A306" s="9" t="s">
        <v>940</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x14ac:dyDescent="0.2">
      <c r="A307" s="9" t="s">
        <v>939</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x14ac:dyDescent="0.2">
      <c r="A308" s="9" t="s">
        <v>938</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x14ac:dyDescent="0.2">
      <c r="A309" s="9" t="s">
        <v>937</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x14ac:dyDescent="0.2">
      <c r="A310" s="9" t="s">
        <v>936</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9" t="s">
        <v>936</v>
      </c>
      <c r="O310" s="9">
        <v>309</v>
      </c>
      <c r="P310" s="9" t="s">
        <v>436</v>
      </c>
      <c r="Q310" s="9" t="s">
        <v>441</v>
      </c>
      <c r="R310" s="9" t="s">
        <v>90</v>
      </c>
      <c r="S310" s="9" t="s">
        <v>94</v>
      </c>
      <c r="T310" s="9" t="s">
        <v>89</v>
      </c>
      <c r="U310" s="9" t="s">
        <v>435</v>
      </c>
      <c r="V310" s="9" t="s">
        <v>443</v>
      </c>
      <c r="W310" s="9" t="s">
        <v>93</v>
      </c>
    </row>
    <row r="311" spans="1:23" x14ac:dyDescent="0.2">
      <c r="A311" s="9" t="s">
        <v>935</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x14ac:dyDescent="0.2">
      <c r="A312" s="9" t="s">
        <v>934</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x14ac:dyDescent="0.2">
      <c r="A313" s="9" t="s">
        <v>933</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x14ac:dyDescent="0.2">
      <c r="A314" s="9" t="s">
        <v>932</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x14ac:dyDescent="0.2">
      <c r="A315" s="9" t="s">
        <v>931</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x14ac:dyDescent="0.2">
      <c r="A316" s="9" t="s">
        <v>930</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x14ac:dyDescent="0.2">
      <c r="A317" s="9" t="s">
        <v>929</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x14ac:dyDescent="0.2">
      <c r="A318" s="9" t="s">
        <v>928</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x14ac:dyDescent="0.2">
      <c r="A319" s="9" t="s">
        <v>927</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x14ac:dyDescent="0.2">
      <c r="A320" s="9" t="s">
        <v>926</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x14ac:dyDescent="0.2">
      <c r="A321" s="9" t="s">
        <v>925</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x14ac:dyDescent="0.2">
      <c r="A322" s="9" t="s">
        <v>924</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x14ac:dyDescent="0.2">
      <c r="A323" s="9" t="s">
        <v>923</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x14ac:dyDescent="0.2">
      <c r="A324" s="9" t="s">
        <v>922</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x14ac:dyDescent="0.2">
      <c r="A325" s="9" t="s">
        <v>921</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x14ac:dyDescent="0.2">
      <c r="A326" s="9" t="s">
        <v>920</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x14ac:dyDescent="0.2">
      <c r="A327" s="9" t="s">
        <v>919</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x14ac:dyDescent="0.2">
      <c r="A328" s="9" t="s">
        <v>918</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x14ac:dyDescent="0.2">
      <c r="A329" s="9" t="s">
        <v>917</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x14ac:dyDescent="0.2">
      <c r="A330" s="9" t="s">
        <v>916</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x14ac:dyDescent="0.2">
      <c r="A331" s="9" t="s">
        <v>915</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x14ac:dyDescent="0.2">
      <c r="A332" s="9" t="s">
        <v>914</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x14ac:dyDescent="0.2">
      <c r="A333" s="9" t="s">
        <v>913</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x14ac:dyDescent="0.2">
      <c r="A334" s="9" t="s">
        <v>912</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x14ac:dyDescent="0.2">
      <c r="A335" s="9" t="s">
        <v>911</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x14ac:dyDescent="0.2">
      <c r="A336" s="9" t="s">
        <v>910</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x14ac:dyDescent="0.2">
      <c r="A337" s="9" t="s">
        <v>909</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x14ac:dyDescent="0.2">
      <c r="A338" s="9" t="s">
        <v>908</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x14ac:dyDescent="0.2">
      <c r="A339" s="9" t="s">
        <v>907</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x14ac:dyDescent="0.2">
      <c r="A340" s="9" t="s">
        <v>906</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x14ac:dyDescent="0.2">
      <c r="A341" s="9" t="s">
        <v>905</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x14ac:dyDescent="0.2">
      <c r="A342" s="9" t="s">
        <v>904</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x14ac:dyDescent="0.2">
      <c r="A343" s="9" t="s">
        <v>903</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x14ac:dyDescent="0.2">
      <c r="A344" s="9" t="s">
        <v>902</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x14ac:dyDescent="0.2">
      <c r="A345" s="9" t="s">
        <v>901</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x14ac:dyDescent="0.2">
      <c r="A346" s="9" t="s">
        <v>900</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9" t="s">
        <v>900</v>
      </c>
      <c r="O346" s="9">
        <v>345</v>
      </c>
      <c r="P346" s="9" t="s">
        <v>436</v>
      </c>
      <c r="Q346" s="9" t="s">
        <v>441</v>
      </c>
      <c r="R346" s="9" t="s">
        <v>90</v>
      </c>
      <c r="S346" s="9" t="s">
        <v>92</v>
      </c>
      <c r="T346" s="9" t="s">
        <v>89</v>
      </c>
      <c r="U346" s="9" t="s">
        <v>435</v>
      </c>
      <c r="V346" s="9" t="s">
        <v>443</v>
      </c>
      <c r="W346" s="9" t="s">
        <v>93</v>
      </c>
    </row>
    <row r="347" spans="1:23" x14ac:dyDescent="0.2">
      <c r="A347" s="9" t="s">
        <v>899</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x14ac:dyDescent="0.2">
      <c r="A348" s="9" t="s">
        <v>898</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x14ac:dyDescent="0.2">
      <c r="A349" s="9" t="s">
        <v>897</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x14ac:dyDescent="0.2">
      <c r="A350" s="9" t="s">
        <v>896</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x14ac:dyDescent="0.2">
      <c r="A351" s="9" t="s">
        <v>895</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x14ac:dyDescent="0.2">
      <c r="A352" s="9" t="s">
        <v>894</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x14ac:dyDescent="0.2">
      <c r="A353" s="9" t="s">
        <v>893</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x14ac:dyDescent="0.2">
      <c r="A354" s="9" t="s">
        <v>892</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x14ac:dyDescent="0.2">
      <c r="A355" s="9" t="s">
        <v>891</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x14ac:dyDescent="0.2">
      <c r="A356" s="9" t="s">
        <v>890</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9" t="s">
        <v>890</v>
      </c>
      <c r="O356" s="9">
        <v>355</v>
      </c>
      <c r="P356" s="9" t="s">
        <v>436</v>
      </c>
      <c r="Q356" s="9" t="s">
        <v>441</v>
      </c>
      <c r="R356" s="9" t="s">
        <v>90</v>
      </c>
      <c r="S356" s="9" t="s">
        <v>92</v>
      </c>
      <c r="T356" s="9" t="s">
        <v>89</v>
      </c>
      <c r="U356" s="9" t="s">
        <v>94</v>
      </c>
      <c r="V356" s="9" t="s">
        <v>443</v>
      </c>
      <c r="W356" s="9" t="s">
        <v>93</v>
      </c>
    </row>
    <row r="357" spans="1:23" x14ac:dyDescent="0.2">
      <c r="A357" s="9" t="s">
        <v>889</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x14ac:dyDescent="0.2">
      <c r="A358" s="9" t="s">
        <v>888</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x14ac:dyDescent="0.2">
      <c r="A359" s="9" t="s">
        <v>887</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x14ac:dyDescent="0.2">
      <c r="A360" s="9" t="s">
        <v>886</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x14ac:dyDescent="0.2">
      <c r="A361" s="9" t="s">
        <v>885</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x14ac:dyDescent="0.2">
      <c r="A362" s="9" t="s">
        <v>884</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x14ac:dyDescent="0.2">
      <c r="A363" s="9" t="s">
        <v>883</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x14ac:dyDescent="0.2">
      <c r="A364" s="9" t="s">
        <v>882</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x14ac:dyDescent="0.2">
      <c r="A365" s="9" t="s">
        <v>881</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x14ac:dyDescent="0.2">
      <c r="A366" s="9" t="s">
        <v>880</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x14ac:dyDescent="0.2">
      <c r="A367" s="9" t="s">
        <v>879</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9" t="s">
        <v>879</v>
      </c>
      <c r="O367" s="9">
        <v>366</v>
      </c>
      <c r="P367" s="9" t="s">
        <v>436</v>
      </c>
      <c r="Q367" s="9" t="s">
        <v>435</v>
      </c>
      <c r="R367" s="9" t="s">
        <v>90</v>
      </c>
      <c r="S367" s="9" t="s">
        <v>92</v>
      </c>
      <c r="T367" s="9" t="s">
        <v>89</v>
      </c>
      <c r="U367" s="9" t="s">
        <v>94</v>
      </c>
      <c r="V367" s="9" t="s">
        <v>443</v>
      </c>
      <c r="W367" s="9" t="s">
        <v>93</v>
      </c>
    </row>
    <row r="368" spans="1:23" x14ac:dyDescent="0.2">
      <c r="A368" s="9" t="s">
        <v>878</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x14ac:dyDescent="0.2">
      <c r="A369" s="9" t="s">
        <v>877</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x14ac:dyDescent="0.2">
      <c r="A370" s="9" t="s">
        <v>876</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x14ac:dyDescent="0.2">
      <c r="A371" s="9" t="s">
        <v>875</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x14ac:dyDescent="0.2">
      <c r="A372" s="9" t="s">
        <v>874</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x14ac:dyDescent="0.2">
      <c r="A373" s="9" t="s">
        <v>873</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x14ac:dyDescent="0.2">
      <c r="A374" s="9" t="s">
        <v>872</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x14ac:dyDescent="0.2">
      <c r="A375" s="9" t="s">
        <v>871</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x14ac:dyDescent="0.2">
      <c r="A376" s="9" t="s">
        <v>870</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x14ac:dyDescent="0.2">
      <c r="A377" s="9" t="s">
        <v>869</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x14ac:dyDescent="0.2">
      <c r="A378" s="9" t="s">
        <v>868</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x14ac:dyDescent="0.2">
      <c r="A379" s="9" t="s">
        <v>867</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x14ac:dyDescent="0.2">
      <c r="A380" s="9" t="s">
        <v>866</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x14ac:dyDescent="0.2">
      <c r="A381" s="9" t="s">
        <v>865</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x14ac:dyDescent="0.2">
      <c r="A382" s="9" t="s">
        <v>864</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x14ac:dyDescent="0.2">
      <c r="A383" s="9" t="s">
        <v>863</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x14ac:dyDescent="0.2">
      <c r="A384" s="9" t="s">
        <v>862</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x14ac:dyDescent="0.2">
      <c r="A385" s="9" t="s">
        <v>861</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x14ac:dyDescent="0.2">
      <c r="A386" s="9" t="s">
        <v>860</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x14ac:dyDescent="0.2">
      <c r="A387" s="9" t="s">
        <v>859</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x14ac:dyDescent="0.2">
      <c r="A388" s="9" t="s">
        <v>858</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x14ac:dyDescent="0.2">
      <c r="A389" s="9" t="s">
        <v>857</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x14ac:dyDescent="0.2">
      <c r="A390" s="9" t="s">
        <v>856</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x14ac:dyDescent="0.2">
      <c r="A391" s="9" t="s">
        <v>855</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x14ac:dyDescent="0.2">
      <c r="A392" s="9" t="s">
        <v>854</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x14ac:dyDescent="0.2">
      <c r="A393" s="9" t="s">
        <v>853</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x14ac:dyDescent="0.2">
      <c r="A394" s="9" t="s">
        <v>852</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x14ac:dyDescent="0.2">
      <c r="A395" s="9" t="s">
        <v>851</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x14ac:dyDescent="0.2">
      <c r="A396" s="9" t="s">
        <v>850</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x14ac:dyDescent="0.2">
      <c r="A397" s="9" t="s">
        <v>849</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x14ac:dyDescent="0.2">
      <c r="A398" s="9" t="s">
        <v>848</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x14ac:dyDescent="0.2">
      <c r="A399" s="9" t="s">
        <v>847</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x14ac:dyDescent="0.2">
      <c r="A400" s="9" t="s">
        <v>846</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x14ac:dyDescent="0.2">
      <c r="A401" s="9" t="s">
        <v>845</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x14ac:dyDescent="0.2">
      <c r="A402" s="9" t="s">
        <v>844</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9" t="s">
        <v>844</v>
      </c>
      <c r="O402" s="9">
        <v>401</v>
      </c>
      <c r="P402" s="9" t="s">
        <v>436</v>
      </c>
      <c r="Q402" s="9" t="s">
        <v>441</v>
      </c>
      <c r="R402" s="9" t="s">
        <v>90</v>
      </c>
      <c r="S402" s="9" t="s">
        <v>91</v>
      </c>
      <c r="T402" s="9" t="s">
        <v>89</v>
      </c>
      <c r="U402" s="9" t="s">
        <v>435</v>
      </c>
      <c r="V402" s="9" t="s">
        <v>443</v>
      </c>
      <c r="W402" s="9" t="s">
        <v>93</v>
      </c>
    </row>
    <row r="403" spans="1:23" x14ac:dyDescent="0.2">
      <c r="A403" s="9" t="s">
        <v>843</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x14ac:dyDescent="0.2">
      <c r="A404" s="9" t="s">
        <v>842</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x14ac:dyDescent="0.2">
      <c r="A405" s="9" t="s">
        <v>841</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x14ac:dyDescent="0.2">
      <c r="A406" s="9" t="s">
        <v>840</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x14ac:dyDescent="0.2">
      <c r="A407" s="9" t="s">
        <v>839</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x14ac:dyDescent="0.2">
      <c r="A408" s="9" t="s">
        <v>838</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x14ac:dyDescent="0.2">
      <c r="A409" s="9" t="s">
        <v>837</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x14ac:dyDescent="0.2">
      <c r="A410" s="9" t="s">
        <v>836</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x14ac:dyDescent="0.2">
      <c r="A411" s="9" t="s">
        <v>835</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x14ac:dyDescent="0.2">
      <c r="A412" s="9" t="s">
        <v>834</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9" t="s">
        <v>834</v>
      </c>
      <c r="O412" s="9">
        <v>411</v>
      </c>
      <c r="P412" s="9" t="s">
        <v>436</v>
      </c>
      <c r="Q412" s="9" t="s">
        <v>441</v>
      </c>
      <c r="R412" s="9" t="s">
        <v>90</v>
      </c>
      <c r="S412" s="9" t="s">
        <v>91</v>
      </c>
      <c r="T412" s="9" t="s">
        <v>89</v>
      </c>
      <c r="U412" s="9" t="s">
        <v>94</v>
      </c>
      <c r="V412" s="9" t="s">
        <v>443</v>
      </c>
      <c r="W412" s="9" t="s">
        <v>93</v>
      </c>
    </row>
    <row r="413" spans="1:23" x14ac:dyDescent="0.2">
      <c r="A413" s="9" t="s">
        <v>833</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x14ac:dyDescent="0.2">
      <c r="A414" s="9" t="s">
        <v>765</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x14ac:dyDescent="0.2">
      <c r="A415" s="9" t="s">
        <v>832</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x14ac:dyDescent="0.2">
      <c r="A416" s="9" t="s">
        <v>831</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x14ac:dyDescent="0.2">
      <c r="A417" s="9" t="s">
        <v>830</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x14ac:dyDescent="0.2">
      <c r="A418" s="9" t="s">
        <v>829</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x14ac:dyDescent="0.2">
      <c r="A419" s="9" t="s">
        <v>828</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x14ac:dyDescent="0.2">
      <c r="A420" s="9" t="s">
        <v>827</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x14ac:dyDescent="0.2">
      <c r="A421" s="9" t="s">
        <v>826</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x14ac:dyDescent="0.2">
      <c r="A422" s="9" t="s">
        <v>825</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x14ac:dyDescent="0.2">
      <c r="A423" s="9" t="s">
        <v>824</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9" t="s">
        <v>824</v>
      </c>
      <c r="O423" s="9">
        <v>422</v>
      </c>
      <c r="P423" s="9" t="s">
        <v>436</v>
      </c>
      <c r="Q423" s="9" t="s">
        <v>435</v>
      </c>
      <c r="R423" s="9" t="s">
        <v>90</v>
      </c>
      <c r="S423" s="9" t="s">
        <v>91</v>
      </c>
      <c r="T423" s="9" t="s">
        <v>89</v>
      </c>
      <c r="U423" s="9" t="s">
        <v>94</v>
      </c>
      <c r="V423" s="9" t="s">
        <v>443</v>
      </c>
      <c r="W423" s="9" t="s">
        <v>93</v>
      </c>
    </row>
    <row r="424" spans="1:23" x14ac:dyDescent="0.2">
      <c r="A424" s="9" t="s">
        <v>823</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x14ac:dyDescent="0.2">
      <c r="A425" s="9" t="s">
        <v>822</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x14ac:dyDescent="0.2">
      <c r="A426" s="9" t="s">
        <v>821</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x14ac:dyDescent="0.2">
      <c r="A427" s="9" t="s">
        <v>820</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x14ac:dyDescent="0.2">
      <c r="A428" s="9" t="s">
        <v>819</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x14ac:dyDescent="0.2">
      <c r="A429" s="9" t="s">
        <v>818</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x14ac:dyDescent="0.2">
      <c r="A430" s="9" t="s">
        <v>817</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x14ac:dyDescent="0.2">
      <c r="A431" s="9" t="s">
        <v>816</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x14ac:dyDescent="0.2">
      <c r="A432" s="9" t="s">
        <v>815</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x14ac:dyDescent="0.2">
      <c r="A433" s="9" t="s">
        <v>814</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x14ac:dyDescent="0.2">
      <c r="A434" s="9" t="s">
        <v>813</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x14ac:dyDescent="0.2">
      <c r="A435" s="9" t="s">
        <v>812</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x14ac:dyDescent="0.2">
      <c r="A436" s="9" t="s">
        <v>811</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x14ac:dyDescent="0.2">
      <c r="A437" s="9" t="s">
        <v>810</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x14ac:dyDescent="0.2">
      <c r="A438" s="9" t="s">
        <v>809</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x14ac:dyDescent="0.2">
      <c r="A439" s="9" t="s">
        <v>808</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x14ac:dyDescent="0.2">
      <c r="A440" s="9" t="s">
        <v>807</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x14ac:dyDescent="0.2">
      <c r="A441" s="9" t="s">
        <v>806</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x14ac:dyDescent="0.2">
      <c r="A442" s="9" t="s">
        <v>805</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x14ac:dyDescent="0.2">
      <c r="A443" s="9" t="s">
        <v>804</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x14ac:dyDescent="0.2">
      <c r="A444" s="9" t="s">
        <v>803</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x14ac:dyDescent="0.2">
      <c r="A445" s="9" t="s">
        <v>802</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x14ac:dyDescent="0.2">
      <c r="A446" s="9" t="s">
        <v>801</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x14ac:dyDescent="0.2">
      <c r="A447" s="9" t="s">
        <v>800</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9" t="s">
        <v>800</v>
      </c>
      <c r="O447" s="9">
        <v>446</v>
      </c>
      <c r="P447" s="9" t="s">
        <v>91</v>
      </c>
      <c r="Q447" s="9" t="s">
        <v>441</v>
      </c>
      <c r="R447" s="9" t="s">
        <v>90</v>
      </c>
      <c r="S447" s="9" t="s">
        <v>92</v>
      </c>
      <c r="T447" s="9" t="s">
        <v>89</v>
      </c>
      <c r="U447" s="9" t="s">
        <v>94</v>
      </c>
      <c r="V447" s="9" t="s">
        <v>443</v>
      </c>
      <c r="W447" s="9" t="s">
        <v>436</v>
      </c>
    </row>
    <row r="448" spans="1:23" x14ac:dyDescent="0.2">
      <c r="A448" s="9" t="s">
        <v>799</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x14ac:dyDescent="0.2">
      <c r="A449" s="9" t="s">
        <v>798</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x14ac:dyDescent="0.2">
      <c r="A450" s="9" t="s">
        <v>797</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x14ac:dyDescent="0.2">
      <c r="A451" s="9" t="s">
        <v>796</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x14ac:dyDescent="0.2">
      <c r="A452" s="9" t="s">
        <v>795</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x14ac:dyDescent="0.2">
      <c r="A453" s="9" t="s">
        <v>794</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x14ac:dyDescent="0.2">
      <c r="A454" s="9" t="s">
        <v>793</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x14ac:dyDescent="0.2">
      <c r="A455" s="9" t="s">
        <v>792</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x14ac:dyDescent="0.2">
      <c r="A456" s="9" t="s">
        <v>791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x14ac:dyDescent="0.2">
      <c r="A457" s="9" t="s">
        <v>790</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x14ac:dyDescent="0.2">
      <c r="A458" s="9" t="s">
        <v>789</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9" t="s">
        <v>789</v>
      </c>
      <c r="O458" s="9">
        <v>457</v>
      </c>
      <c r="P458" s="9" t="s">
        <v>91</v>
      </c>
      <c r="Q458" s="9" t="s">
        <v>435</v>
      </c>
      <c r="R458" s="9" t="s">
        <v>90</v>
      </c>
      <c r="S458" s="9" t="s">
        <v>92</v>
      </c>
      <c r="T458" s="9" t="s">
        <v>89</v>
      </c>
      <c r="U458" s="9" t="s">
        <v>94</v>
      </c>
      <c r="V458" s="9" t="s">
        <v>443</v>
      </c>
      <c r="W458" s="9" t="s">
        <v>436</v>
      </c>
    </row>
    <row r="459" spans="1:23" x14ac:dyDescent="0.2">
      <c r="A459" s="9" t="s">
        <v>788</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x14ac:dyDescent="0.2">
      <c r="A460" s="9" t="s">
        <v>787</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x14ac:dyDescent="0.2">
      <c r="A461" s="9" t="s">
        <v>786</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x14ac:dyDescent="0.2">
      <c r="A462" s="9" t="s">
        <v>785</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x14ac:dyDescent="0.2">
      <c r="A463" s="9" t="s">
        <v>784</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x14ac:dyDescent="0.2">
      <c r="A464" s="9" t="s">
        <v>783</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x14ac:dyDescent="0.2">
      <c r="A465" s="9" t="s">
        <v>782</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x14ac:dyDescent="0.2">
      <c r="A466" s="9" t="s">
        <v>781</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x14ac:dyDescent="0.2">
      <c r="A467" s="9" t="s">
        <v>780</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9" t="s">
        <v>780</v>
      </c>
      <c r="O467" s="9">
        <v>466</v>
      </c>
      <c r="P467" s="9" t="s">
        <v>436</v>
      </c>
      <c r="Q467" s="9" t="s">
        <v>441</v>
      </c>
      <c r="R467" s="9" t="s">
        <v>90</v>
      </c>
      <c r="S467" s="9" t="s">
        <v>91</v>
      </c>
      <c r="T467" s="9" t="s">
        <v>89</v>
      </c>
      <c r="U467" s="9" t="s">
        <v>92</v>
      </c>
      <c r="V467" s="9" t="s">
        <v>443</v>
      </c>
      <c r="W467" s="9" t="s">
        <v>93</v>
      </c>
    </row>
    <row r="468" spans="1:23" x14ac:dyDescent="0.2">
      <c r="A468" s="9" t="s">
        <v>779</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x14ac:dyDescent="0.2">
      <c r="A469" s="9" t="s">
        <v>778</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x14ac:dyDescent="0.2">
      <c r="A470" s="9" t="s">
        <v>777</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x14ac:dyDescent="0.2">
      <c r="A471" s="9" t="s">
        <v>776</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x14ac:dyDescent="0.2">
      <c r="A472" s="9" t="s">
        <v>775</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x14ac:dyDescent="0.2">
      <c r="A473" s="9" t="s">
        <v>774</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x14ac:dyDescent="0.2">
      <c r="A474" s="9" t="s">
        <v>773</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x14ac:dyDescent="0.2">
      <c r="A475" s="9" t="s">
        <v>772</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x14ac:dyDescent="0.2">
      <c r="A476" s="9" t="s">
        <v>771</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x14ac:dyDescent="0.2">
      <c r="A477" s="9" t="s">
        <v>770</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x14ac:dyDescent="0.2">
      <c r="A478" s="9" t="s">
        <v>769</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9" t="s">
        <v>769</v>
      </c>
      <c r="O478" s="9">
        <v>477</v>
      </c>
      <c r="P478" s="9" t="s">
        <v>436</v>
      </c>
      <c r="Q478" s="9" t="s">
        <v>435</v>
      </c>
      <c r="R478" s="9" t="s">
        <v>90</v>
      </c>
      <c r="S478" s="9" t="s">
        <v>91</v>
      </c>
      <c r="T478" s="9" t="s">
        <v>89</v>
      </c>
      <c r="U478" s="9" t="s">
        <v>92</v>
      </c>
      <c r="V478" s="9" t="s">
        <v>443</v>
      </c>
      <c r="W478" s="9" t="s">
        <v>93</v>
      </c>
    </row>
    <row r="479" spans="1:23" x14ac:dyDescent="0.2">
      <c r="A479" s="9" t="s">
        <v>768</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x14ac:dyDescent="0.2">
      <c r="A480" s="9" t="s">
        <v>767</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x14ac:dyDescent="0.2">
      <c r="A481" s="9" t="s">
        <v>766</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x14ac:dyDescent="0.2">
      <c r="A482" s="9" t="s">
        <v>459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x14ac:dyDescent="0.2">
      <c r="A483" s="9" t="s">
        <v>458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9" t="s">
        <v>458</v>
      </c>
      <c r="O483" s="9">
        <v>482</v>
      </c>
      <c r="P483" s="9" t="s">
        <v>91</v>
      </c>
      <c r="Q483" s="9" t="s">
        <v>441</v>
      </c>
      <c r="R483" s="9" t="s">
        <v>90</v>
      </c>
      <c r="S483" s="9" t="s">
        <v>92</v>
      </c>
      <c r="T483" s="9" t="s">
        <v>89</v>
      </c>
      <c r="U483" s="9" t="s">
        <v>94</v>
      </c>
      <c r="V483" s="9" t="s">
        <v>443</v>
      </c>
      <c r="W483" s="9" t="s">
        <v>93</v>
      </c>
    </row>
    <row r="484" spans="1:23" x14ac:dyDescent="0.2">
      <c r="A484" s="9" t="s">
        <v>457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x14ac:dyDescent="0.2">
      <c r="A485" s="9" t="s">
        <v>456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x14ac:dyDescent="0.2">
      <c r="A486" s="9" t="s">
        <v>455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x14ac:dyDescent="0.2">
      <c r="A487" s="9" t="s">
        <v>454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x14ac:dyDescent="0.2">
      <c r="A488" s="9" t="s">
        <v>453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9" t="s">
        <v>453</v>
      </c>
      <c r="O488" s="9">
        <v>487</v>
      </c>
      <c r="P488" s="9" t="s">
        <v>436</v>
      </c>
      <c r="Q488" s="9" t="s">
        <v>94</v>
      </c>
      <c r="R488" s="9" t="s">
        <v>90</v>
      </c>
      <c r="S488" s="9" t="s">
        <v>91</v>
      </c>
      <c r="T488" s="9" t="s">
        <v>89</v>
      </c>
      <c r="U488" s="9" t="s">
        <v>92</v>
      </c>
      <c r="V488" s="9" t="s">
        <v>443</v>
      </c>
      <c r="W488" s="9" t="s">
        <v>93</v>
      </c>
    </row>
    <row r="489" spans="1:23" x14ac:dyDescent="0.2">
      <c r="A489" s="9" t="s">
        <v>452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x14ac:dyDescent="0.2">
      <c r="A490" s="9" t="s">
        <v>451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9" t="s">
        <v>451</v>
      </c>
      <c r="O490" s="9">
        <v>489</v>
      </c>
      <c r="P490" s="9" t="s">
        <v>436</v>
      </c>
      <c r="Q490" s="9" t="s">
        <v>441</v>
      </c>
      <c r="R490" s="9" t="s">
        <v>90</v>
      </c>
      <c r="S490" s="9" t="s">
        <v>91</v>
      </c>
      <c r="T490" s="9" t="s">
        <v>89</v>
      </c>
      <c r="U490" s="9" t="s">
        <v>94</v>
      </c>
      <c r="V490" s="9" t="s">
        <v>92</v>
      </c>
      <c r="W490" s="9" t="s">
        <v>93</v>
      </c>
    </row>
    <row r="491" spans="1:23" x14ac:dyDescent="0.2">
      <c r="A491" s="9" t="s">
        <v>450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x14ac:dyDescent="0.2">
      <c r="A492" s="9" t="s">
        <v>449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9" t="s">
        <v>449</v>
      </c>
      <c r="O492" s="9">
        <v>491</v>
      </c>
      <c r="P492" s="9" t="s">
        <v>91</v>
      </c>
      <c r="Q492" s="9" t="s">
        <v>435</v>
      </c>
      <c r="R492" s="9" t="s">
        <v>90</v>
      </c>
      <c r="S492" s="9" t="s">
        <v>92</v>
      </c>
      <c r="T492" s="9" t="s">
        <v>89</v>
      </c>
      <c r="U492" s="9" t="s">
        <v>94</v>
      </c>
      <c r="V492" s="9" t="s">
        <v>443</v>
      </c>
      <c r="W492" s="9" t="s">
        <v>93</v>
      </c>
    </row>
    <row r="493" spans="1:23" x14ac:dyDescent="0.2">
      <c r="A493" s="9" t="s">
        <v>448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x14ac:dyDescent="0.2">
      <c r="A494" s="9" t="s">
        <v>447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x14ac:dyDescent="0.2">
      <c r="A495" s="9" t="s">
        <v>446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x14ac:dyDescent="0.2">
      <c r="A496" s="9" t="s">
        <v>445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9" t="s">
        <v>445</v>
      </c>
      <c r="O496" s="9">
        <v>495</v>
      </c>
      <c r="P496" s="9" t="s">
        <v>436</v>
      </c>
      <c r="Q496" s="9" t="s">
        <v>435</v>
      </c>
      <c r="R496" s="9" t="s">
        <v>90</v>
      </c>
      <c r="S496" s="9" t="s">
        <v>91</v>
      </c>
      <c r="T496" s="9" t="s">
        <v>89</v>
      </c>
      <c r="U496" s="9" t="s">
        <v>94</v>
      </c>
      <c r="V496" s="9" t="s">
        <v>92</v>
      </c>
      <c r="W496" s="9" t="s">
        <v>93</v>
      </c>
    </row>
    <row r="497" spans="1:2" x14ac:dyDescent="0.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5" x14ac:dyDescent="0.2"/>
  <cols>
    <col min="4" max="4" width="10.83203125" customWidth="1"/>
  </cols>
  <sheetData>
    <row r="1" spans="1:6" x14ac:dyDescent="0.2">
      <c r="A1" s="439"/>
      <c r="B1" s="459" t="str">
        <f>Idiomas!D515</f>
        <v>Gráfico solo en fase de grupos</v>
      </c>
      <c r="C1" s="439"/>
      <c r="D1" s="439"/>
      <c r="F1" s="439"/>
    </row>
    <row r="2" spans="1:6" x14ac:dyDescent="0.2">
      <c r="A2" s="418"/>
      <c r="B2" s="17"/>
      <c r="C2" s="17"/>
      <c r="D2" s="17"/>
    </row>
    <row r="3" spans="1:6" x14ac:dyDescent="0.2">
      <c r="A3" s="418"/>
      <c r="B3" s="17"/>
      <c r="C3" s="17"/>
      <c r="D3" s="17"/>
    </row>
    <row r="4" spans="1:6" x14ac:dyDescent="0.2">
      <c r="A4" s="418"/>
      <c r="B4" s="17"/>
      <c r="C4" s="17"/>
      <c r="D4" s="17"/>
    </row>
    <row r="5" spans="1:6" x14ac:dyDescent="0.2">
      <c r="A5" s="418"/>
      <c r="B5" s="17"/>
      <c r="C5" s="17"/>
      <c r="D5" s="17"/>
    </row>
    <row r="6" spans="1:6" x14ac:dyDescent="0.2">
      <c r="A6" s="418"/>
      <c r="B6" s="17"/>
      <c r="C6" s="17"/>
      <c r="D6" s="17"/>
    </row>
    <row r="7" spans="1:6" x14ac:dyDescent="0.2">
      <c r="A7" s="418"/>
      <c r="B7" s="17"/>
      <c r="C7" s="17"/>
      <c r="D7" s="17"/>
    </row>
    <row r="8" spans="1:6" x14ac:dyDescent="0.2">
      <c r="A8" s="418"/>
      <c r="B8" s="17"/>
      <c r="C8" s="17"/>
      <c r="D8" s="17"/>
    </row>
    <row r="9" spans="1:6" x14ac:dyDescent="0.2">
      <c r="A9" s="418"/>
      <c r="B9" s="17"/>
      <c r="C9" s="17"/>
      <c r="D9" s="17"/>
    </row>
    <row r="10" spans="1:6" x14ac:dyDescent="0.2">
      <c r="A10" s="418"/>
      <c r="B10" s="17"/>
      <c r="C10" s="17"/>
      <c r="D10" s="17"/>
    </row>
    <row r="11" spans="1:6" x14ac:dyDescent="0.2">
      <c r="A11" s="418"/>
      <c r="B11" s="17"/>
      <c r="C11" s="17"/>
      <c r="D11" s="17"/>
    </row>
    <row r="12" spans="1:6" x14ac:dyDescent="0.2">
      <c r="A12" s="418"/>
      <c r="B12" s="17"/>
      <c r="C12" s="17"/>
      <c r="D12" s="17"/>
    </row>
    <row r="13" spans="1:6" x14ac:dyDescent="0.2">
      <c r="A13" s="418"/>
      <c r="B13" s="17"/>
      <c r="C13" s="17"/>
      <c r="D13" s="17"/>
    </row>
    <row r="14" spans="1:6" x14ac:dyDescent="0.2">
      <c r="A14" s="418"/>
      <c r="B14" s="17"/>
      <c r="C14" s="17"/>
      <c r="D14" s="17"/>
    </row>
    <row r="15" spans="1:6" x14ac:dyDescent="0.2">
      <c r="A15" s="419"/>
      <c r="B15" s="420"/>
      <c r="C15" s="420"/>
      <c r="D15" s="420"/>
    </row>
    <row r="20" spans="1:2" x14ac:dyDescent="0.2">
      <c r="A20" s="27"/>
      <c r="B20" s="27"/>
    </row>
    <row r="32" spans="1:2" x14ac:dyDescent="0.2">
      <c r="A32" s="32"/>
      <c r="B32" s="35"/>
    </row>
    <row r="33" spans="1:2" x14ac:dyDescent="0.2">
      <c r="A33" s="32"/>
      <c r="B33" s="35"/>
    </row>
    <row r="34" spans="1:2" x14ac:dyDescent="0.2">
      <c r="A34" s="32"/>
      <c r="B34" s="35"/>
    </row>
    <row r="35" spans="1:2" x14ac:dyDescent="0.2">
      <c r="A35" s="32"/>
      <c r="B35" s="35"/>
    </row>
    <row r="36" spans="1:2" x14ac:dyDescent="0.2">
      <c r="A36" s="26"/>
      <c r="B36" s="27"/>
    </row>
    <row r="37" spans="1:2" x14ac:dyDescent="0.2">
      <c r="A37" s="26"/>
      <c r="B37" s="27"/>
    </row>
    <row r="38" spans="1:2" x14ac:dyDescent="0.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Pablo Crespo Bellido</cp:lastModifiedBy>
  <cp:lastPrinted>2018-12-06T18:06:35Z</cp:lastPrinted>
  <dcterms:created xsi:type="dcterms:W3CDTF">2015-10-31T09:41:54Z</dcterms:created>
  <dcterms:modified xsi:type="dcterms:W3CDTF">2026-07-20T09:51:19Z</dcterms:modified>
  <cp:category/>
</cp:coreProperties>
</file>