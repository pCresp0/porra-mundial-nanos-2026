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uis Antonio Moreno\Downloads\"/>
    </mc:Choice>
  </mc:AlternateContent>
  <xr:revisionPtr revIDLastSave="0" documentId="13_ncr:1_{918216F9-7D7E-4D68-B706-4D6DEC2A770C}"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10" yWindow="-110" windowWidth="19420" windowHeight="1056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81029"/>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E76" i="3" a="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I31" i="32"/>
  <c r="BC10" i="3"/>
  <c r="AI8" i="32"/>
  <c r="AB22" i="3" a="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I36" i="32"/>
  <c r="S86" i="32"/>
  <c r="R61" i="32"/>
  <c r="R58" i="32"/>
  <c r="T54" i="32"/>
  <c r="T75" i="32"/>
  <c r="R66" i="32"/>
  <c r="S68" i="32"/>
  <c r="AB24" i="3" a="1"/>
  <c r="AI17" i="32"/>
  <c r="S61" i="32"/>
  <c r="AI11" i="32"/>
  <c r="T66" i="32"/>
  <c r="R70" i="32"/>
  <c r="T71" i="32"/>
  <c r="R80" i="32"/>
  <c r="T55" i="32"/>
  <c r="AI9" i="32"/>
  <c r="S82" i="32"/>
  <c r="AI19" i="32"/>
  <c r="S60" i="32"/>
  <c r="AI3" i="32"/>
  <c r="S77" i="32"/>
  <c r="R60" i="32"/>
  <c r="T82" i="32"/>
  <c r="R86" i="32"/>
  <c r="AB71" i="3" a="1"/>
  <c r="AE13" i="3" a="1"/>
  <c r="AB14" i="3" a="1"/>
  <c r="AB64" i="3" a="1"/>
  <c r="AB20" i="3" a="1"/>
  <c r="A53" i="3"/>
  <c r="AY54" i="3" s="1"/>
  <c r="AB72" i="3" a="1"/>
  <c r="R23" i="45"/>
  <c r="AE72" i="3" a="1"/>
  <c r="R20" i="45"/>
  <c r="AE69" i="3" a="1"/>
  <c r="F36" i="45"/>
  <c r="AE37" i="3" a="1"/>
  <c r="F43" i="45"/>
  <c r="AE44" i="3" a="1"/>
  <c r="F46" i="45"/>
  <c r="AE47" i="3" a="1"/>
  <c r="O22" i="45"/>
  <c r="C40" i="45"/>
  <c r="AB41" i="3" a="1"/>
  <c r="C47" i="45"/>
  <c r="AB48" i="3" a="1"/>
  <c r="O21" i="45"/>
  <c r="AB70" i="3" a="1"/>
  <c r="C38" i="45"/>
  <c r="AB39" i="3" a="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A32" i="3"/>
  <c r="C31" i="45" s="1"/>
  <c r="AY33" i="3"/>
  <c r="AY96" i="3"/>
  <c r="AA93" i="3"/>
  <c r="AB93" i="3" s="1" a="1"/>
  <c r="AA97" i="3"/>
  <c r="AB97" i="3" s="1" a="1"/>
  <c r="AF95" i="3"/>
  <c r="R46" i="45" s="1"/>
  <c r="AF92" i="3"/>
  <c r="AE92" i="3" s="1" a="1"/>
  <c r="AA6" i="3"/>
  <c r="AB6" i="3" s="1" a="1"/>
  <c r="AY81" i="3"/>
  <c r="AB88" i="3" a="1"/>
  <c r="AB84" i="3" a="1"/>
  <c r="AE86" i="3" a="1"/>
  <c r="AE87" i="3" a="1"/>
  <c r="AE85" i="3" a="1"/>
  <c r="AE88" i="3" a="1"/>
  <c r="AE84" i="3" a="1"/>
  <c r="AB86" i="3" a="1"/>
  <c r="AE89" i="3" a="1"/>
  <c r="AB89" i="3" a="1"/>
  <c r="AB85" i="3" a="1"/>
  <c r="AB94" i="3" a="1"/>
  <c r="AE96" i="3" a="1"/>
  <c r="AB95" i="3" a="1"/>
  <c r="AE97" i="3" a="1"/>
  <c r="AB87" i="3" a="1"/>
  <c r="AE48" i="3" a="1"/>
  <c r="AB47" i="3" a="1"/>
  <c r="AB61" i="3" a="1"/>
  <c r="AE63" i="3" a="1"/>
  <c r="AE70" i="3" a="1"/>
  <c r="AB45" i="3" a="1"/>
  <c r="AB62" i="3" a="1"/>
  <c r="AE62" i="3" a="1"/>
  <c r="AE60" i="3" a="1"/>
  <c r="AE45" i="3" a="1"/>
  <c r="AB49" i="3" a="1"/>
  <c r="AE73" i="3" a="1"/>
  <c r="AB60" i="3" a="1"/>
  <c r="AB78" i="3" a="1"/>
  <c r="AE65" i="3" a="1"/>
  <c r="AB76" i="3" a="1"/>
  <c r="AB77" i="3" a="1"/>
  <c r="AB63" i="3" a="1"/>
  <c r="AE77" i="3" a="1"/>
  <c r="AB69" i="3" a="1"/>
  <c r="AE81" i="3" a="1"/>
  <c r="AE68" i="3" a="1"/>
  <c r="AE80" i="3" a="1"/>
  <c r="AE61" i="3" a="1"/>
  <c r="AE46" i="3" a="1"/>
  <c r="AB73" i="3" a="1"/>
  <c r="AB46" i="3" a="1"/>
  <c r="AE71" i="3" a="1"/>
  <c r="AE78" i="3" a="1"/>
  <c r="AB65" i="3" a="1"/>
  <c r="AF94" i="3"/>
  <c r="R45" i="45" s="1"/>
  <c r="AE32" i="3" a="1"/>
  <c r="AE39" i="3" a="1"/>
  <c r="AA79" i="3"/>
  <c r="B49" i="31" s="1"/>
  <c r="AB31" i="3" a="1"/>
  <c r="AB28" i="3" a="1"/>
  <c r="AA81" i="3"/>
  <c r="O32" i="45" s="1"/>
  <c r="F23" i="45"/>
  <c r="AE36" i="3" a="1"/>
  <c r="AE33" i="3" a="1"/>
  <c r="AA8" i="3"/>
  <c r="B54" i="31" s="1"/>
  <c r="AE25" i="3" a="1"/>
  <c r="AY9" i="3"/>
  <c r="AE40" i="3" a="1"/>
  <c r="AE23" i="3" a="1"/>
  <c r="AB40" i="3" a="1"/>
  <c r="AB29" i="3" a="1"/>
  <c r="AE30" i="3" a="1"/>
  <c r="AB25" i="3" a="1"/>
  <c r="AB33" i="3" a="1"/>
  <c r="AE38" i="3" a="1"/>
  <c r="AB36" i="3" a="1"/>
  <c r="AE28" i="3" a="1"/>
  <c r="AB21" i="3" a="1"/>
  <c r="AB30" i="3" a="1"/>
  <c r="AE31" i="3" a="1"/>
  <c r="AB37" i="3" a="1"/>
  <c r="AE17" i="3" a="1"/>
  <c r="AB13" i="3" a="1"/>
  <c r="BC6" i="3"/>
  <c r="AE14" i="3" a="1"/>
  <c r="AE12" i="3" a="1"/>
  <c r="AB12" i="3" a="1"/>
  <c r="AB17" i="3" a="1"/>
  <c r="AE15" i="3" a="1"/>
  <c r="F8" i="45"/>
  <c r="AE8" i="3" a="1"/>
  <c r="AB7" i="3" a="1"/>
  <c r="AE5" i="3" a="1"/>
  <c r="AB5" i="3" a="1"/>
  <c r="AB4" i="3" a="1"/>
  <c r="AE4" i="3" a="1"/>
  <c r="AA38" i="3"/>
  <c r="AF41" i="3"/>
  <c r="AY38" i="3"/>
  <c r="C35" i="45"/>
  <c r="AB56" i="3" a="1"/>
  <c r="AE56" i="3" a="1"/>
  <c r="AE53" i="3" a="1"/>
  <c r="AE52" i="3" a="1"/>
  <c r="AE55" i="3" a="1"/>
  <c r="AB55" i="3" a="1"/>
  <c r="AB57" i="3" a="1"/>
  <c r="F7" i="45"/>
  <c r="AE9" i="3" a="1"/>
  <c r="C4" i="45"/>
  <c r="AF93" i="3"/>
  <c r="AA96" i="3"/>
  <c r="C6" i="45"/>
  <c r="AY97" i="3"/>
  <c r="B31" i="31"/>
  <c r="AB92" i="3" a="1"/>
  <c r="AE7" i="3" a="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B10" i="31"/>
  <c r="AE20" i="3" a="1"/>
  <c r="B34" i="31"/>
  <c r="AE22" i="3" a="1"/>
  <c r="B58" i="31"/>
  <c r="AE24" i="3" a="1"/>
  <c r="C22" i="45"/>
  <c r="AB23" i="3" a="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60" i="31" l="1"/>
  <c r="AB32" i="3" a="1"/>
  <c r="B13" i="31"/>
  <c r="F28" i="45"/>
  <c r="R43" i="45"/>
  <c r="O44" i="45"/>
  <c r="B77" i="31"/>
  <c r="AE95" i="3" a="1"/>
  <c r="C5" i="45"/>
  <c r="B53" i="31"/>
  <c r="B28" i="31"/>
  <c r="O48" i="45"/>
  <c r="B73" i="31"/>
  <c r="B52" i="31"/>
  <c r="O30" i="45"/>
  <c r="AB8" i="3" a="1"/>
  <c r="C7" i="45"/>
  <c r="AE93" i="3" a="1"/>
  <c r="AE94" i="3" a="1"/>
  <c r="AB96" i="3" a="1"/>
  <c r="AE49" i="3" a="1"/>
  <c r="AB81" i="3" a="1"/>
  <c r="AB79" i="3" a="1"/>
  <c r="F40" i="45"/>
  <c r="AB38" i="3" a="1"/>
  <c r="AE16" i="3" a="1"/>
  <c r="AB15" i="3" a="1"/>
  <c r="AB9" i="3" a="1"/>
  <c r="F5" i="45"/>
  <c r="B63" i="31"/>
  <c r="B30" i="31"/>
  <c r="B38" i="31"/>
  <c r="AE41" i="3" a="1"/>
  <c r="AB44" i="3" a="1"/>
  <c r="C37" i="45"/>
  <c r="B29" i="31"/>
  <c r="O47" i="45"/>
  <c r="AE54" i="3" a="1"/>
  <c r="AB54" i="3" a="1"/>
  <c r="AB53" i="3" a="1"/>
  <c r="R44" i="45"/>
  <c r="B76" i="31"/>
  <c r="R8" i="45"/>
  <c r="F15" i="45"/>
  <c r="B56" i="31"/>
  <c r="S17" i="32"/>
  <c r="C43" i="45"/>
  <c r="B33" i="31"/>
  <c r="X27" i="32"/>
  <c r="C14" i="45"/>
  <c r="BI37" i="3"/>
  <c r="AE6" i="3" a="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41" i="32" l="1"/>
  <c r="X41" i="3" s="1"/>
  <c r="C14" i="32"/>
  <c r="X14" i="3" s="1"/>
  <c r="C56" i="32"/>
  <c r="X56" i="3" s="1"/>
  <c r="C93" i="32"/>
  <c r="Y93" i="3" s="1"/>
  <c r="C16" i="32"/>
  <c r="X16" i="3" s="1"/>
  <c r="C17" i="32"/>
  <c r="C88" i="32"/>
  <c r="X88" i="3" s="1"/>
  <c r="C28" i="32"/>
  <c r="X28" i="3" s="1"/>
  <c r="C92" i="32"/>
  <c r="C6" i="32"/>
  <c r="C138" i="32"/>
  <c r="Y138" i="3" s="1"/>
  <c r="C84" i="32"/>
  <c r="X84" i="3" s="1"/>
  <c r="C62" i="32"/>
  <c r="Y62" i="3" s="1"/>
  <c r="C12" i="32"/>
  <c r="X12" i="3" s="1"/>
  <c r="C79" i="32"/>
  <c r="Y79" i="3" s="1"/>
  <c r="C49" i="32"/>
  <c r="X49" i="3" s="1"/>
  <c r="C69" i="32"/>
  <c r="Y69" i="3" s="1"/>
  <c r="C23" i="32"/>
  <c r="X23" i="3" s="1"/>
  <c r="C20" i="32"/>
  <c r="Y20" i="3" s="1"/>
  <c r="C65" i="32"/>
  <c r="Y65" i="3" s="1"/>
  <c r="C7" i="32"/>
  <c r="X7" i="3" s="1"/>
  <c r="C120" i="32"/>
  <c r="X120" i="3" s="1"/>
  <c r="C54" i="32"/>
  <c r="Y54" i="3" s="1"/>
  <c r="C55" i="32"/>
  <c r="Y55" i="3" s="1"/>
  <c r="C9" i="32"/>
  <c r="X9" i="3" s="1"/>
  <c r="C78" i="32"/>
  <c r="Y78" i="3" s="1"/>
  <c r="C45" i="32"/>
  <c r="X45" i="3" s="1"/>
  <c r="C94" i="32"/>
  <c r="X94" i="3" s="1"/>
  <c r="C29" i="32"/>
  <c r="Y29" i="3" s="1"/>
  <c r="C61" i="32"/>
  <c r="X61" i="3" s="1"/>
  <c r="C116" i="32"/>
  <c r="X116" i="3" s="1"/>
  <c r="C143" i="32"/>
  <c r="X143" i="3" s="1"/>
  <c r="C134" i="32"/>
  <c r="Y134" i="3" s="1"/>
  <c r="C101" i="32"/>
  <c r="Y101" i="3" s="1"/>
  <c r="C85" i="32"/>
  <c r="X85" i="3" s="1"/>
  <c r="C13" i="32"/>
  <c r="Y13" i="3" s="1"/>
  <c r="C21" i="32"/>
  <c r="X21" i="3" s="1"/>
  <c r="C86" i="32"/>
  <c r="X86" i="3" s="1"/>
  <c r="C103" i="32"/>
  <c r="X103" i="3" s="1"/>
  <c r="C110" i="32"/>
  <c r="X110" i="3" s="1"/>
  <c r="C105" i="32"/>
  <c r="X105" i="3" s="1"/>
  <c r="C108" i="32"/>
  <c r="Y108" i="3" s="1"/>
  <c r="C125" i="32"/>
  <c r="Y125" i="3" s="1"/>
  <c r="C60" i="32"/>
  <c r="Y60" i="3" s="1"/>
  <c r="C5" i="32"/>
  <c r="Y5" i="3" s="1"/>
  <c r="C106" i="32"/>
  <c r="Y106" i="3" s="1"/>
  <c r="C33" i="32"/>
  <c r="X33" i="3" s="1"/>
  <c r="C64" i="32"/>
  <c r="Y64" i="3" s="1"/>
  <c r="C113" i="32"/>
  <c r="X113" i="3" s="1"/>
  <c r="C139" i="32"/>
  <c r="X139" i="3" s="1"/>
  <c r="C38" i="32"/>
  <c r="Y38" i="3" s="1"/>
  <c r="C31" i="32"/>
  <c r="Y31" i="3" s="1"/>
  <c r="C115" i="32"/>
  <c r="Y115" i="3" s="1"/>
  <c r="C95" i="32"/>
  <c r="X95" i="3" s="1"/>
  <c r="C25" i="32"/>
  <c r="X25" i="3" s="1"/>
  <c r="C81" i="32"/>
  <c r="X81"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31" i="3"/>
  <c r="Y103" i="3"/>
  <c r="Y23" i="3"/>
  <c r="Y12" i="3" l="1"/>
  <c r="X17" i="3"/>
  <c r="Y17" i="3"/>
  <c r="X92" i="3"/>
  <c r="Y92" i="3"/>
  <c r="X6" i="3"/>
  <c r="Y6" i="3"/>
  <c r="X101" i="3"/>
  <c r="Y14" i="3"/>
  <c r="Y41" i="3"/>
  <c r="Y45" i="3"/>
  <c r="X20" i="3"/>
  <c r="X62" i="3"/>
  <c r="X69" i="3"/>
  <c r="Y16" i="3"/>
  <c r="Y7" i="3"/>
  <c r="X54" i="3"/>
  <c r="X79" i="3"/>
  <c r="X125" i="3"/>
  <c r="Y85" i="3"/>
  <c r="X138" i="3"/>
  <c r="Y88" i="3"/>
  <c r="Y56" i="3"/>
  <c r="Y116" i="3"/>
  <c r="Y110" i="3"/>
  <c r="X13" i="3"/>
  <c r="X55" i="3"/>
  <c r="Y143" i="3"/>
  <c r="Y84" i="3"/>
  <c r="X64" i="3"/>
  <c r="X65" i="3"/>
  <c r="Y49" i="3"/>
  <c r="X60" i="3"/>
  <c r="Y28" i="3"/>
  <c r="X93" i="3"/>
  <c r="Y94" i="3"/>
  <c r="Y81" i="3"/>
  <c r="Y86" i="3"/>
  <c r="Y120" i="3"/>
  <c r="X78" i="3"/>
  <c r="X106" i="3"/>
  <c r="Y61" i="3"/>
  <c r="X108" i="3"/>
  <c r="X29" i="3"/>
  <c r="X134" i="3"/>
  <c r="X5" i="3"/>
  <c r="Y113" i="3"/>
  <c r="X115" i="3"/>
  <c r="Y105" i="3"/>
  <c r="X53" i="3"/>
  <c r="Y21" i="3"/>
  <c r="Y9" i="3"/>
  <c r="Y127" i="3"/>
  <c r="Y139" i="3"/>
  <c r="Y95" i="3"/>
  <c r="Y33" i="3"/>
  <c r="X44" i="3"/>
  <c r="X122" i="3"/>
  <c r="X123" i="3"/>
  <c r="X38" i="3"/>
  <c r="Y76" i="3"/>
  <c r="Y4" i="3"/>
  <c r="Y133" i="3"/>
  <c r="Y25" i="3"/>
  <c r="X124" i="3"/>
  <c r="X131" i="3"/>
  <c r="X57" i="3"/>
  <c r="Y22" i="3"/>
  <c r="X47" i="3"/>
  <c r="Y121" i="3"/>
  <c r="X48" i="3"/>
  <c r="X24" i="3"/>
  <c r="Y114" i="3"/>
  <c r="X63" i="3"/>
  <c r="Y104" i="3"/>
  <c r="X68" i="3"/>
  <c r="X89"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7" i="3" s="1"/>
  <c r="BU28" i="3"/>
  <c r="F46" i="3"/>
  <c r="E45" i="3"/>
  <c r="BW29" i="3" s="1"/>
  <c r="F92" i="3"/>
  <c r="F95" i="3"/>
  <c r="BW53" i="3" s="1"/>
  <c r="E97" i="3"/>
  <c r="BV52" i="3" s="1"/>
  <c r="F81" i="3"/>
  <c r="E76" i="3"/>
  <c r="E78" i="3"/>
  <c r="BW44" i="3" s="1"/>
  <c r="E48" i="3"/>
  <c r="F44" i="3"/>
  <c r="F47" i="3"/>
  <c r="E38" i="3"/>
  <c r="F41" i="3"/>
  <c r="BU25" i="3" s="1"/>
  <c r="E36" i="3"/>
  <c r="BW23" i="3" s="1"/>
  <c r="E39" i="3"/>
  <c r="F37" i="3"/>
  <c r="E41" i="3"/>
  <c r="BW22" i="3" s="1"/>
  <c r="BW34" i="3"/>
  <c r="E62" i="3"/>
  <c r="BW36" i="3" s="1"/>
  <c r="E60" i="3"/>
  <c r="F65" i="3"/>
  <c r="E87" i="3"/>
  <c r="E88" i="3"/>
  <c r="BW46" i="3" s="1"/>
  <c r="F85" i="3"/>
  <c r="BU48" i="3" s="1"/>
  <c r="E14" i="3"/>
  <c r="F13" i="3"/>
  <c r="BU12" i="3" s="1"/>
  <c r="E16" i="3"/>
  <c r="F17" i="3"/>
  <c r="BU11" i="3" s="1"/>
  <c r="F15" i="3"/>
  <c r="E13" i="3"/>
  <c r="BW13" i="3" s="1"/>
  <c r="E4" i="3"/>
  <c r="E7" i="3"/>
  <c r="F8" i="3"/>
  <c r="BU26" i="3"/>
  <c r="E44" i="3"/>
  <c r="BW27" i="3" s="1"/>
  <c r="E46" i="3"/>
  <c r="BW28" i="3" s="1"/>
  <c r="BW26" i="3"/>
  <c r="F49" i="3"/>
  <c r="BU29" i="3" s="1"/>
  <c r="E73" i="3"/>
  <c r="F68" i="3"/>
  <c r="F71" i="3"/>
  <c r="E71" i="3"/>
  <c r="E72" i="3"/>
  <c r="F69" i="3"/>
  <c r="E55" i="3"/>
  <c r="BU31" i="3" s="1"/>
  <c r="E57" i="3"/>
  <c r="F55" i="3"/>
  <c r="BU33" i="3" s="1"/>
  <c r="F52" i="3"/>
  <c r="F25" i="3"/>
  <c r="BW15" i="3" s="1"/>
  <c r="E21" i="3"/>
  <c r="BU17" i="3" s="1"/>
  <c r="F23" i="3"/>
  <c r="E84" i="3"/>
  <c r="F88" i="3"/>
  <c r="E86" i="3"/>
  <c r="E17" i="3"/>
  <c r="F14" i="3"/>
  <c r="F12" i="3"/>
  <c r="E22" i="3"/>
  <c r="E24" i="3"/>
  <c r="F21" i="3"/>
  <c r="BU16" i="3" s="1"/>
  <c r="E29" i="3"/>
  <c r="BW21" i="3" s="1"/>
  <c r="F30" i="3"/>
  <c r="F33" i="3"/>
  <c r="BU45" i="3"/>
  <c r="E81" i="3"/>
  <c r="E79" i="3"/>
  <c r="BU43" i="3" s="1"/>
  <c r="F77" i="3"/>
  <c r="BU44" i="3" s="1"/>
  <c r="F61" i="3"/>
  <c r="E65" i="3"/>
  <c r="E63" i="3"/>
  <c r="E9" i="3"/>
  <c r="F4" i="3"/>
  <c r="F6" i="3"/>
  <c r="F79" i="3"/>
  <c r="E80" i="3"/>
  <c r="F76" i="3"/>
  <c r="F80" i="3"/>
  <c r="E77" i="3"/>
  <c r="BW45" i="3" s="1"/>
  <c r="F78" i="3"/>
  <c r="E61" i="3"/>
  <c r="F62" i="3"/>
  <c r="BU34" i="3" s="1"/>
  <c r="BU36" i="3"/>
  <c r="F64" i="3"/>
  <c r="BU35" i="3" s="1"/>
  <c r="F72" i="3"/>
  <c r="BU41" i="3" s="1"/>
  <c r="E68" i="3"/>
  <c r="BW39" i="3" s="1"/>
  <c r="BW38" i="3"/>
  <c r="BU38" i="3"/>
  <c r="E70" i="3"/>
  <c r="BU30" i="3" l="1"/>
  <c r="BW43" i="3"/>
  <c r="BU22" i="3"/>
  <c r="BU19" i="3"/>
  <c r="BW37" i="3"/>
  <c r="BW35" i="3"/>
  <c r="BU37" i="3"/>
  <c r="BU24" i="3"/>
  <c r="BW24" i="3"/>
  <c r="BW42" i="3"/>
  <c r="BU42" i="3"/>
  <c r="BW10"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V35" i="3"/>
  <c r="BX35" i="3" s="1"/>
  <c r="BW30" i="3"/>
  <c r="BV29" i="3"/>
  <c r="BX29" i="3" s="1"/>
  <c r="BV28" i="3"/>
  <c r="BX28" i="3" s="1"/>
  <c r="BV27" i="3"/>
  <c r="BX27" i="3" s="1"/>
  <c r="BV22" i="3"/>
  <c r="BX22" i="3" s="1"/>
  <c r="BV23" i="3"/>
  <c r="BX23" i="3" s="1"/>
  <c r="BV24" i="3"/>
  <c r="BV25" i="3"/>
  <c r="BX25" i="3" s="1"/>
  <c r="BW20" i="3"/>
  <c r="BU10" i="3"/>
  <c r="BU13" i="3"/>
  <c r="BW11" i="3"/>
  <c r="BW14" i="3"/>
  <c r="BW19" i="3"/>
  <c r="BW12" i="3"/>
  <c r="BU15" i="3"/>
  <c r="BW16" i="3"/>
  <c r="BU14" i="3"/>
  <c r="BW7" i="3"/>
  <c r="BU6" i="3"/>
  <c r="BW8" i="3"/>
  <c r="BU9" i="3"/>
  <c r="BW9" i="3"/>
  <c r="BV9" i="3"/>
  <c r="BV8" i="3"/>
  <c r="BV6" i="3"/>
  <c r="BW49" i="3"/>
  <c r="BW31" i="3"/>
  <c r="BW47" i="3"/>
  <c r="BX32" i="3"/>
  <c r="BX19" i="3" l="1"/>
  <c r="BX37" i="3"/>
  <c r="BX24"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H25"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3" i="3" l="1"/>
  <c r="H21" i="3"/>
  <c r="I5" i="3"/>
  <c r="H78" i="3"/>
  <c r="H20" i="3"/>
  <c r="H23" i="3"/>
  <c r="I20" i="3"/>
  <c r="I22"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A17" i="3"/>
  <c r="I76" i="3"/>
  <c r="I52" i="3"/>
  <c r="H86" i="3"/>
  <c r="I55" i="3"/>
  <c r="H84" i="3"/>
  <c r="I21" i="3"/>
  <c r="CA16" i="3" s="1"/>
  <c r="CB26" i="3"/>
  <c r="CB17" i="3"/>
  <c r="CA26" i="3"/>
  <c r="CB44" i="3" l="1"/>
  <c r="CB15" i="3"/>
  <c r="CB14" i="3"/>
  <c r="CA14" i="3"/>
  <c r="CB8" i="3"/>
  <c r="CB19" i="3"/>
  <c r="CB53" i="3"/>
  <c r="CA45" i="3"/>
  <c r="CB45" i="3"/>
  <c r="CB46" i="3"/>
  <c r="CC46" i="3" s="1"/>
  <c r="CB18" i="3"/>
  <c r="CA50" i="3"/>
  <c r="CB34" i="3"/>
  <c r="CB43" i="3"/>
  <c r="CC43" i="3" s="1"/>
  <c r="CA53" i="3"/>
  <c r="CC53" i="3" s="1"/>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C17" i="3"/>
  <c r="CA8" i="3"/>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5" i="3" l="1"/>
  <c r="CC8" i="3"/>
  <c r="CC14" i="3"/>
  <c r="CC19"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12" i="3" l="1"/>
  <c r="L87" i="3"/>
  <c r="K93" i="3"/>
  <c r="L84" i="3"/>
  <c r="L97" i="3"/>
  <c r="L13" i="3"/>
  <c r="K24" i="3"/>
  <c r="K14"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14" i="3" l="1"/>
  <c r="CF11" i="3"/>
  <c r="CF31" i="3"/>
  <c r="CF35" i="3"/>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K40" i="3" s="1"/>
  <c r="CH11" i="3"/>
  <c r="O12" i="3" s="1"/>
  <c r="CH14" i="3"/>
  <c r="CH13" i="3"/>
  <c r="O13" i="3" s="1"/>
  <c r="CI53" i="3" l="1"/>
  <c r="N96" i="3"/>
  <c r="O93" i="3"/>
  <c r="O64" i="3"/>
  <c r="N95" i="3"/>
  <c r="N61" i="3"/>
  <c r="O44" i="3"/>
  <c r="CI36" i="3"/>
  <c r="O47" i="3"/>
  <c r="O94" i="3"/>
  <c r="O97" i="3"/>
  <c r="O95" i="3"/>
  <c r="CI51" i="3"/>
  <c r="N29" i="3"/>
  <c r="CJ50" i="3"/>
  <c r="CI9" i="3"/>
  <c r="O55" i="3"/>
  <c r="O33" i="3"/>
  <c r="CJ19" i="3" s="1"/>
  <c r="N9" i="3"/>
  <c r="CI8" i="3" s="1"/>
  <c r="N36" i="3"/>
  <c r="O41" i="3"/>
  <c r="O4" i="3"/>
  <c r="O69" i="3"/>
  <c r="CI35" i="3"/>
  <c r="N72" i="3"/>
  <c r="CK21" i="3"/>
  <c r="O30" i="3"/>
  <c r="CI18" i="3" s="1"/>
  <c r="N32" i="3"/>
  <c r="CJ18" i="3" s="1"/>
  <c r="N7" i="3"/>
  <c r="CK8" i="3" s="1"/>
  <c r="O29" i="3"/>
  <c r="CI20" i="3" s="1"/>
  <c r="N49" i="3"/>
  <c r="N52" i="3"/>
  <c r="N54" i="3"/>
  <c r="N37" i="3"/>
  <c r="CI25" i="3" s="1"/>
  <c r="N8" i="3"/>
  <c r="CI6" i="3" s="1"/>
  <c r="CK22" i="3"/>
  <c r="CK41" i="3"/>
  <c r="O52" i="3"/>
  <c r="CI30" i="3" s="1"/>
  <c r="N97" i="3"/>
  <c r="O77" i="3"/>
  <c r="CI44" i="3" s="1"/>
  <c r="N80" i="3"/>
  <c r="N55" i="3"/>
  <c r="CI31" i="3" s="1"/>
  <c r="N81" i="3"/>
  <c r="CI42" i="3" s="1"/>
  <c r="N84" i="3"/>
  <c r="CI45" i="3"/>
  <c r="O5" i="3"/>
  <c r="N47" i="3"/>
  <c r="CI27" i="3" s="1"/>
  <c r="CK46" i="3"/>
  <c r="CI33" i="3"/>
  <c r="O53" i="3"/>
  <c r="CI32" i="3" s="1"/>
  <c r="O79" i="3"/>
  <c r="N6" i="3"/>
  <c r="N86" i="3"/>
  <c r="O32" i="3"/>
  <c r="CI21" i="3" s="1"/>
  <c r="CI12" i="3"/>
  <c r="CI43" i="3"/>
  <c r="N88" i="3"/>
  <c r="N30" i="3"/>
  <c r="CK20" i="3" s="1"/>
  <c r="CK6" i="3"/>
  <c r="CK25" i="3"/>
  <c r="N73" i="3"/>
  <c r="N15" i="3"/>
  <c r="O96" i="3"/>
  <c r="CJ53" i="3" s="1"/>
  <c r="CL53" i="3" s="1"/>
  <c r="CK34" i="3"/>
  <c r="CI39" i="3"/>
  <c r="CK30" i="3"/>
  <c r="N68" i="3"/>
  <c r="CK50" i="3"/>
  <c r="O40" i="3"/>
  <c r="O15" i="3"/>
  <c r="CI10" i="3" s="1"/>
  <c r="N65" i="3"/>
  <c r="O9" i="3"/>
  <c r="CI7" i="3" s="1"/>
  <c r="CI23" i="3"/>
  <c r="O36" i="3"/>
  <c r="CJ22" i="3" s="1"/>
  <c r="CK23" i="3"/>
  <c r="O61" i="3"/>
  <c r="CJ36" i="3" s="1"/>
  <c r="CL36" i="3" s="1"/>
  <c r="CI47" i="3"/>
  <c r="N13" i="3"/>
  <c r="O68" i="3"/>
  <c r="O57" i="3"/>
  <c r="O65" i="3"/>
  <c r="CK37" i="3" s="1"/>
  <c r="N40" i="3"/>
  <c r="O31" i="3"/>
  <c r="CJ21" i="3" s="1"/>
  <c r="N92" i="3"/>
  <c r="CK51" i="3" s="1"/>
  <c r="CK12" i="3"/>
  <c r="N77" i="3"/>
  <c r="CK45" i="3" s="1"/>
  <c r="CI50" i="3"/>
  <c r="O25" i="3"/>
  <c r="O37" i="3"/>
  <c r="N5" i="3"/>
  <c r="CJ9" i="3" s="1"/>
  <c r="O72" i="3"/>
  <c r="CI41" i="3" s="1"/>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48" i="3"/>
  <c r="N85" i="3"/>
  <c r="CI49" i="3" s="1"/>
  <c r="N44" i="3"/>
  <c r="CK27" i="3" s="1"/>
  <c r="N12" i="3"/>
  <c r="CI11" i="3" s="1"/>
  <c r="O54" i="3"/>
  <c r="O89" i="3"/>
  <c r="O56" i="3"/>
  <c r="N24" i="3"/>
  <c r="O46" i="3"/>
  <c r="CI28" i="3"/>
  <c r="O21" i="3"/>
  <c r="CI16" i="3" s="1"/>
  <c r="N45" i="3"/>
  <c r="CK29" i="3" s="1"/>
  <c r="CK32" i="3"/>
  <c r="N16" i="3"/>
  <c r="CK10" i="3" s="1"/>
  <c r="CI48" i="3"/>
  <c r="CK26" i="3"/>
  <c r="CJ48" i="3"/>
  <c r="O20" i="3"/>
  <c r="N33" i="3"/>
  <c r="N69" i="3"/>
  <c r="O73" i="3"/>
  <c r="O60" i="3"/>
  <c r="CI34" i="3" s="1"/>
  <c r="O63" i="3"/>
  <c r="CI37" i="3" s="1"/>
  <c r="CI40" i="3"/>
  <c r="O70" i="3"/>
  <c r="CK17" i="3"/>
  <c r="N22" i="3"/>
  <c r="CK42" i="3"/>
  <c r="N78" i="3"/>
  <c r="CK44" i="3" s="1"/>
  <c r="O81" i="3"/>
  <c r="CI13" i="3"/>
  <c r="N14" i="3"/>
  <c r="CK11" i="3" s="1"/>
  <c r="CK13" i="3"/>
  <c r="N23" i="3"/>
  <c r="N20" i="3"/>
  <c r="O24" i="3"/>
  <c r="N17" i="3"/>
  <c r="O14" i="3"/>
  <c r="CK33" i="3"/>
  <c r="CK53" i="3"/>
  <c r="CK49" i="3"/>
  <c r="CK31" i="3"/>
  <c r="CK36" i="3" l="1"/>
  <c r="CK28" i="3"/>
  <c r="CI19" i="3"/>
  <c r="CL19" i="3" s="1"/>
  <c r="CI24" i="3"/>
  <c r="CK24" i="3"/>
  <c r="CI22" i="3"/>
  <c r="CL22" i="3" s="1"/>
  <c r="CK47" i="3"/>
  <c r="CI15" i="3"/>
  <c r="CK18" i="3"/>
  <c r="CI14" i="3"/>
  <c r="CK43" i="3"/>
  <c r="CK14"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J11" i="3"/>
  <c r="CL11" i="3" s="1"/>
  <c r="CJ20" i="3"/>
  <c r="CL20" i="3" s="1"/>
  <c r="CJ15" i="3"/>
  <c r="CJ14"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4" i="3" l="1"/>
  <c r="CL24" i="3"/>
  <c r="CM52" i="3" s="1"/>
  <c r="CL15" i="3"/>
  <c r="CM43" i="3"/>
  <c r="CM20" i="3"/>
  <c r="CM44" i="3"/>
  <c r="CM11" i="3"/>
  <c r="CM10" i="3"/>
  <c r="CM36" i="3"/>
  <c r="CM37" i="3"/>
  <c r="CM28" i="3" l="1"/>
  <c r="CM34" i="3"/>
  <c r="CM30" i="3"/>
  <c r="CM31" i="3"/>
  <c r="CM53" i="3"/>
  <c r="CM48" i="3"/>
  <c r="CM16" i="3"/>
  <c r="CM17" i="3"/>
  <c r="CM40" i="3"/>
  <c r="CM33" i="3"/>
  <c r="CM47" i="3"/>
  <c r="CM21" i="3"/>
  <c r="CM27" i="3"/>
  <c r="CM24" i="3"/>
  <c r="CM45" i="3"/>
  <c r="CM50" i="3"/>
  <c r="CM35" i="3"/>
  <c r="CM49" i="3"/>
  <c r="CM26" i="3"/>
  <c r="CM38" i="3"/>
  <c r="CM42" i="3"/>
  <c r="CM13" i="3"/>
  <c r="CM12" i="3"/>
  <c r="CM32" i="3"/>
  <c r="CM9" i="3"/>
  <c r="CM8" i="3"/>
  <c r="CM29" i="3"/>
  <c r="CM7" i="3"/>
  <c r="CM6" i="3"/>
  <c r="CM39" i="3"/>
  <c r="CM41" i="3"/>
  <c r="CM51" i="3"/>
  <c r="CM25" i="3"/>
  <c r="CM23" i="3"/>
  <c r="CM18" i="3"/>
  <c r="CM22" i="3"/>
  <c r="CM19" i="3"/>
  <c r="CM15" i="3"/>
  <c r="CM14" i="3"/>
  <c r="CM46" i="3"/>
  <c r="CN46" i="3" l="1"/>
  <c r="CN48" i="3"/>
  <c r="CN15" i="3"/>
  <c r="Q25" i="3" s="1"/>
  <c r="CN27" i="3"/>
  <c r="R47" i="3" s="1"/>
  <c r="CN39" i="3"/>
  <c r="R71" i="3" s="1"/>
  <c r="CN45" i="3"/>
  <c r="Q79" i="3" s="1"/>
  <c r="CN40" i="3"/>
  <c r="R73" i="3" s="1"/>
  <c r="CN53" i="3"/>
  <c r="Q95" i="3" s="1"/>
  <c r="CN35" i="3"/>
  <c r="R63" i="3" s="1"/>
  <c r="CN31" i="3"/>
  <c r="Q56" i="3" s="1"/>
  <c r="CN9" i="3"/>
  <c r="Q6" i="3" s="1"/>
  <c r="CN6" i="3"/>
  <c r="Q7" i="3" s="1"/>
  <c r="CN29" i="3"/>
  <c r="Q47" i="3" s="1"/>
  <c r="CN30" i="3"/>
  <c r="CN22" i="3"/>
  <c r="Q36" i="3" s="1"/>
  <c r="CN34" i="3"/>
  <c r="R65" i="3" s="1"/>
  <c r="CN42" i="3"/>
  <c r="Q76" i="3" s="1"/>
  <c r="CN20" i="3"/>
  <c r="R33" i="3" s="1"/>
  <c r="CN8" i="3"/>
  <c r="Q5" i="3" s="1"/>
  <c r="CN24" i="3"/>
  <c r="Q37" i="3" s="1"/>
  <c r="CN12" i="3"/>
  <c r="R15" i="3" s="1"/>
  <c r="CN28" i="3"/>
  <c r="R46" i="3" s="1"/>
  <c r="CN52" i="3"/>
  <c r="R97" i="3" s="1"/>
  <c r="CN16" i="3"/>
  <c r="R25" i="3" s="1"/>
  <c r="CN17" i="3"/>
  <c r="Q24" i="3" s="1"/>
  <c r="CN10" i="3"/>
  <c r="Q15" i="3" s="1"/>
  <c r="CN41" i="3"/>
  <c r="Q71" i="3" s="1"/>
  <c r="CN18" i="3"/>
  <c r="Q28" i="3" s="1"/>
  <c r="CN50" i="3"/>
  <c r="Q94" i="3" s="1"/>
  <c r="CN37" i="3"/>
  <c r="R61" i="3" s="1"/>
  <c r="CN19" i="3"/>
  <c r="Q33" i="3" s="1"/>
  <c r="CN26" i="3"/>
  <c r="Q44" i="3" s="1"/>
  <c r="CN44" i="3"/>
  <c r="Q77" i="3" s="1"/>
  <c r="CN51" i="3"/>
  <c r="R92" i="3" s="1"/>
  <c r="CN23" i="3"/>
  <c r="R36" i="3" s="1"/>
  <c r="CN13" i="3"/>
  <c r="R13" i="3" s="1"/>
  <c r="CN21" i="3"/>
  <c r="Q32" i="3" s="1"/>
  <c r="CN49" i="3"/>
  <c r="Q87" i="3" s="1"/>
  <c r="CN14" i="3"/>
  <c r="Q20" i="3" s="1"/>
  <c r="CN38" i="3"/>
  <c r="Q70" i="3" s="1"/>
  <c r="CN7" i="3"/>
  <c r="R4" i="3" s="1"/>
  <c r="CN32" i="3"/>
  <c r="Q53" i="3" s="1"/>
  <c r="CN11" i="3"/>
  <c r="R14" i="3" s="1"/>
  <c r="CN47" i="3"/>
  <c r="Q89" i="3" s="1"/>
  <c r="CN36" i="3"/>
  <c r="R64" i="3" s="1"/>
  <c r="CN43" i="3"/>
  <c r="R76" i="3" s="1"/>
  <c r="CN25" i="3"/>
  <c r="Q41" i="3" s="1"/>
  <c r="CN33" i="3"/>
  <c r="Q57" i="3" s="1"/>
  <c r="Q84" i="3" l="1"/>
  <c r="R88" i="3"/>
  <c r="Q86" i="3"/>
  <c r="R89" i="3"/>
  <c r="R86" i="3"/>
  <c r="R57" i="3"/>
  <c r="Q52" i="3"/>
  <c r="Q54" i="3"/>
  <c r="R52" i="3"/>
  <c r="R55" i="3"/>
  <c r="Q45" i="3"/>
  <c r="CP45" i="3"/>
  <c r="Q65" i="3"/>
  <c r="Q85" i="3"/>
  <c r="Q81" i="3"/>
  <c r="Q63" i="3"/>
  <c r="Q48" i="3"/>
  <c r="R20" i="3"/>
  <c r="R22" i="3"/>
  <c r="Q69" i="3"/>
  <c r="R70" i="3"/>
  <c r="R69" i="3"/>
  <c r="Q72" i="3"/>
  <c r="R48" i="3"/>
  <c r="Q64" i="3"/>
  <c r="R72" i="3"/>
  <c r="Q73" i="3"/>
  <c r="R44" i="3"/>
  <c r="Q62" i="3"/>
  <c r="Q68" i="3"/>
  <c r="Q96" i="3"/>
  <c r="Q60" i="3"/>
  <c r="R68" i="3"/>
  <c r="Q46" i="3"/>
  <c r="R60" i="3"/>
  <c r="R62" i="3"/>
  <c r="Q61" i="3"/>
  <c r="Q55" i="3"/>
  <c r="R56" i="3"/>
  <c r="R49" i="3"/>
  <c r="R40" i="3"/>
  <c r="R54" i="3"/>
  <c r="R53" i="3"/>
  <c r="Q49" i="3"/>
  <c r="R94" i="3"/>
  <c r="Q8" i="3"/>
  <c r="CO23" i="3"/>
  <c r="R5" i="3"/>
  <c r="R45" i="3"/>
  <c r="R7" i="3"/>
  <c r="Q40" i="3"/>
  <c r="R39" i="3"/>
  <c r="R41" i="3"/>
  <c r="Q93" i="3"/>
  <c r="R9" i="3"/>
  <c r="Q38" i="3"/>
  <c r="R95" i="3"/>
  <c r="CO47" i="3"/>
  <c r="Q97" i="3"/>
  <c r="R38" i="3"/>
  <c r="CP12" i="3"/>
  <c r="CP39" i="3"/>
  <c r="Q4" i="3"/>
  <c r="Q39" i="3"/>
  <c r="R37" i="3"/>
  <c r="CP53" i="3"/>
  <c r="CO53" i="3"/>
  <c r="Q21" i="3"/>
  <c r="R32" i="3"/>
  <c r="Q30" i="3"/>
  <c r="R17" i="3"/>
  <c r="R96" i="3"/>
  <c r="R8" i="3"/>
  <c r="CO26" i="3"/>
  <c r="CO27" i="3"/>
  <c r="R93" i="3"/>
  <c r="R23" i="3"/>
  <c r="R28" i="3"/>
  <c r="CP23" i="3"/>
  <c r="R31" i="3"/>
  <c r="Q12" i="3"/>
  <c r="R30" i="3"/>
  <c r="Q88" i="3"/>
  <c r="R84" i="3"/>
  <c r="CP47" i="3"/>
  <c r="R77" i="3"/>
  <c r="R16" i="3"/>
  <c r="Q29" i="3"/>
  <c r="R85" i="3"/>
  <c r="CO35" i="3"/>
  <c r="Q78" i="3"/>
  <c r="R81" i="3"/>
  <c r="R80" i="3"/>
  <c r="Q17" i="3"/>
  <c r="CO12" i="3"/>
  <c r="CP42" i="3"/>
  <c r="CP50" i="3"/>
  <c r="Q13" i="3"/>
  <c r="Q31" i="3"/>
  <c r="CO19" i="3" s="1"/>
  <c r="Q22" i="3"/>
  <c r="CO15" i="3" s="1"/>
  <c r="R29" i="3"/>
  <c r="CO20" i="3" s="1"/>
  <c r="R12" i="3"/>
  <c r="Q92" i="3"/>
  <c r="R21" i="3"/>
  <c r="CP33" i="3"/>
  <c r="R78" i="3"/>
  <c r="R24" i="3"/>
  <c r="Q23" i="3"/>
  <c r="R6" i="3"/>
  <c r="R87" i="3"/>
  <c r="Q9" i="3"/>
  <c r="Q14" i="3"/>
  <c r="R79" i="3"/>
  <c r="CO45" i="3" s="1"/>
  <c r="Q80" i="3"/>
  <c r="Q16" i="3"/>
  <c r="CP49" i="3"/>
  <c r="CP35" i="3"/>
  <c r="CP34" i="3"/>
  <c r="CP48" i="3"/>
  <c r="CP38" i="3"/>
  <c r="CP46" i="3"/>
  <c r="CO34" i="3"/>
  <c r="CO50" i="3"/>
  <c r="CP40" i="3"/>
  <c r="CO46" i="3"/>
  <c r="CO21" i="3"/>
  <c r="CO40" i="3"/>
  <c r="CO49" i="3"/>
  <c r="CO48" i="3"/>
  <c r="CO38" i="3"/>
  <c r="CP32" i="3"/>
  <c r="CP16" i="3"/>
  <c r="CO42" i="3"/>
  <c r="CQ42" i="3" s="1"/>
  <c r="CO32" i="3"/>
  <c r="CP28" i="3"/>
  <c r="CP17" i="3"/>
  <c r="CO28" i="3"/>
  <c r="CP26" i="3"/>
  <c r="CP13" i="3"/>
  <c r="CO17" i="3"/>
  <c r="CP21" i="3"/>
  <c r="CO16" i="3"/>
  <c r="CQ12" i="3"/>
  <c r="CO13" i="3"/>
  <c r="CO7" i="3"/>
  <c r="CO6" i="3"/>
  <c r="CP6" i="3"/>
  <c r="CP7" i="3"/>
  <c r="CP27" i="3"/>
  <c r="CQ27" i="3" s="1"/>
  <c r="CO41" i="3"/>
  <c r="CO29" i="3"/>
  <c r="CQ23" i="3"/>
  <c r="CP29" i="3"/>
  <c r="CO33" i="3"/>
  <c r="CO39" i="3"/>
  <c r="CO25" i="3"/>
  <c r="CP25" i="3"/>
  <c r="CP41" i="3"/>
  <c r="CQ45" i="3"/>
  <c r="CQ53" i="3"/>
  <c r="CQ47" i="3"/>
  <c r="CO44" i="3" l="1"/>
  <c r="CP37" i="3"/>
  <c r="CO37" i="3"/>
  <c r="CP31" i="3"/>
  <c r="CO31" i="3"/>
  <c r="CP36" i="3"/>
  <c r="CO36" i="3"/>
  <c r="CO30" i="3"/>
  <c r="CP30" i="3"/>
  <c r="CP43" i="3"/>
  <c r="CO43" i="3"/>
  <c r="CP44" i="3"/>
  <c r="CQ44" i="3" s="1"/>
  <c r="CP10" i="3"/>
  <c r="CP20" i="3"/>
  <c r="CQ20" i="3" s="1"/>
  <c r="CO10" i="3"/>
  <c r="CO11" i="3"/>
  <c r="CP11" i="3"/>
  <c r="CP51" i="3"/>
  <c r="CO51" i="3"/>
  <c r="CQ51" i="3" s="1"/>
  <c r="CO52" i="3"/>
  <c r="CP52" i="3"/>
  <c r="CP14" i="3"/>
  <c r="CO8" i="3"/>
  <c r="CO24" i="3"/>
  <c r="CQ39" i="3"/>
  <c r="CP18" i="3"/>
  <c r="CP24" i="3"/>
  <c r="CP19" i="3"/>
  <c r="CQ19" i="3" s="1"/>
  <c r="CP15" i="3"/>
  <c r="CQ15" i="3" s="1"/>
  <c r="CP22" i="3"/>
  <c r="CO22" i="3"/>
  <c r="CO14" i="3"/>
  <c r="CO9" i="3"/>
  <c r="CO18" i="3"/>
  <c r="CQ35" i="3"/>
  <c r="CQ26" i="3"/>
  <c r="CQ33" i="3"/>
  <c r="CP8" i="3"/>
  <c r="CQ50" i="3"/>
  <c r="CP9" i="3"/>
  <c r="CQ49" i="3"/>
  <c r="CQ48" i="3"/>
  <c r="CQ34" i="3"/>
  <c r="CQ21" i="3"/>
  <c r="CQ46" i="3"/>
  <c r="CQ16" i="3"/>
  <c r="CQ40" i="3"/>
  <c r="CQ38" i="3"/>
  <c r="CQ32" i="3"/>
  <c r="CQ28" i="3"/>
  <c r="CQ13" i="3"/>
  <c r="CQ17" i="3"/>
  <c r="CQ7" i="3"/>
  <c r="CQ6" i="3"/>
  <c r="CQ41" i="3"/>
  <c r="CQ29" i="3"/>
  <c r="CQ25" i="3"/>
  <c r="CQ37" i="3" l="1"/>
  <c r="CR37" i="3" s="1"/>
  <c r="CQ31" i="3"/>
  <c r="CQ36" i="3"/>
  <c r="CQ30" i="3"/>
  <c r="CQ43" i="3"/>
  <c r="CQ10" i="3"/>
  <c r="CQ11" i="3"/>
  <c r="CQ52" i="3"/>
  <c r="CQ8" i="3"/>
  <c r="CQ14" i="3"/>
  <c r="CQ18" i="3"/>
  <c r="CQ24" i="3"/>
  <c r="CQ22" i="3"/>
  <c r="CQ9" i="3"/>
  <c r="CR32" i="3" l="1"/>
  <c r="CR51" i="3"/>
  <c r="CR26" i="3"/>
  <c r="CR25" i="3"/>
  <c r="CR28" i="3"/>
  <c r="CR42" i="3"/>
  <c r="CR34" i="3"/>
  <c r="CR49" i="3"/>
  <c r="CR35" i="3"/>
  <c r="CR41" i="3"/>
  <c r="CR39" i="3"/>
  <c r="CR36" i="3"/>
  <c r="CR15" i="3"/>
  <c r="CR43" i="3"/>
  <c r="CR11" i="3"/>
  <c r="CR31" i="3"/>
  <c r="CR44" i="3"/>
  <c r="CR20" i="3"/>
  <c r="CR30" i="3"/>
  <c r="CR48" i="3"/>
  <c r="CR23" i="3"/>
  <c r="CR14" i="3"/>
  <c r="CR50" i="3"/>
  <c r="CR21" i="3"/>
  <c r="CR16" i="3"/>
  <c r="CR10" i="3"/>
  <c r="CR52" i="3"/>
  <c r="CR53" i="3"/>
  <c r="CR47" i="3"/>
  <c r="CR45" i="3"/>
  <c r="CR38" i="3"/>
  <c r="CR33" i="3"/>
  <c r="CR17" i="3"/>
  <c r="CR7" i="3"/>
  <c r="CR46" i="3"/>
  <c r="CR6" i="3"/>
  <c r="CR27" i="3"/>
  <c r="CR13" i="3"/>
  <c r="CR29" i="3"/>
  <c r="CR40" i="3"/>
  <c r="CR12" i="3"/>
  <c r="CR9" i="3"/>
  <c r="CR24" i="3"/>
  <c r="CR22" i="3"/>
  <c r="CR8" i="3"/>
  <c r="CR18" i="3"/>
  <c r="CR19" i="3"/>
  <c r="CS24" i="3" l="1"/>
  <c r="CS14" i="3"/>
  <c r="CS53" i="3"/>
  <c r="CS29" i="3"/>
  <c r="U45" i="3" s="1"/>
  <c r="CS50" i="3"/>
  <c r="T92" i="3" s="1"/>
  <c r="CS7" i="3"/>
  <c r="CS12" i="3"/>
  <c r="CS28" i="3"/>
  <c r="U48" i="3" s="1"/>
  <c r="CS52" i="3"/>
  <c r="T93" i="3" s="1"/>
  <c r="CS34" i="3"/>
  <c r="CS26" i="3"/>
  <c r="T46" i="3" s="1"/>
  <c r="CS15" i="3"/>
  <c r="U22" i="3" s="1"/>
  <c r="CS19" i="3"/>
  <c r="U31" i="3" s="1"/>
  <c r="CS43" i="3"/>
  <c r="T80" i="3" s="1"/>
  <c r="CS21" i="3"/>
  <c r="T31" i="3" s="1"/>
  <c r="CS27" i="3"/>
  <c r="U47" i="3" s="1"/>
  <c r="CS18" i="3"/>
  <c r="T30" i="3" s="1"/>
  <c r="CS38" i="3"/>
  <c r="T70" i="3" s="1"/>
  <c r="CS6" i="3"/>
  <c r="U8" i="3" s="1"/>
  <c r="CS44" i="3"/>
  <c r="U80" i="3" s="1"/>
  <c r="CS9" i="3"/>
  <c r="CS33" i="3"/>
  <c r="U53" i="3" s="1"/>
  <c r="CS23" i="3"/>
  <c r="T40" i="3" s="1"/>
  <c r="CS17" i="3"/>
  <c r="T22" i="3" s="1"/>
  <c r="CS41" i="3"/>
  <c r="T71" i="3" s="1"/>
  <c r="CS8" i="3"/>
  <c r="U9" i="3" s="1"/>
  <c r="CS37" i="3"/>
  <c r="T63" i="3" s="1"/>
  <c r="CS31" i="3"/>
  <c r="U55" i="3" s="1"/>
  <c r="CS40" i="3"/>
  <c r="U70" i="3" s="1"/>
  <c r="CS51" i="3"/>
  <c r="U92" i="3" s="1"/>
  <c r="CS42" i="3"/>
  <c r="T78" i="3" s="1"/>
  <c r="CS32" i="3"/>
  <c r="U56" i="3" s="1"/>
  <c r="CS20" i="3"/>
  <c r="U30" i="3" s="1"/>
  <c r="CS11" i="3"/>
  <c r="T17" i="3" s="1"/>
  <c r="CS45" i="3"/>
  <c r="T79" i="3" s="1"/>
  <c r="CS22" i="3"/>
  <c r="T38" i="3" s="1"/>
  <c r="CS25" i="3"/>
  <c r="T39" i="3" s="1"/>
  <c r="CS39" i="3"/>
  <c r="U71" i="3" s="1"/>
  <c r="CS49" i="3"/>
  <c r="U85" i="3" s="1"/>
  <c r="CS35" i="3"/>
  <c r="U63" i="3" s="1"/>
  <c r="CS13" i="3"/>
  <c r="T14" i="3" s="1"/>
  <c r="CS16" i="3"/>
  <c r="U23" i="3" s="1"/>
  <c r="CS30" i="3"/>
  <c r="T52" i="3" s="1"/>
  <c r="CS47" i="3"/>
  <c r="U84" i="3" s="1"/>
  <c r="CS46" i="3"/>
  <c r="U88" i="3" s="1"/>
  <c r="CS48" i="3"/>
  <c r="U89" i="3" s="1"/>
  <c r="CS36" i="3"/>
  <c r="U62" i="3" s="1"/>
  <c r="CS10" i="3"/>
  <c r="T15" i="3" s="1"/>
  <c r="T37" i="3" l="1"/>
  <c r="U40" i="3"/>
  <c r="U38" i="3"/>
  <c r="U24" i="3"/>
  <c r="T20" i="3"/>
  <c r="T23" i="3"/>
  <c r="U65" i="3"/>
  <c r="T62" i="3"/>
  <c r="U4" i="3"/>
  <c r="U6" i="3"/>
  <c r="T9" i="3"/>
  <c r="T95" i="3"/>
  <c r="U93" i="3"/>
  <c r="T13" i="3"/>
  <c r="U17" i="3"/>
  <c r="U5" i="3"/>
  <c r="T8" i="3"/>
  <c r="U29" i="3"/>
  <c r="T96" i="3"/>
  <c r="U49" i="3"/>
  <c r="U15" i="3"/>
  <c r="T44" i="3"/>
  <c r="T32" i="3"/>
  <c r="U20" i="3"/>
  <c r="T45" i="3"/>
  <c r="T56" i="3"/>
  <c r="CT32" i="3" s="1"/>
  <c r="T47" i="3"/>
  <c r="T64" i="3"/>
  <c r="T24" i="3"/>
  <c r="U79" i="3"/>
  <c r="CT34" i="3"/>
  <c r="T60" i="3"/>
  <c r="T49" i="3"/>
  <c r="U46" i="3"/>
  <c r="T25" i="3"/>
  <c r="U52" i="3"/>
  <c r="U78" i="3"/>
  <c r="T77" i="3"/>
  <c r="U44" i="3"/>
  <c r="CT35" i="3"/>
  <c r="U21" i="3"/>
  <c r="CT17" i="3"/>
  <c r="T48" i="3"/>
  <c r="CT28" i="3" s="1"/>
  <c r="U54" i="3"/>
  <c r="T53" i="3"/>
  <c r="T36" i="3"/>
  <c r="T84" i="3"/>
  <c r="U60" i="3"/>
  <c r="U41" i="3"/>
  <c r="U94" i="3"/>
  <c r="CT50" i="3" s="1"/>
  <c r="U97" i="3"/>
  <c r="CT51" i="3" s="1"/>
  <c r="T72" i="3"/>
  <c r="U73" i="3"/>
  <c r="CT40" i="3"/>
  <c r="U28" i="3"/>
  <c r="U96" i="3"/>
  <c r="CT53" i="3" s="1"/>
  <c r="T33" i="3"/>
  <c r="T94" i="3"/>
  <c r="T57" i="3"/>
  <c r="CT33" i="3"/>
  <c r="U64" i="3"/>
  <c r="U76" i="3"/>
  <c r="U72" i="3"/>
  <c r="T55" i="3"/>
  <c r="CT31" i="3" s="1"/>
  <c r="T68" i="3"/>
  <c r="T5" i="3"/>
  <c r="CT9" i="3" s="1"/>
  <c r="T69" i="3"/>
  <c r="T28" i="3"/>
  <c r="U32" i="3"/>
  <c r="U69" i="3"/>
  <c r="U13" i="3"/>
  <c r="CT12" i="3" s="1"/>
  <c r="T6" i="3"/>
  <c r="T7" i="3"/>
  <c r="CT8" i="3" s="1"/>
  <c r="CT23" i="3"/>
  <c r="U36" i="3"/>
  <c r="U39" i="3"/>
  <c r="T4" i="3"/>
  <c r="CT7" i="3" s="1"/>
  <c r="T65" i="3"/>
  <c r="T76" i="3"/>
  <c r="CT43" i="3" s="1"/>
  <c r="T97" i="3"/>
  <c r="U7" i="3"/>
  <c r="T81" i="3"/>
  <c r="CT42" i="3" s="1"/>
  <c r="U61" i="3"/>
  <c r="U12" i="3"/>
  <c r="U14" i="3"/>
  <c r="U81" i="3"/>
  <c r="U95" i="3"/>
  <c r="U68" i="3"/>
  <c r="CT38" i="3" s="1"/>
  <c r="T87" i="3"/>
  <c r="CT49" i="3"/>
  <c r="T88" i="3"/>
  <c r="U77" i="3"/>
  <c r="CT44" i="3" s="1"/>
  <c r="T21" i="3"/>
  <c r="CT47" i="3"/>
  <c r="T73" i="3"/>
  <c r="T61" i="3"/>
  <c r="CT37" i="3" s="1"/>
  <c r="U25" i="3"/>
  <c r="CT15" i="3" s="1"/>
  <c r="U37" i="3"/>
  <c r="CT24" i="3" s="1"/>
  <c r="CT25" i="3"/>
  <c r="T41" i="3"/>
  <c r="U86" i="3"/>
  <c r="T29" i="3"/>
  <c r="T16" i="3"/>
  <c r="T85" i="3"/>
  <c r="U33" i="3"/>
  <c r="U57" i="3"/>
  <c r="U87" i="3"/>
  <c r="U16" i="3"/>
  <c r="T12" i="3"/>
  <c r="T89" i="3"/>
  <c r="T54" i="3"/>
  <c r="T86" i="3"/>
  <c r="CT21" i="3"/>
  <c r="CT48" i="3"/>
  <c r="CT6" i="3"/>
  <c r="CT46" i="3"/>
  <c r="CT45" i="3"/>
  <c r="CT26" i="3"/>
  <c r="CT18" i="3"/>
  <c r="CT16" i="3"/>
  <c r="CT13" i="3"/>
  <c r="CT27" i="3"/>
  <c r="CT41" i="3"/>
  <c r="CT39" i="3"/>
  <c r="CT52" i="3"/>
  <c r="CT29" i="3"/>
  <c r="CT36" i="3" l="1"/>
  <c r="CT20" i="3"/>
  <c r="CT10" i="3"/>
  <c r="CT11" i="3"/>
  <c r="CT30" i="3"/>
  <c r="CT14" i="3"/>
  <c r="CT22" i="3"/>
  <c r="CU26" i="3" s="1"/>
  <c r="CT19" i="3"/>
  <c r="CU37" i="3"/>
  <c r="CU36" i="3"/>
  <c r="CU46" i="3" l="1"/>
  <c r="CU38" i="3"/>
  <c r="CU53" i="3"/>
  <c r="CU23" i="3"/>
  <c r="CU7" i="3"/>
  <c r="CU20" i="3"/>
  <c r="CU47" i="3"/>
  <c r="CU49" i="3"/>
  <c r="CU41" i="3"/>
  <c r="CU27" i="3"/>
  <c r="CU33" i="3"/>
  <c r="CU42" i="3"/>
  <c r="CU34" i="3"/>
  <c r="CU17" i="3"/>
  <c r="CU12" i="3"/>
  <c r="CU40" i="3"/>
  <c r="CU28" i="3"/>
  <c r="CU29" i="3"/>
  <c r="CU39" i="3"/>
  <c r="CU25" i="3"/>
  <c r="CU21" i="3"/>
  <c r="CU48" i="3"/>
  <c r="CU45" i="3"/>
  <c r="CU35" i="3"/>
  <c r="CU50" i="3"/>
  <c r="CU32" i="3"/>
  <c r="CU16" i="3"/>
  <c r="CU6" i="3"/>
  <c r="CU13" i="3"/>
  <c r="CU14" i="3"/>
  <c r="CU15" i="3"/>
  <c r="CU31" i="3"/>
  <c r="CU30" i="3"/>
  <c r="CU44" i="3"/>
  <c r="CU43" i="3"/>
  <c r="CU11" i="3"/>
  <c r="CU10" i="3"/>
  <c r="CU8" i="3"/>
  <c r="CU22" i="3"/>
  <c r="CU51" i="3"/>
  <c r="CU52" i="3"/>
  <c r="CU9" i="3"/>
  <c r="CU24" i="3"/>
  <c r="CU19" i="3"/>
  <c r="CU18" i="3"/>
  <c r="CV19" i="3" l="1"/>
  <c r="CW19" i="3" s="1"/>
  <c r="CV41" i="3"/>
  <c r="CW41" i="3" s="1"/>
  <c r="CV21" i="3"/>
  <c r="CW21" i="3" s="1"/>
  <c r="CV27" i="3"/>
  <c r="CW27" i="3" s="1"/>
  <c r="CV14" i="3"/>
  <c r="CW14" i="3" s="1"/>
  <c r="CV31" i="3"/>
  <c r="CW31" i="3" s="1"/>
  <c r="CV23" i="3"/>
  <c r="CW23" i="3" s="1"/>
  <c r="CV50" i="3"/>
  <c r="CW50" i="3" s="1"/>
  <c r="CV17" i="3"/>
  <c r="CW17" i="3" s="1"/>
  <c r="CV40" i="3"/>
  <c r="CW40" i="3" s="1"/>
  <c r="CV43" i="3"/>
  <c r="CW43" i="3" s="1"/>
  <c r="CV38" i="3"/>
  <c r="CW38" i="3" s="1"/>
  <c r="CV32" i="3"/>
  <c r="CW32" i="3" s="1"/>
  <c r="CV34" i="3"/>
  <c r="CW34" i="3" s="1"/>
  <c r="CV22" i="3"/>
  <c r="CW22" i="3" s="1"/>
  <c r="CV11" i="3"/>
  <c r="CW11" i="3" s="1"/>
  <c r="CV26" i="3"/>
  <c r="CW26" i="3" s="1"/>
  <c r="CV53" i="3"/>
  <c r="CW53" i="3" s="1"/>
  <c r="CV52" i="3"/>
  <c r="CW52" i="3" s="1"/>
  <c r="CV39" i="3"/>
  <c r="CW39" i="3" s="1"/>
  <c r="CV6" i="3"/>
  <c r="CW6" i="3" s="1"/>
  <c r="CV37" i="3"/>
  <c r="CW37" i="3" s="1"/>
  <c r="CV15" i="3"/>
  <c r="CW15" i="3" s="1"/>
  <c r="CV9" i="3"/>
  <c r="CW9" i="3" s="1"/>
  <c r="CV33" i="3"/>
  <c r="CW33" i="3" s="1"/>
  <c r="CV29" i="3"/>
  <c r="CW29" i="3" s="1"/>
  <c r="CV30" i="3"/>
  <c r="CW30" i="3" s="1"/>
  <c r="CV46" i="3"/>
  <c r="CW46" i="3" s="1"/>
  <c r="CV44" i="3"/>
  <c r="CW44" i="3" s="1"/>
  <c r="CV12" i="3"/>
  <c r="CW12" i="3" s="1"/>
  <c r="CV16" i="3"/>
  <c r="CW16" i="3" s="1"/>
  <c r="CV13" i="3"/>
  <c r="CW13" i="3" s="1"/>
  <c r="CV20" i="3"/>
  <c r="CW20" i="3" s="1"/>
  <c r="CV7" i="3"/>
  <c r="CW7" i="3" s="1"/>
  <c r="CV24" i="3"/>
  <c r="CW24" i="3" s="1"/>
  <c r="CV18" i="3"/>
  <c r="CW18" i="3" s="1"/>
  <c r="CV48" i="3"/>
  <c r="CW48" i="3" s="1"/>
  <c r="CV45" i="3"/>
  <c r="CW45" i="3" s="1"/>
  <c r="CV47" i="3"/>
  <c r="CW47" i="3" s="1"/>
  <c r="CV51" i="3"/>
  <c r="CW51" i="3" s="1"/>
  <c r="CV35" i="3"/>
  <c r="CW35" i="3" s="1"/>
  <c r="CV25" i="3"/>
  <c r="CW25" i="3" s="1"/>
  <c r="CV49" i="3"/>
  <c r="CW49" i="3" s="1"/>
  <c r="CV28" i="3"/>
  <c r="CW28" i="3" s="1"/>
  <c r="CV36" i="3"/>
  <c r="CW36" i="3" s="1"/>
  <c r="CV10" i="3"/>
  <c r="CW10" i="3" s="1"/>
  <c r="CV42" i="3"/>
  <c r="CW42" i="3" s="1"/>
  <c r="CV8" i="3"/>
  <c r="CW8" i="3" s="1"/>
  <c r="CX30" i="3" l="1"/>
  <c r="CX8" i="3"/>
  <c r="CX18" i="3"/>
  <c r="CX29" i="3"/>
  <c r="CX38" i="3"/>
  <c r="CX23" i="3"/>
  <c r="CX34" i="3"/>
  <c r="CX10" i="3"/>
  <c r="CX45" i="3"/>
  <c r="CX39" i="3"/>
  <c r="CX9" i="3"/>
  <c r="CX17" i="3"/>
  <c r="CX16" i="3"/>
  <c r="CX49" i="3"/>
  <c r="CX53" i="3"/>
  <c r="CX35" i="3"/>
  <c r="CX51" i="3"/>
  <c r="CX11" i="3"/>
  <c r="CX25" i="3"/>
  <c r="CX32" i="3"/>
  <c r="CX36" i="3"/>
  <c r="CX21" i="3"/>
  <c r="CX12" i="3"/>
  <c r="CX48" i="3"/>
  <c r="CX7" i="3"/>
  <c r="CX50" i="3"/>
  <c r="CX6" i="3"/>
  <c r="CX24" i="3"/>
  <c r="CX15" i="3"/>
  <c r="CX19" i="3"/>
  <c r="CX13" i="3"/>
  <c r="CX41" i="3"/>
  <c r="CX43" i="3"/>
  <c r="CX47" i="3"/>
  <c r="CX31" i="3"/>
  <c r="CX20" i="3"/>
  <c r="CX52" i="3"/>
  <c r="CX40" i="3"/>
  <c r="CX27" i="3"/>
  <c r="CX28" i="3"/>
  <c r="CX37" i="3"/>
  <c r="CX22" i="3"/>
  <c r="CX26" i="3"/>
  <c r="CX46" i="3"/>
  <c r="CX14" i="3"/>
  <c r="CX33" i="3"/>
  <c r="CX42" i="3"/>
  <c r="CX44" i="3"/>
  <c r="CY24" i="3" l="1"/>
  <c r="CZ24" i="3" s="1"/>
  <c r="CY32" i="3"/>
  <c r="CZ32" i="3" s="1"/>
  <c r="CY51" i="3"/>
  <c r="CZ51" i="3" s="1"/>
  <c r="CY14" i="3"/>
  <c r="CZ14" i="3" s="1"/>
  <c r="CY15" i="3"/>
  <c r="CZ15" i="3" s="1"/>
  <c r="CY46" i="3"/>
  <c r="CZ46" i="3" s="1"/>
  <c r="CY23" i="3"/>
  <c r="CZ23" i="3" s="1"/>
  <c r="CY12" i="3"/>
  <c r="CZ12" i="3" s="1"/>
  <c r="CY27" i="3"/>
  <c r="CZ27" i="3" s="1"/>
  <c r="CY50" i="3"/>
  <c r="CZ50" i="3" s="1"/>
  <c r="CY41" i="3"/>
  <c r="CZ41" i="3" s="1"/>
  <c r="CY9" i="3"/>
  <c r="CZ9" i="3" s="1"/>
  <c r="CY38" i="3"/>
  <c r="CZ38" i="3" s="1"/>
  <c r="CY18" i="3"/>
  <c r="CZ18" i="3" s="1"/>
  <c r="CY37" i="3"/>
  <c r="CZ37" i="3" s="1"/>
  <c r="CY53" i="3"/>
  <c r="CZ53" i="3" s="1"/>
  <c r="CY43" i="3"/>
  <c r="CZ43" i="3" s="1"/>
  <c r="CY26" i="3"/>
  <c r="CZ26" i="3" s="1"/>
  <c r="CY28" i="3"/>
  <c r="CZ28" i="3" s="1"/>
  <c r="CY40" i="3"/>
  <c r="CZ40" i="3" s="1"/>
  <c r="CY22" i="3"/>
  <c r="CZ22" i="3" s="1"/>
  <c r="CY31" i="3"/>
  <c r="CZ31" i="3" s="1"/>
  <c r="CY16" i="3"/>
  <c r="CZ16" i="3" s="1"/>
  <c r="CY10" i="3"/>
  <c r="CZ10" i="3" s="1"/>
  <c r="CY49" i="3"/>
  <c r="CZ49" i="3" s="1"/>
  <c r="CY17" i="3"/>
  <c r="CZ17" i="3" s="1"/>
  <c r="CY35" i="3"/>
  <c r="CZ35" i="3" s="1"/>
  <c r="CY52" i="3"/>
  <c r="CZ52" i="3" s="1"/>
  <c r="CY30" i="3"/>
  <c r="CZ30" i="3" s="1"/>
  <c r="CY7" i="3"/>
  <c r="CZ7" i="3" s="1"/>
  <c r="CY42" i="3"/>
  <c r="CZ42" i="3" s="1"/>
  <c r="CY29" i="3"/>
  <c r="CZ29" i="3" s="1"/>
  <c r="CY19" i="3"/>
  <c r="CZ19" i="3" s="1"/>
  <c r="CY36" i="3"/>
  <c r="CZ36" i="3" s="1"/>
  <c r="CY39" i="3"/>
  <c r="CZ39" i="3" s="1"/>
  <c r="CY34" i="3"/>
  <c r="CZ34" i="3" s="1"/>
  <c r="CY11" i="3"/>
  <c r="CZ11" i="3" s="1"/>
  <c r="CY21" i="3"/>
  <c r="CZ21" i="3" s="1"/>
  <c r="CY48" i="3"/>
  <c r="CZ48" i="3" s="1"/>
  <c r="CY8" i="3"/>
  <c r="CZ8" i="3" s="1"/>
  <c r="CY47" i="3"/>
  <c r="CZ47" i="3" s="1"/>
  <c r="CY20" i="3"/>
  <c r="CZ20" i="3" s="1"/>
  <c r="CY33" i="3"/>
  <c r="CZ33" i="3" s="1"/>
  <c r="CY25" i="3"/>
  <c r="CZ25" i="3" s="1"/>
  <c r="CY6" i="3"/>
  <c r="CZ6" i="3" s="1"/>
  <c r="CY45" i="3"/>
  <c r="CZ45" i="3" s="1"/>
  <c r="CY44" i="3"/>
  <c r="CZ44" i="3" s="1"/>
  <c r="CY13" i="3"/>
  <c r="CZ13" i="3" s="1"/>
  <c r="DA53" i="3" l="1"/>
  <c r="DA29" i="3"/>
  <c r="DA21" i="3"/>
  <c r="DA11" i="3"/>
  <c r="DA34" i="3"/>
  <c r="DA48" i="3"/>
  <c r="DA30" i="3"/>
  <c r="DA49" i="3"/>
  <c r="DA23" i="3"/>
  <c r="DA28" i="3"/>
  <c r="DA44" i="3"/>
  <c r="DA20" i="3"/>
  <c r="DA42" i="3"/>
  <c r="DA10" i="3"/>
  <c r="DA40" i="3"/>
  <c r="DA39" i="3"/>
  <c r="DA47" i="3"/>
  <c r="DA51" i="3"/>
  <c r="DA27" i="3"/>
  <c r="DA32" i="3"/>
  <c r="DA19" i="3"/>
  <c r="DA46" i="3"/>
  <c r="DA9" i="3"/>
  <c r="DA50" i="3"/>
  <c r="DA24" i="3"/>
  <c r="DA22" i="3"/>
  <c r="DA33" i="3"/>
  <c r="DA36" i="3"/>
  <c r="DA17" i="3"/>
  <c r="DA16" i="3"/>
  <c r="DA26" i="3"/>
  <c r="DA13" i="3"/>
  <c r="DA18" i="3"/>
  <c r="DA52" i="3"/>
  <c r="DA35" i="3"/>
  <c r="DA43" i="3"/>
  <c r="DA8" i="3"/>
  <c r="DA45" i="3"/>
  <c r="DA38" i="3"/>
  <c r="DA7" i="3"/>
  <c r="DA37" i="3"/>
  <c r="DA6" i="3"/>
  <c r="DA25" i="3"/>
  <c r="DA14" i="3"/>
  <c r="DA15" i="3"/>
  <c r="DA12" i="3"/>
  <c r="DA31" i="3"/>
  <c r="DA41" i="3"/>
  <c r="DB41" i="3" l="1"/>
  <c r="DC41" i="3" s="1"/>
  <c r="DB44" i="3"/>
  <c r="DC44" i="3" s="1"/>
  <c r="DB33" i="3"/>
  <c r="DC33" i="3" s="1"/>
  <c r="DB18" i="3"/>
  <c r="DC18" i="3" s="1"/>
  <c r="DB52" i="3"/>
  <c r="DC52" i="3" s="1"/>
  <c r="DB24" i="3"/>
  <c r="DC24" i="3" s="1"/>
  <c r="DB19" i="3"/>
  <c r="DC19" i="3" s="1"/>
  <c r="DB42" i="3"/>
  <c r="DC42" i="3" s="1"/>
  <c r="DB13" i="3"/>
  <c r="DC13" i="3" s="1"/>
  <c r="DB21" i="3"/>
  <c r="DC21" i="3" s="1"/>
  <c r="DB17" i="3"/>
  <c r="DC17" i="3" s="1"/>
  <c r="DB40" i="3"/>
  <c r="DC40" i="3" s="1"/>
  <c r="DB50" i="3"/>
  <c r="DC50" i="3" s="1"/>
  <c r="DB37" i="3"/>
  <c r="DC37" i="3" s="1"/>
  <c r="DB36" i="3"/>
  <c r="DC36" i="3" s="1"/>
  <c r="DB11" i="3"/>
  <c r="DC11" i="3" s="1"/>
  <c r="DB10" i="3"/>
  <c r="DC10" i="3" s="1"/>
  <c r="DB43" i="3"/>
  <c r="DC43" i="3" s="1"/>
  <c r="DB48" i="3"/>
  <c r="DC48" i="3" s="1"/>
  <c r="DB27" i="3"/>
  <c r="DC27" i="3" s="1"/>
  <c r="DB30" i="3"/>
  <c r="DC30" i="3" s="1"/>
  <c r="DB6" i="3"/>
  <c r="DC6" i="3" s="1"/>
  <c r="DB7" i="3"/>
  <c r="DC7" i="3" s="1"/>
  <c r="DB15" i="3"/>
  <c r="DC15" i="3" s="1"/>
  <c r="DB16" i="3"/>
  <c r="DC16" i="3" s="1"/>
  <c r="DB35" i="3"/>
  <c r="DC35" i="3" s="1"/>
  <c r="DB9" i="3"/>
  <c r="DC9" i="3" s="1"/>
  <c r="DB32" i="3"/>
  <c r="DC32" i="3" s="1"/>
  <c r="DB45" i="3"/>
  <c r="DC45" i="3" s="1"/>
  <c r="DB53" i="3"/>
  <c r="DC53" i="3" s="1"/>
  <c r="DB47" i="3"/>
  <c r="DC47" i="3" s="1"/>
  <c r="DB31" i="3"/>
  <c r="DC31" i="3" s="1"/>
  <c r="DB39" i="3"/>
  <c r="DC39" i="3" s="1"/>
  <c r="DB14" i="3"/>
  <c r="DC14" i="3" s="1"/>
  <c r="DB26" i="3"/>
  <c r="DC26" i="3" s="1"/>
  <c r="DB25" i="3"/>
  <c r="DC25" i="3" s="1"/>
  <c r="DB46" i="3"/>
  <c r="DC46" i="3" s="1"/>
  <c r="DB12" i="3"/>
  <c r="DC12" i="3" s="1"/>
  <c r="DB49" i="3"/>
  <c r="DC49" i="3" s="1"/>
  <c r="DB22" i="3"/>
  <c r="DC22" i="3" s="1"/>
  <c r="DB23" i="3"/>
  <c r="DC23" i="3" s="1"/>
  <c r="DB38" i="3"/>
  <c r="DC38" i="3" s="1"/>
  <c r="DB20" i="3"/>
  <c r="DC20" i="3" s="1"/>
  <c r="DB8" i="3"/>
  <c r="DC8" i="3" s="1"/>
  <c r="DB34" i="3"/>
  <c r="DC34" i="3" s="1"/>
  <c r="DB28" i="3"/>
  <c r="DC28" i="3" s="1"/>
  <c r="DB51" i="3"/>
  <c r="DC51" i="3" s="1"/>
  <c r="DB29" i="3"/>
  <c r="DC29" i="3" s="1"/>
  <c r="DD25" i="3" l="1"/>
  <c r="BM25" i="3" s="1"/>
  <c r="DD49" i="3"/>
  <c r="BM49" i="3" s="1"/>
  <c r="DD50" i="3"/>
  <c r="BM50" i="3" s="1"/>
  <c r="DD38" i="3"/>
  <c r="BM38" i="3" s="1"/>
  <c r="DD45" i="3"/>
  <c r="BM45" i="3" s="1"/>
  <c r="DD19" i="3"/>
  <c r="BM19" i="3" s="1"/>
  <c r="DD20" i="3"/>
  <c r="BM20" i="3" s="1"/>
  <c r="DD15" i="3"/>
  <c r="BM15" i="3" s="1"/>
  <c r="DD32" i="3"/>
  <c r="BM32" i="3" s="1"/>
  <c r="DD16" i="3"/>
  <c r="BM16" i="3" s="1"/>
  <c r="DD44" i="3"/>
  <c r="BM44" i="3" s="1"/>
  <c r="DD22" i="3"/>
  <c r="BM22" i="3" s="1"/>
  <c r="DD48" i="3"/>
  <c r="BM48" i="3" s="1"/>
  <c r="DD52" i="3"/>
  <c r="BM52" i="3" s="1"/>
  <c r="DD8" i="3"/>
  <c r="BM8" i="3" s="1"/>
  <c r="DD11" i="3"/>
  <c r="BM11" i="3" s="1"/>
  <c r="DD9" i="3"/>
  <c r="BM9" i="3" s="1"/>
  <c r="DD30" i="3"/>
  <c r="BM30" i="3" s="1"/>
  <c r="DD12" i="3"/>
  <c r="BM12" i="3" s="1"/>
  <c r="DD13" i="3"/>
  <c r="BM13" i="3" s="1"/>
  <c r="DD53" i="3"/>
  <c r="BM53" i="3" s="1"/>
  <c r="DD31" i="3"/>
  <c r="BM31" i="3" s="1"/>
  <c r="DD41" i="3"/>
  <c r="BM41" i="3" s="1"/>
  <c r="DD24" i="3"/>
  <c r="BM24" i="3" s="1"/>
  <c r="DD10" i="3"/>
  <c r="BM10" i="3" s="1"/>
  <c r="DD33" i="3"/>
  <c r="BM33" i="3" s="1"/>
  <c r="DD7" i="3"/>
  <c r="BM7" i="3" s="1"/>
  <c r="DD36" i="3"/>
  <c r="BM36" i="3" s="1"/>
  <c r="DD26" i="3"/>
  <c r="BM26" i="3" s="1"/>
  <c r="DD21" i="3"/>
  <c r="BM21" i="3" s="1"/>
  <c r="DD14" i="3"/>
  <c r="BM14" i="3" s="1"/>
  <c r="DD34" i="3"/>
  <c r="BM34" i="3" s="1"/>
  <c r="DD27" i="3"/>
  <c r="BM27" i="3" s="1"/>
  <c r="DD18" i="3"/>
  <c r="BM18" i="3" s="1"/>
  <c r="DD40" i="3"/>
  <c r="BM40" i="3" s="1"/>
  <c r="DD42" i="3"/>
  <c r="BM42" i="3" s="1"/>
  <c r="DD47" i="3"/>
  <c r="BM47" i="3" s="1"/>
  <c r="DD43" i="3"/>
  <c r="BM43" i="3" s="1"/>
  <c r="DD46" i="3"/>
  <c r="BM46" i="3" s="1"/>
  <c r="DD23" i="3"/>
  <c r="BM23" i="3" s="1"/>
  <c r="DD29" i="3"/>
  <c r="BM29" i="3" s="1"/>
  <c r="DD37" i="3"/>
  <c r="BM37" i="3" s="1"/>
  <c r="DD39" i="3"/>
  <c r="BM39" i="3" s="1"/>
  <c r="DD17" i="3"/>
  <c r="BM17" i="3" s="1"/>
  <c r="DD6" i="3"/>
  <c r="BM6" i="3" s="1"/>
  <c r="DD28" i="3"/>
  <c r="BM28" i="3" s="1"/>
  <c r="DD51" i="3"/>
  <c r="BM51" i="3" s="1"/>
  <c r="DD35" i="3"/>
  <c r="BM35" i="3" s="1"/>
  <c r="DQ17" i="3" l="1"/>
  <c r="DJ17" i="3" s="1"/>
  <c r="AV6" i="3"/>
  <c r="DQ19" i="3"/>
  <c r="DJ19" i="3" s="1"/>
  <c r="AV80" i="3"/>
  <c r="DQ51" i="3"/>
  <c r="DJ51" i="3" s="1"/>
  <c r="AV97" i="3"/>
  <c r="AV31" i="3"/>
  <c r="DQ31" i="3"/>
  <c r="DJ31" i="3" s="1"/>
  <c r="DQ23" i="3"/>
  <c r="DJ23" i="3" s="1"/>
  <c r="DQ26" i="3"/>
  <c r="DJ26" i="3" s="1"/>
  <c r="DQ15" i="3"/>
  <c r="DJ15" i="3" s="1"/>
  <c r="DQ45" i="3"/>
  <c r="DJ45" i="3" s="1"/>
  <c r="DQ35" i="3"/>
  <c r="DJ35" i="3" s="1"/>
  <c r="DQ42" i="3"/>
  <c r="DJ42" i="3" s="1"/>
  <c r="AV7" i="3"/>
  <c r="AV63" i="3"/>
  <c r="DQ34" i="3"/>
  <c r="DJ34" i="3" s="1"/>
  <c r="AV39" i="3"/>
  <c r="AV55" i="3"/>
  <c r="AV8" i="3"/>
  <c r="DQ44" i="3"/>
  <c r="DJ44" i="3" s="1"/>
  <c r="DQ38" i="3"/>
  <c r="DJ38" i="3" s="1"/>
  <c r="DQ25" i="3"/>
  <c r="DJ25" i="3" s="1"/>
  <c r="AV86" i="3"/>
  <c r="AV72" i="3"/>
  <c r="DQ30" i="3"/>
  <c r="DJ30" i="3" s="1"/>
  <c r="AV79" i="3"/>
  <c r="AV56" i="3"/>
  <c r="DQ11" i="3"/>
  <c r="DJ11" i="3" s="1"/>
  <c r="AV15" i="3"/>
  <c r="DQ14" i="3"/>
  <c r="DJ14" i="3" s="1"/>
  <c r="AV54" i="3"/>
  <c r="AV49" i="3"/>
  <c r="DQ18" i="3"/>
  <c r="DJ18" i="3" s="1"/>
  <c r="AV24" i="3"/>
  <c r="DQ8" i="3"/>
  <c r="DJ8" i="3" s="1"/>
  <c r="AV94" i="3"/>
  <c r="AV81" i="3"/>
  <c r="DQ24" i="3"/>
  <c r="DJ24" i="3" s="1"/>
  <c r="AV33" i="3"/>
  <c r="AV38" i="3"/>
  <c r="DQ22" i="3"/>
  <c r="DJ22" i="3" s="1"/>
  <c r="AV32" i="3"/>
  <c r="DQ48" i="3"/>
  <c r="DJ48" i="3" s="1"/>
  <c r="DQ53" i="3"/>
  <c r="DJ53" i="3" s="1"/>
  <c r="AV62" i="3"/>
  <c r="DQ27" i="3"/>
  <c r="DJ27" i="3" s="1"/>
  <c r="DQ12" i="3"/>
  <c r="DJ12" i="3" s="1"/>
  <c r="AV46" i="3"/>
  <c r="AV14" i="3"/>
  <c r="AV23" i="3"/>
  <c r="AV96" i="3"/>
  <c r="DQ37" i="3"/>
  <c r="DJ37" i="3" s="1"/>
  <c r="DQ36" i="3"/>
  <c r="DJ36" i="3" s="1"/>
  <c r="DQ20" i="3"/>
  <c r="DJ20" i="3" s="1"/>
  <c r="DQ47" i="3"/>
  <c r="DJ47" i="3" s="1"/>
  <c r="DQ49" i="3"/>
  <c r="DJ49" i="3" s="1"/>
  <c r="AV65" i="3"/>
  <c r="AV47" i="3"/>
  <c r="DQ50" i="3"/>
  <c r="DJ50" i="3" s="1"/>
  <c r="DQ32" i="3"/>
  <c r="DJ32" i="3" s="1"/>
  <c r="DQ16" i="3"/>
  <c r="DJ16" i="3" s="1"/>
  <c r="AV95" i="3"/>
  <c r="AV57" i="3"/>
  <c r="DQ33" i="3"/>
  <c r="DJ33" i="3" s="1"/>
  <c r="AV89" i="3"/>
  <c r="AV78" i="3"/>
  <c r="AV25" i="3"/>
  <c r="DQ7" i="3"/>
  <c r="DJ7" i="3" s="1"/>
  <c r="DQ52" i="3"/>
  <c r="DJ52" i="3" s="1"/>
  <c r="AV48" i="3"/>
  <c r="AV30" i="3"/>
  <c r="DQ43" i="3"/>
  <c r="DJ43" i="3" s="1"/>
  <c r="AV41" i="3"/>
  <c r="DQ13" i="3"/>
  <c r="DJ13" i="3" s="1"/>
  <c r="AV73" i="3"/>
  <c r="DQ10" i="3"/>
  <c r="DJ10" i="3" s="1"/>
  <c r="DQ46" i="3"/>
  <c r="DJ46" i="3" s="1"/>
  <c r="DQ29" i="3"/>
  <c r="DJ29" i="3" s="1"/>
  <c r="AV9" i="3"/>
  <c r="AV16" i="3"/>
  <c r="DQ39" i="3"/>
  <c r="DJ39" i="3" s="1"/>
  <c r="AV64" i="3"/>
  <c r="AV71" i="3"/>
  <c r="DQ21" i="3"/>
  <c r="DJ21" i="3" s="1"/>
  <c r="DQ40" i="3"/>
  <c r="DJ40" i="3" s="1"/>
  <c r="DQ28" i="3"/>
  <c r="DJ28" i="3" s="1"/>
  <c r="DQ41" i="3"/>
  <c r="DJ41" i="3" s="1"/>
  <c r="AV87" i="3"/>
  <c r="AV17" i="3"/>
  <c r="AV88" i="3"/>
  <c r="AV70" i="3"/>
  <c r="AV40" i="3"/>
  <c r="DQ9" i="3"/>
  <c r="DJ9" i="3" s="1"/>
  <c r="AV22" i="3"/>
  <c r="DQ6" i="3"/>
  <c r="DJ6" i="3" s="1"/>
  <c r="DF8" i="3" l="1"/>
  <c r="DF7" i="3"/>
  <c r="DL40" i="3"/>
  <c r="DL39" i="3"/>
  <c r="DN39" i="3" s="1" a="1"/>
  <c r="DL46" i="3"/>
  <c r="DN46" i="3" s="1" a="1"/>
  <c r="DL52" i="3"/>
  <c r="DL16" i="3"/>
  <c r="DL22" i="3"/>
  <c r="DN22" i="3" s="1" a="1"/>
  <c r="DL18" i="3"/>
  <c r="DL30" i="3"/>
  <c r="AU54" i="3" s="1"/>
  <c r="DL31" i="3"/>
  <c r="DL35" i="3"/>
  <c r="DM35" i="3" s="1"/>
  <c r="DL32" i="3"/>
  <c r="DL14" i="3"/>
  <c r="DM14" i="3" s="1"/>
  <c r="DL34" i="3"/>
  <c r="AU62" i="3" s="1"/>
  <c r="DL53" i="3"/>
  <c r="DN53" i="3" s="1" a="1"/>
  <c r="DL6" i="3"/>
  <c r="DL11" i="3"/>
  <c r="DM11" i="3" s="1"/>
  <c r="DL42" i="3"/>
  <c r="AU78" i="3" s="1"/>
  <c r="DL15" i="3"/>
  <c r="DL13" i="3"/>
  <c r="DM13" i="3" s="1"/>
  <c r="DL25" i="3"/>
  <c r="AU41" i="3" s="1"/>
  <c r="DL33" i="3"/>
  <c r="DN33" i="3" s="1" a="1"/>
  <c r="DL23" i="3"/>
  <c r="DL20" i="3"/>
  <c r="DL7" i="3"/>
  <c r="DN7" i="3" s="1" a="1"/>
  <c r="DL27" i="3"/>
  <c r="DL29" i="3"/>
  <c r="DL48" i="3"/>
  <c r="AU88" i="3" s="1"/>
  <c r="DL10" i="3"/>
  <c r="AU14" i="3" s="1"/>
  <c r="DL38" i="3"/>
  <c r="DL41" i="3"/>
  <c r="DL8" i="3"/>
  <c r="AU8" i="3" s="1"/>
  <c r="DL49" i="3"/>
  <c r="AU89" i="3" s="1"/>
  <c r="DL26" i="3"/>
  <c r="AU46" i="3" s="1"/>
  <c r="DL28" i="3"/>
  <c r="DL50" i="3"/>
  <c r="DN50" i="3" s="1" a="1"/>
  <c r="DL37" i="3"/>
  <c r="AU65" i="3" s="1"/>
  <c r="DL44" i="3"/>
  <c r="AU80" i="3" s="1"/>
  <c r="DL24" i="3"/>
  <c r="DL19" i="3"/>
  <c r="AU31" i="3" s="1"/>
  <c r="DL12" i="3"/>
  <c r="AU16" i="3" s="1"/>
  <c r="DL51" i="3"/>
  <c r="AU95" i="3" s="1"/>
  <c r="DL47" i="3"/>
  <c r="AU87" i="3" s="1"/>
  <c r="DL45" i="3"/>
  <c r="DN45" i="3" s="1" a="1"/>
  <c r="DL9" i="3"/>
  <c r="AU9" i="3" s="1"/>
  <c r="DL17" i="3"/>
  <c r="AU25" i="3" s="1"/>
  <c r="DL36" i="3"/>
  <c r="AU64" i="3" s="1"/>
  <c r="DL21" i="3"/>
  <c r="AU33" i="3" s="1"/>
  <c r="DL43" i="3"/>
  <c r="AU79" i="3" s="1"/>
  <c r="AU72" i="3" l="1"/>
  <c r="DM40" i="3"/>
  <c r="DN40" i="3" a="1"/>
  <c r="AU96" i="3"/>
  <c r="DN52" i="3" a="1"/>
  <c r="AU55" i="3"/>
  <c r="DN31" i="3" a="1"/>
  <c r="AU56" i="3"/>
  <c r="DN32" i="3" a="1"/>
  <c r="DM32" i="3"/>
  <c r="AU47" i="3"/>
  <c r="DN27" i="3" a="1"/>
  <c r="AU71" i="3"/>
  <c r="DM39" i="3"/>
  <c r="AU86" i="3"/>
  <c r="AU85" i="3" s="1"/>
  <c r="AV84" i="3" s="1"/>
  <c r="DM46" i="3"/>
  <c r="AU24" i="3"/>
  <c r="DN16" i="3" a="1"/>
  <c r="AU38" i="3"/>
  <c r="DM22" i="3"/>
  <c r="AU30" i="3"/>
  <c r="DN18" i="3" a="1"/>
  <c r="DM18" i="3"/>
  <c r="AU63" i="3"/>
  <c r="AU61" i="3" s="1"/>
  <c r="AV60" i="3" s="1"/>
  <c r="DN35" i="3" a="1"/>
  <c r="AU97" i="3"/>
  <c r="DM53" i="3"/>
  <c r="AU6" i="3"/>
  <c r="DM6" i="3"/>
  <c r="DN6" i="3" a="1"/>
  <c r="AU23" i="3"/>
  <c r="DM15" i="3"/>
  <c r="DN15" i="3" a="1"/>
  <c r="AU17" i="3"/>
  <c r="DN13" i="3" a="1"/>
  <c r="AU39" i="3"/>
  <c r="DM23" i="3"/>
  <c r="DN23" i="3" a="1"/>
  <c r="DN20" i="3" a="1"/>
  <c r="DM20" i="3"/>
  <c r="AU32" i="3"/>
  <c r="DN29" i="3" a="1"/>
  <c r="AU49" i="3"/>
  <c r="AU70" i="3"/>
  <c r="DM38" i="3"/>
  <c r="AU73" i="3"/>
  <c r="DM41" i="3"/>
  <c r="DN41" i="3" a="1"/>
  <c r="AU48" i="3"/>
  <c r="DM28" i="3"/>
  <c r="AU40" i="3"/>
  <c r="DM24" i="3"/>
  <c r="DM25" i="3"/>
  <c r="DM47" i="3"/>
  <c r="DM42" i="3"/>
  <c r="DM26" i="3"/>
  <c r="DN38" i="3" a="1"/>
  <c r="DM16" i="3"/>
  <c r="DN44" i="3" a="1"/>
  <c r="DN26" i="3" a="1"/>
  <c r="DM44" i="3"/>
  <c r="DM27" i="3"/>
  <c r="DN42" i="3" a="1"/>
  <c r="DN34" i="3" a="1"/>
  <c r="DM34" i="3"/>
  <c r="DM31" i="3"/>
  <c r="DN28" i="3" a="1"/>
  <c r="DN24" i="3" a="1"/>
  <c r="DM29" i="3"/>
  <c r="DN47" i="3" a="1"/>
  <c r="DM50" i="3"/>
  <c r="AU22" i="3"/>
  <c r="DM30" i="3"/>
  <c r="DN12" i="3" a="1"/>
  <c r="DN10" i="3" a="1"/>
  <c r="AU15" i="3"/>
  <c r="DM52" i="3"/>
  <c r="DN9" i="3" a="1"/>
  <c r="DM9" i="3"/>
  <c r="AU7" i="3"/>
  <c r="DM7" i="3"/>
  <c r="DM43" i="3"/>
  <c r="DN14" i="3" a="1"/>
  <c r="DN37" i="3" a="1"/>
  <c r="DN11" i="3" a="1"/>
  <c r="DN25" i="3" a="1"/>
  <c r="DN30" i="3" a="1"/>
  <c r="DN48" i="3" a="1"/>
  <c r="AU94" i="3"/>
  <c r="AU81" i="3"/>
  <c r="AU77" i="3" s="1"/>
  <c r="AV76" i="3" s="1"/>
  <c r="DM8" i="3"/>
  <c r="DN8" i="3" a="1"/>
  <c r="DN19" i="3" a="1"/>
  <c r="DM21" i="3"/>
  <c r="DM19" i="3"/>
  <c r="DM45" i="3"/>
  <c r="DM48" i="3"/>
  <c r="DN21" i="3" a="1"/>
  <c r="DN43" i="3" a="1"/>
  <c r="DN36" i="3" a="1"/>
  <c r="DM36" i="3"/>
  <c r="DN17" i="3" a="1"/>
  <c r="DN51" i="3" a="1"/>
  <c r="DM51" i="3"/>
  <c r="DM12" i="3"/>
  <c r="DM49" i="3"/>
  <c r="DM37" i="3"/>
  <c r="DM10" i="3"/>
  <c r="DN49" i="3" a="1"/>
  <c r="DM17" i="3"/>
  <c r="AU57" i="3"/>
  <c r="DM33" i="3"/>
  <c r="DF9" i="3"/>
  <c r="AU53" i="3" l="1"/>
  <c r="AV52" i="3" s="1"/>
  <c r="AU69" i="3"/>
  <c r="AV68" i="3" s="1"/>
  <c r="AU21" i="3"/>
  <c r="AV20" i="3" s="1"/>
  <c r="AU93" i="3"/>
  <c r="AV92" i="3" s="1"/>
  <c r="AU45" i="3"/>
  <c r="AV44" i="3" s="1"/>
  <c r="AU29" i="3"/>
  <c r="AV28" i="3" s="1"/>
  <c r="AU13" i="3"/>
  <c r="AV12" i="3" s="1"/>
  <c r="AU5" i="3"/>
  <c r="AV4" i="3" s="1"/>
  <c r="AU37" i="3"/>
  <c r="AV36" i="3" s="1"/>
  <c r="DF6" i="3"/>
  <c r="DF43" i="3" l="1"/>
  <c r="DF27" i="3"/>
  <c r="DF23" i="3"/>
  <c r="DF20" i="3"/>
  <c r="DF39" i="3"/>
  <c r="DF53" i="3"/>
  <c r="DF36" i="3"/>
  <c r="DF45" i="3"/>
  <c r="DF46" i="3"/>
  <c r="DF31" i="3"/>
  <c r="DF34" i="3"/>
  <c r="DF29" i="3"/>
  <c r="DF47" i="3"/>
  <c r="DF21" i="3"/>
  <c r="DF50" i="3"/>
  <c r="DF33" i="3"/>
  <c r="DF42" i="3"/>
  <c r="DF25" i="3"/>
  <c r="DF16" i="3"/>
  <c r="DF37" i="3"/>
  <c r="DF28" i="3"/>
  <c r="DF41" i="3"/>
  <c r="DF44" i="3"/>
  <c r="DF40" i="3"/>
  <c r="DF51" i="3"/>
  <c r="DF22" i="3"/>
  <c r="DF12" i="3"/>
  <c r="DF18" i="3"/>
  <c r="DF24" i="3"/>
  <c r="DF32" i="3"/>
  <c r="DF10" i="3"/>
  <c r="DF19" i="3"/>
  <c r="DF14" i="3"/>
  <c r="DF15" i="3"/>
  <c r="DF11" i="3"/>
  <c r="DF17" i="3"/>
  <c r="DF13" i="3"/>
  <c r="DF26" i="3"/>
  <c r="DF48" i="3"/>
  <c r="DF30" i="3"/>
  <c r="DF49" i="3"/>
  <c r="DF52" i="3"/>
  <c r="DF35" i="3"/>
  <c r="DF38"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M113" i="3"/>
  <c r="AA113" i="3" s="1"/>
  <c r="D113" i="3" s="1"/>
  <c r="AK8" i="3" a="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M7" i="3"/>
  <c r="I5" i="45" s="1"/>
  <c r="AS7" i="3"/>
  <c r="AQ7" i="3"/>
  <c r="AN7" i="3"/>
  <c r="AP7" i="3"/>
  <c r="AR9" i="3"/>
  <c r="AT9" i="3"/>
  <c r="J7" i="45" s="1"/>
  <c r="AM9" i="3"/>
  <c r="I7" i="45" s="1"/>
  <c r="AK9" i="3" a="1"/>
  <c r="AO9" i="3"/>
  <c r="H7" i="45"/>
  <c r="AQ9" i="3"/>
  <c r="AN9" i="3"/>
  <c r="AP9" i="3"/>
  <c r="AS9" i="3"/>
  <c r="AK15" i="3" a="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R89" i="3"/>
  <c r="T39" i="45"/>
  <c r="AP89" i="3"/>
  <c r="AO89" i="3"/>
  <c r="AS89" i="3"/>
  <c r="AT89" i="3"/>
  <c r="V39" i="45" s="1"/>
  <c r="AM81" i="3"/>
  <c r="U31" i="45" s="1"/>
  <c r="AK81" i="3" a="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S17" i="3"/>
  <c r="AP54" i="3"/>
  <c r="AQ54" i="3"/>
  <c r="T4" i="45"/>
  <c r="AS54" i="3"/>
  <c r="M110" i="3"/>
  <c r="AA109" i="3" s="1"/>
  <c r="D109" i="3" s="1"/>
  <c r="AN54" i="3"/>
  <c r="AM54" i="3"/>
  <c r="U4" i="45" s="1"/>
  <c r="AT54" i="3"/>
  <c r="V4" i="45" s="1"/>
  <c r="AK54" i="3" a="1"/>
  <c r="AR54" i="3"/>
  <c r="AO54" i="3"/>
  <c r="AM71" i="3"/>
  <c r="U21" i="45" s="1"/>
  <c r="AS71" i="3"/>
  <c r="AN71" i="3"/>
  <c r="AP71" i="3"/>
  <c r="AR71" i="3"/>
  <c r="AO71" i="3"/>
  <c r="N106" i="3"/>
  <c r="AF105" i="3" s="1"/>
  <c r="AQ71" i="3"/>
  <c r="AT71" i="3"/>
  <c r="V21" i="45" s="1"/>
  <c r="T21" i="45"/>
  <c r="AK71" i="3" a="1"/>
  <c r="AN63" i="3"/>
  <c r="AO63" i="3"/>
  <c r="AT63" i="3"/>
  <c r="V13" i="45" s="1"/>
  <c r="T13" i="45"/>
  <c r="N114" i="3"/>
  <c r="AF115" i="3" s="1"/>
  <c r="AM63" i="3"/>
  <c r="U13" i="45" s="1"/>
  <c r="AK63" i="3" a="1"/>
  <c r="AP63" i="3"/>
  <c r="AQ63" i="3"/>
  <c r="AS63" i="3"/>
  <c r="AR63" i="3"/>
  <c r="AK56" i="3" a="1"/>
  <c r="AS56" i="3"/>
  <c r="AR56" i="3"/>
  <c r="AP56" i="3"/>
  <c r="T6" i="45"/>
  <c r="AN56" i="3"/>
  <c r="AM56" i="3"/>
  <c r="U6" i="45" s="1"/>
  <c r="AQ56" i="3"/>
  <c r="AO56" i="3"/>
  <c r="AT56" i="3"/>
  <c r="V6" i="45" s="1"/>
  <c r="AS65" i="3"/>
  <c r="AN65" i="3"/>
  <c r="T15" i="45"/>
  <c r="AT65" i="3"/>
  <c r="V15" i="45" s="1"/>
  <c r="AR65" i="3"/>
  <c r="AM65" i="3"/>
  <c r="U15" i="45" s="1"/>
  <c r="AO65" i="3"/>
  <c r="AP65" i="3"/>
  <c r="AK65" i="3" a="1"/>
  <c r="AQ65" i="3"/>
  <c r="AO78" i="3"/>
  <c r="AM78" i="3"/>
  <c r="U28" i="45" s="1"/>
  <c r="AN78" i="3"/>
  <c r="T28" i="45"/>
  <c r="AK78" i="3" a="1"/>
  <c r="AQ78" i="3"/>
  <c r="AR78" i="3"/>
  <c r="AS78" i="3"/>
  <c r="AP78" i="3"/>
  <c r="AT78" i="3"/>
  <c r="V28" i="45" s="1"/>
  <c r="M114" i="3"/>
  <c r="AA115" i="3" s="1"/>
  <c r="D115" i="3" s="1"/>
  <c r="AT72" i="3"/>
  <c r="V22" i="45" s="1"/>
  <c r="AS72" i="3"/>
  <c r="AP72" i="3"/>
  <c r="AK72" i="3" a="1"/>
  <c r="AN72" i="3"/>
  <c r="T22" i="45"/>
  <c r="AM72" i="3"/>
  <c r="U22" i="45" s="1"/>
  <c r="AR72" i="3"/>
  <c r="AO72" i="3"/>
  <c r="AQ72" i="3"/>
  <c r="AS73" i="3"/>
  <c r="AN73" i="3"/>
  <c r="AP73" i="3"/>
  <c r="T23" i="45"/>
  <c r="AT73" i="3"/>
  <c r="V23" i="45" s="1"/>
  <c r="AR73" i="3"/>
  <c r="AM73" i="3"/>
  <c r="U23" i="45" s="1"/>
  <c r="AO73" i="3"/>
  <c r="AQ73" i="3"/>
  <c r="AK73" i="3" a="1"/>
  <c r="AT96" i="3"/>
  <c r="V46" i="45" s="1"/>
  <c r="AR96" i="3"/>
  <c r="AP96" i="3"/>
  <c r="AQ96" i="3"/>
  <c r="AM96" i="3"/>
  <c r="U46" i="45" s="1"/>
  <c r="AN96" i="3"/>
  <c r="T46" i="45"/>
  <c r="AK96" i="3" a="1"/>
  <c r="AS96" i="3"/>
  <c r="AO96" i="3"/>
  <c r="AP25" i="3"/>
  <c r="AO25" i="3"/>
  <c r="AS25" i="3"/>
  <c r="AQ25" i="3"/>
  <c r="AT25" i="3"/>
  <c r="J23" i="45" s="1"/>
  <c r="AN25" i="3"/>
  <c r="H23" i="45"/>
  <c r="AR25" i="3"/>
  <c r="AK25" i="3" a="1"/>
  <c r="AM25" i="3"/>
  <c r="I23" i="45" s="1"/>
  <c r="BF60" i="3"/>
  <c r="BE60" i="3" s="1"/>
  <c r="BR60" i="3" s="1"/>
  <c r="AR48" i="3"/>
  <c r="AO48" i="3"/>
  <c r="AN48" i="3"/>
  <c r="AK48" i="3" a="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P40" i="3"/>
  <c r="H38" i="45"/>
  <c r="AT40" i="3"/>
  <c r="J38" i="45" s="1"/>
  <c r="AS40" i="3"/>
  <c r="AN40" i="3"/>
  <c r="AR40" i="3"/>
  <c r="AS87" i="3"/>
  <c r="AN87" i="3"/>
  <c r="M111" i="3"/>
  <c r="AA112" i="3" s="1"/>
  <c r="D112" i="3" s="1"/>
  <c r="T37" i="45"/>
  <c r="AP87" i="3"/>
  <c r="AO87" i="3"/>
  <c r="AQ87" i="3"/>
  <c r="AK87" i="3" a="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R32" i="3"/>
  <c r="AM32" i="3"/>
  <c r="I30" i="45" s="1"/>
  <c r="AT32" i="3"/>
  <c r="J30" i="45" s="1"/>
  <c r="AT16" i="3"/>
  <c r="J14" i="45" s="1"/>
  <c r="AP16" i="3"/>
  <c r="AN16" i="3"/>
  <c r="AK16" i="3" a="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O22" i="3"/>
  <c r="AT22" i="3"/>
  <c r="J20" i="45" s="1"/>
  <c r="AS22" i="3"/>
  <c r="AR22" i="3"/>
  <c r="AK33" i="3" a="1"/>
  <c r="AT33" i="3"/>
  <c r="J31" i="45" s="1"/>
  <c r="AP33" i="3"/>
  <c r="AM33" i="3"/>
  <c r="I31" i="45" s="1"/>
  <c r="H31" i="45"/>
  <c r="AO33" i="3"/>
  <c r="AR33" i="3"/>
  <c r="AN33" i="3"/>
  <c r="AQ33" i="3"/>
  <c r="AS33" i="3"/>
  <c r="AP62" i="3"/>
  <c r="AR62" i="3"/>
  <c r="T12" i="45"/>
  <c r="M112" i="3"/>
  <c r="AA111" i="3" s="1"/>
  <c r="D111" i="3" s="1"/>
  <c r="AK62" i="3" a="1"/>
  <c r="AQ62" i="3"/>
  <c r="AO62" i="3"/>
  <c r="AT62" i="3"/>
  <c r="V12" i="45" s="1"/>
  <c r="AS62" i="3"/>
  <c r="AN62" i="3"/>
  <c r="AM62" i="3"/>
  <c r="U12" i="45" s="1"/>
  <c r="AT86" i="3"/>
  <c r="V36" i="45" s="1"/>
  <c r="AO86" i="3"/>
  <c r="AP86" i="3"/>
  <c r="T36" i="45"/>
  <c r="AQ86" i="3"/>
  <c r="AN86" i="3"/>
  <c r="AK86" i="3" a="1"/>
  <c r="AM86" i="3"/>
  <c r="U36" i="45" s="1"/>
  <c r="AS86" i="3"/>
  <c r="M115" i="3"/>
  <c r="AA116" i="3" s="1"/>
  <c r="D116" i="3" s="1"/>
  <c r="AR86" i="3"/>
  <c r="H28" i="45"/>
  <c r="AN30" i="3"/>
  <c r="AK30" i="3" a="1"/>
  <c r="AP30" i="3"/>
  <c r="AQ30" i="3"/>
  <c r="AT30" i="3"/>
  <c r="J28" i="45" s="1"/>
  <c r="AM30" i="3"/>
  <c r="I28" i="45" s="1"/>
  <c r="AO30" i="3"/>
  <c r="AS30" i="3"/>
  <c r="AR30" i="3"/>
  <c r="M109" i="3"/>
  <c r="AA110" i="3" s="1"/>
  <c r="AT47" i="3"/>
  <c r="J45" i="45" s="1"/>
  <c r="N104" i="3"/>
  <c r="AF102" i="3" s="1"/>
  <c r="H45" i="45"/>
  <c r="AK47" i="3" a="1"/>
  <c r="AR47" i="3"/>
  <c r="AO47" i="3"/>
  <c r="AQ47" i="3"/>
  <c r="AS47" i="3"/>
  <c r="AP47" i="3"/>
  <c r="AN47" i="3"/>
  <c r="AM47" i="3"/>
  <c r="I45" i="45" s="1"/>
  <c r="AQ31" i="3"/>
  <c r="AR31" i="3"/>
  <c r="AT31" i="3"/>
  <c r="J29" i="45" s="1"/>
  <c r="H29" i="45"/>
  <c r="AN31" i="3"/>
  <c r="AP31" i="3"/>
  <c r="AM31" i="3"/>
  <c r="I29" i="45" s="1"/>
  <c r="AO31" i="3"/>
  <c r="M116" i="3"/>
  <c r="AA114" i="3" s="1"/>
  <c r="AK31" i="3" a="1"/>
  <c r="AS31" i="3"/>
  <c r="AM24" i="3"/>
  <c r="I22" i="45" s="1"/>
  <c r="AT24" i="3"/>
  <c r="J22" i="45" s="1"/>
  <c r="AO24" i="3"/>
  <c r="AQ24" i="3"/>
  <c r="AR24" i="3"/>
  <c r="AP24" i="3"/>
  <c r="AK24" i="3" a="1"/>
  <c r="H22" i="45"/>
  <c r="AS24" i="3"/>
  <c r="AN24" i="3"/>
  <c r="AR57" i="3"/>
  <c r="AK57" i="3" a="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Q49" i="3"/>
  <c r="AN49" i="3"/>
  <c r="AS49" i="3"/>
  <c r="AM49" i="3"/>
  <c r="I47" i="45" s="1"/>
  <c r="AN41" i="3"/>
  <c r="H39" i="45"/>
  <c r="AT41" i="3"/>
  <c r="J39" i="45" s="1"/>
  <c r="AP41" i="3"/>
  <c r="AQ41" i="3"/>
  <c r="AS41" i="3"/>
  <c r="AO41" i="3"/>
  <c r="AM41" i="3"/>
  <c r="I39" i="45" s="1"/>
  <c r="AK41" i="3" a="1"/>
  <c r="AR41" i="3"/>
  <c r="AK23" i="3" a="1"/>
  <c r="AT23" i="3"/>
  <c r="J21" i="45" s="1"/>
  <c r="H21" i="45"/>
  <c r="AO23" i="3"/>
  <c r="N103" i="3"/>
  <c r="AF104" i="3" s="1"/>
  <c r="AP23" i="3"/>
  <c r="AS23" i="3"/>
  <c r="AQ23" i="3"/>
  <c r="AN23" i="3"/>
  <c r="AR23" i="3"/>
  <c r="AM23" i="3"/>
  <c r="I21" i="45" s="1"/>
  <c r="N116" i="3"/>
  <c r="AF114" i="3" s="1"/>
  <c r="AS55" i="3"/>
  <c r="AK55" i="3" a="1"/>
  <c r="AO55" i="3"/>
  <c r="AR55" i="3"/>
  <c r="T5" i="45"/>
  <c r="AP55" i="3"/>
  <c r="AT55" i="3"/>
  <c r="V5" i="45" s="1"/>
  <c r="AN55" i="3"/>
  <c r="AM55" i="3"/>
  <c r="U5" i="45" s="1"/>
  <c r="AQ55" i="3"/>
  <c r="AN94" i="3"/>
  <c r="AM94" i="3"/>
  <c r="U44" i="45" s="1"/>
  <c r="AQ94" i="3"/>
  <c r="AK94" i="3" a="1"/>
  <c r="AS94" i="3"/>
  <c r="AT94" i="3"/>
  <c r="V44" i="45" s="1"/>
  <c r="AR94" i="3"/>
  <c r="AO94" i="3"/>
  <c r="T44" i="45"/>
  <c r="AP94" i="3"/>
  <c r="M108" i="3"/>
  <c r="AA108" i="3" s="1"/>
  <c r="D108" i="3" s="1"/>
  <c r="AK97" i="3" a="1"/>
  <c r="AN97" i="3"/>
  <c r="AS97" i="3"/>
  <c r="AR97" i="3"/>
  <c r="AM97" i="3"/>
  <c r="U47" i="45" s="1"/>
  <c r="AP97" i="3"/>
  <c r="AQ97" i="3"/>
  <c r="AO97" i="3"/>
  <c r="AT97" i="3"/>
  <c r="V47" i="45" s="1"/>
  <c r="T47" i="45"/>
  <c r="AP95" i="3"/>
  <c r="AR95" i="3"/>
  <c r="AM95" i="3"/>
  <c r="U45" i="45" s="1"/>
  <c r="AO95" i="3"/>
  <c r="N111" i="3"/>
  <c r="AF112" i="3" s="1"/>
  <c r="AS95" i="3"/>
  <c r="AN95" i="3"/>
  <c r="AQ95" i="3"/>
  <c r="AK95" i="3" a="1"/>
  <c r="AT95" i="3"/>
  <c r="V45" i="45" s="1"/>
  <c r="T45" i="45"/>
  <c r="AR39" i="3"/>
  <c r="AM39" i="3"/>
  <c r="I37" i="45" s="1"/>
  <c r="M106" i="3"/>
  <c r="AA105" i="3" s="1"/>
  <c r="D105" i="3" s="1"/>
  <c r="AQ39" i="3"/>
  <c r="AS39" i="3"/>
  <c r="AN39" i="3"/>
  <c r="AT39" i="3"/>
  <c r="J37" i="45" s="1"/>
  <c r="H37" i="45"/>
  <c r="AP39" i="3"/>
  <c r="AO39" i="3"/>
  <c r="AK39" i="3" a="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S88" i="3"/>
  <c r="AS46" i="3"/>
  <c r="AQ46" i="3"/>
  <c r="AN46" i="3"/>
  <c r="H44" i="45"/>
  <c r="M103" i="3"/>
  <c r="AA104" i="3" s="1"/>
  <c r="AP46" i="3"/>
  <c r="AR46" i="3"/>
  <c r="AO46" i="3"/>
  <c r="AK46" i="3" a="1"/>
  <c r="AM46" i="3"/>
  <c r="I44" i="45" s="1"/>
  <c r="AT46" i="3"/>
  <c r="J44" i="45" s="1"/>
  <c r="AK64" i="3" a="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S38" i="3"/>
  <c r="AO38" i="3"/>
  <c r="AQ38" i="3"/>
  <c r="AN38" i="3"/>
  <c r="AR38" i="3"/>
  <c r="AP38" i="3"/>
  <c r="D114" i="3" l="1"/>
  <c r="AG114" i="3" s="1"/>
  <c r="BF65" i="3"/>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K64" i="3"/>
  <c r="BK68" i="3"/>
  <c r="BJ68" i="3"/>
  <c r="BE66" i="3"/>
  <c r="BR66" i="3" s="1"/>
  <c r="BE59" i="3"/>
  <c r="BR59" i="3" s="1"/>
  <c r="BK63" i="3"/>
  <c r="BL63" i="3" s="1"/>
  <c r="BJ69" i="3"/>
  <c r="BK69" i="3"/>
  <c r="D104" i="3"/>
  <c r="AG104" i="3" s="1"/>
  <c r="AG116" i="3"/>
  <c r="N127" i="3"/>
  <c r="AF127" i="3" s="1"/>
  <c r="AG115" i="3"/>
  <c r="M126" i="3"/>
  <c r="AA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1" i="3" l="1"/>
  <c r="AG121" i="3" s="1"/>
  <c r="BL65" i="3"/>
  <c r="D122" i="3"/>
  <c r="N126" i="3"/>
  <c r="AF126" i="3" s="1"/>
  <c r="C196" i="31" s="1"/>
  <c r="D127" i="3"/>
  <c r="D124" i="3"/>
  <c r="AG124" i="3" s="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M131" i="3"/>
  <c r="AA131" i="3" s="1"/>
  <c r="C197" i="31"/>
  <c r="AE47" i="45"/>
  <c r="AE40" i="45"/>
  <c r="C188"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2" i="3" l="1"/>
  <c r="M133" i="3"/>
  <c r="AA133" i="3" s="1"/>
  <c r="N134" i="3"/>
  <c r="AF134" i="3" s="1"/>
  <c r="D134" i="3" s="1"/>
  <c r="AG134" i="3" s="1"/>
  <c r="AG127" i="3"/>
  <c r="B206" i="31"/>
  <c r="C206" i="31"/>
  <c r="AE41" i="45"/>
  <c r="M132" i="3"/>
  <c r="AA132" i="3" s="1"/>
  <c r="C211" i="31" s="1"/>
  <c r="D120" i="3"/>
  <c r="BS63" i="3"/>
  <c r="BS68" i="3"/>
  <c r="BS66" i="3"/>
  <c r="BS65" i="3"/>
  <c r="BS58" i="3"/>
  <c r="BS69" i="3"/>
  <c r="BS60" i="3"/>
  <c r="BS64" i="3"/>
  <c r="BS67" i="3"/>
  <c r="BS62" i="3"/>
  <c r="BS61" i="3"/>
  <c r="BS59" i="3"/>
  <c r="C190" i="31"/>
  <c r="AE11" i="45"/>
  <c r="B200" i="31"/>
  <c r="AG126" i="3"/>
  <c r="AI43" i="45"/>
  <c r="C213" i="31"/>
  <c r="AI7" i="45"/>
  <c r="C210" i="31"/>
  <c r="D133" i="3" l="1"/>
  <c r="C212" i="31"/>
  <c r="AI31" i="45"/>
  <c r="AI44" i="45"/>
  <c r="C217" i="31"/>
  <c r="B223" i="31"/>
  <c r="C223" i="31"/>
  <c r="D132" i="3"/>
  <c r="AI19" i="45"/>
  <c r="N139" i="3"/>
  <c r="AF139" i="3" s="1"/>
  <c r="AF147" i="3" s="1"/>
  <c r="AG120" i="3"/>
  <c r="N131" i="3"/>
  <c r="AF131" i="3" s="1"/>
  <c r="D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D139" i="3" l="1"/>
  <c r="M139" i="3"/>
  <c r="AA139" i="3" s="1"/>
  <c r="AG133" i="3"/>
  <c r="C229" i="31"/>
  <c r="AM38" i="45" a="1"/>
  <c r="N138" i="3"/>
  <c r="AF138" i="3" s="1"/>
  <c r="AG132" i="3"/>
  <c r="M138" i="3"/>
  <c r="AA138" i="3" s="1"/>
  <c r="AG131" i="3"/>
  <c r="AI8" i="45"/>
  <c r="C214" i="31"/>
  <c r="B220" i="31"/>
  <c r="C220" i="31"/>
  <c r="BV61" i="3"/>
  <c r="BV60" i="3"/>
  <c r="BV66" i="3"/>
  <c r="BV69" i="3"/>
  <c r="BV65" i="3"/>
  <c r="BV68" i="3"/>
  <c r="BV62" i="3"/>
  <c r="BV59" i="3"/>
  <c r="BV64" i="3"/>
  <c r="BV58" i="3"/>
  <c r="BV67" i="3"/>
  <c r="BV63" i="3"/>
  <c r="H147" i="3"/>
  <c r="AA151" i="3"/>
  <c r="AG139" i="3"/>
  <c r="N143" i="3"/>
  <c r="N147" i="3"/>
  <c r="AU26" i="45"/>
  <c r="C241" i="31"/>
  <c r="AF143" i="3" l="1"/>
  <c r="H139" i="3"/>
  <c r="C233" i="31"/>
  <c r="B233" i="31"/>
  <c r="C227" i="31"/>
  <c r="AM37" i="45"/>
  <c r="D138" i="3"/>
  <c r="C228" i="31"/>
  <c r="AA147" i="3"/>
  <c r="AM14" i="45"/>
  <c r="AA143" i="3"/>
  <c r="H138" i="3"/>
  <c r="C226" i="31"/>
  <c r="C232" i="31"/>
  <c r="AM13" i="45"/>
  <c r="B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AA152" i="3" l="1"/>
  <c r="D143" i="3"/>
  <c r="AG143" i="3" s="1"/>
  <c r="C237" i="31"/>
  <c r="AQ32" i="45"/>
  <c r="M143" i="3"/>
  <c r="M147" i="3"/>
  <c r="AG138" i="3"/>
  <c r="D147" i="3"/>
  <c r="AG147" i="3" s="1"/>
  <c r="AA150" i="3"/>
  <c r="AU25" i="45"/>
  <c r="B247" i="31"/>
  <c r="C247" i="31"/>
  <c r="C240" i="31"/>
  <c r="B244" i="31"/>
  <c r="C244" i="31"/>
  <c r="AQ31" i="45"/>
  <c r="C236" i="31"/>
  <c r="BY59" i="3"/>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Y63" i="3"/>
  <c r="BY60" i="3"/>
  <c r="BY61" i="3"/>
  <c r="BY68" i="3"/>
  <c r="BY66" i="3"/>
  <c r="BY69" i="3"/>
  <c r="BY64" i="3"/>
  <c r="BY62" i="3"/>
  <c r="BY67" i="3"/>
  <c r="BY58" i="3"/>
  <c r="BY65" i="3"/>
  <c r="AZ25" i="45" l="1"/>
  <c r="AG152" i="3"/>
  <c r="C252" i="31"/>
  <c r="AG150" i="3"/>
  <c r="BA21" i="45"/>
  <c r="C250" i="31"/>
  <c r="BZ65" i="3"/>
  <c r="CA65" i="3" s="1"/>
  <c r="BZ60" i="3"/>
  <c r="BZ64" i="3"/>
  <c r="BZ58" i="3"/>
  <c r="BZ59" i="3"/>
  <c r="CA59" i="3" s="1"/>
  <c r="BZ61" i="3"/>
  <c r="BZ68" i="3"/>
  <c r="BZ69" i="3"/>
  <c r="BZ67" i="3"/>
  <c r="BZ62" i="3"/>
  <c r="BZ63" i="3"/>
  <c r="BZ66" i="3"/>
  <c r="BM8" i="45" l="1"/>
  <c r="BM20" i="45"/>
  <c r="BM42" i="45"/>
  <c r="BM19" i="45"/>
  <c r="BM44" i="45"/>
  <c r="BM31" i="45"/>
  <c r="BM26" i="45"/>
  <c r="BM22" i="45"/>
  <c r="BM41" i="45"/>
  <c r="BM34" i="45"/>
  <c r="BM38" i="45"/>
  <c r="BM30" i="45"/>
  <c r="BM13" i="45"/>
  <c r="BM4" i="45"/>
  <c r="BM23" i="45"/>
  <c r="BM33" i="45"/>
  <c r="BM35" i="45"/>
  <c r="BM11" i="45"/>
  <c r="BM29" i="45"/>
  <c r="BM18" i="45"/>
  <c r="BM12" i="45"/>
  <c r="BM16" i="45"/>
  <c r="BM49" i="45"/>
  <c r="BM7" i="45"/>
  <c r="BM50" i="45"/>
  <c r="BM36" i="45"/>
  <c r="BM32" i="45"/>
  <c r="BM24" i="45"/>
  <c r="BM43" i="45"/>
  <c r="BM21" i="45"/>
  <c r="BM47" i="45"/>
  <c r="BM6" i="45"/>
  <c r="BM14" i="45"/>
  <c r="BM40" i="45"/>
  <c r="BM27" i="45"/>
  <c r="BM10" i="45"/>
  <c r="BM37" i="45"/>
  <c r="BM17" i="45"/>
  <c r="BM5" i="45"/>
  <c r="BM51" i="45"/>
  <c r="BM15" i="45"/>
  <c r="BM28" i="45"/>
  <c r="BM25" i="45"/>
  <c r="BM39" i="45"/>
  <c r="BM45" i="45"/>
  <c r="BM46" i="45"/>
  <c r="BM48" i="45"/>
  <c r="BM9" i="45"/>
  <c r="BO38" i="45"/>
  <c r="BL38" i="45" s="1"/>
  <c r="BO17" i="45"/>
  <c r="BL17" i="45" s="1"/>
  <c r="BO22" i="45"/>
  <c r="BO47" i="45"/>
  <c r="BL47" i="45" s="1"/>
  <c r="BO39" i="45"/>
  <c r="BO45" i="45"/>
  <c r="BL45" i="45" s="1"/>
  <c r="BO46" i="45"/>
  <c r="BL46" i="45" s="1"/>
  <c r="BO41" i="45"/>
  <c r="BL41" i="45" s="1"/>
  <c r="BO31" i="45"/>
  <c r="BL31" i="45" s="1"/>
  <c r="BO37" i="45"/>
  <c r="BL37" i="45" s="1"/>
  <c r="BO12" i="45"/>
  <c r="BL12" i="45" s="1"/>
  <c r="BO14" i="45"/>
  <c r="BL14" i="45" s="1"/>
  <c r="BO10" i="45"/>
  <c r="BO26" i="45"/>
  <c r="BL26" i="45" s="1"/>
  <c r="BO30" i="45"/>
  <c r="BO16" i="45"/>
  <c r="BL16" i="45" s="1"/>
  <c r="BO34" i="45"/>
  <c r="BL34" i="45" s="1"/>
  <c r="BO24" i="45"/>
  <c r="BO40" i="45"/>
  <c r="BL40" i="45" s="1"/>
  <c r="BO8" i="45"/>
  <c r="BL8" i="45" s="1"/>
  <c r="BO20" i="45"/>
  <c r="BL20" i="45" s="1"/>
  <c r="BO51" i="45"/>
  <c r="BO28" i="45"/>
  <c r="BL28" i="45" s="1"/>
  <c r="BO7" i="45"/>
  <c r="BL7" i="45" s="1"/>
  <c r="BO49" i="45"/>
  <c r="BL49" i="45" s="1"/>
  <c r="BO25" i="45"/>
  <c r="BL25" i="45" s="1"/>
  <c r="BO19" i="45"/>
  <c r="BO21" i="45"/>
  <c r="BL21" i="45" s="1"/>
  <c r="BO35" i="45"/>
  <c r="BL35" i="45" s="1"/>
  <c r="BO43" i="45"/>
  <c r="BL43" i="45" s="1"/>
  <c r="BO48" i="45"/>
  <c r="BL48" i="45" s="1"/>
  <c r="BO32" i="45"/>
  <c r="BL32" i="45" s="1"/>
  <c r="BO50" i="45"/>
  <c r="BL50" i="45" s="1"/>
  <c r="BO36" i="45"/>
  <c r="BL36" i="45" s="1"/>
  <c r="BO33" i="45"/>
  <c r="BO15" i="45"/>
  <c r="BL15" i="45" s="1"/>
  <c r="BO29" i="45"/>
  <c r="BL29" i="45" s="1"/>
  <c r="BO44" i="45"/>
  <c r="BL44" i="45" s="1"/>
  <c r="BO13" i="45"/>
  <c r="BL13" i="45" s="1"/>
  <c r="BO18" i="45"/>
  <c r="BL18" i="45" s="1"/>
  <c r="BO6" i="45"/>
  <c r="BO9" i="45"/>
  <c r="BO23" i="45"/>
  <c r="BL23" i="45" s="1"/>
  <c r="BO4" i="45"/>
  <c r="BL4" i="45" s="1"/>
  <c r="BO5" i="45"/>
  <c r="BL5" i="45" s="1"/>
  <c r="BO42" i="45"/>
  <c r="BL42" i="45" s="1"/>
  <c r="BO11" i="45"/>
  <c r="BL11" i="45" s="1"/>
  <c r="BO27" i="45"/>
  <c r="BL27" i="45" s="1"/>
  <c r="CA69" i="3"/>
  <c r="CA68" i="3"/>
  <c r="CA61" i="3"/>
  <c r="CA66" i="3"/>
  <c r="CA58" i="3"/>
  <c r="CA64" i="3"/>
  <c r="CA67" i="3"/>
  <c r="CA63" i="3"/>
  <c r="CA62" i="3"/>
  <c r="CA60" i="3"/>
  <c r="BL33" i="45" l="1"/>
  <c r="BL19" i="45"/>
  <c r="BL30" i="45"/>
  <c r="BL22" i="45"/>
  <c r="BL9" i="45"/>
  <c r="BL51" i="45"/>
  <c r="BL24" i="45"/>
  <c r="BL6" i="45"/>
  <c r="BL10" i="45"/>
  <c r="BL39" i="45"/>
  <c r="CB66" i="3"/>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CE60" i="3"/>
  <c r="CE59" i="3"/>
  <c r="DN58" i="3" a="1"/>
  <c r="DM65" i="3"/>
  <c r="DN67" i="3" a="1"/>
  <c r="DM59" i="3"/>
  <c r="DM58" i="3"/>
  <c r="CE64" i="3"/>
  <c r="DN69" i="3" a="1"/>
  <c r="CE58" i="3"/>
  <c r="DM69" i="3"/>
  <c r="DM62" i="3"/>
  <c r="DN68" i="3" a="1"/>
  <c r="DM61" i="3"/>
  <c r="CE66" i="3"/>
  <c r="DM66" i="3"/>
  <c r="DM67" i="3"/>
  <c r="AU101" i="3"/>
  <c r="AV100" i="3" s="1"/>
  <c r="DM63" i="3"/>
  <c r="DN66" i="3" a="1"/>
  <c r="DN60" i="3" a="1"/>
  <c r="DM68" i="3"/>
  <c r="DN63" i="3" a="1"/>
  <c r="DM60" i="3"/>
  <c r="CE63" i="3"/>
  <c r="CE61" i="3"/>
  <c r="DN61" i="3" a="1"/>
  <c r="DM64" i="3"/>
  <c r="DN59" i="3" a="1"/>
  <c r="CE65" i="3"/>
  <c r="CE62" i="3"/>
  <c r="DN64" i="3" a="1"/>
  <c r="DN62" i="3" a="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12" i="3" a="1"/>
  <c r="AO112" i="3"/>
  <c r="AM109" i="3"/>
  <c r="AS109" i="3"/>
  <c r="AN112" i="3"/>
  <c r="AN109" i="3"/>
  <c r="AM112" i="3"/>
  <c r="BF110" i="3"/>
  <c r="AO109" i="3"/>
  <c r="AR112" i="3"/>
  <c r="AQ109" i="3"/>
  <c r="AP109" i="3"/>
  <c r="AP112" i="3"/>
  <c r="AT112" i="3"/>
  <c r="AT109" i="3"/>
  <c r="AQ112" i="3"/>
  <c r="AS105" i="3"/>
  <c r="AN113" i="3"/>
  <c r="AK113" i="3" a="1"/>
  <c r="AR113" i="3"/>
  <c r="AT113" i="3"/>
  <c r="AP113" i="3"/>
  <c r="AK102" i="3" a="1"/>
  <c r="AQ113" i="3"/>
  <c r="AQ106" i="3"/>
  <c r="AM106" i="3"/>
  <c r="AK111" i="3" a="1"/>
  <c r="AS110" i="3"/>
  <c r="AK110" i="3" a="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N104" i="3"/>
  <c r="AK104" i="3" a="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6" i="3" a="1"/>
  <c r="AS104" i="3"/>
  <c r="AN102" i="3"/>
  <c r="AN107" i="3"/>
  <c r="AO103" i="3"/>
  <c r="BF104" i="3"/>
  <c r="AK107" i="3" a="1"/>
  <c r="AK103" i="3" a="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 r="AM38" i="45"/>
  <c r="AK113" i="3"/>
  <c r="AK112" i="3"/>
  <c r="AK111" i="3"/>
  <c r="AK110" i="3"/>
  <c r="AK109" i="3"/>
  <c r="AK108" i="3"/>
  <c r="AK107" i="3"/>
  <c r="AK106" i="3"/>
  <c r="AK105" i="3"/>
  <c r="AK104" i="3"/>
  <c r="AK103" i="3"/>
  <c r="AK102" i="3"/>
  <c r="AK97" i="3"/>
  <c r="AE97" i="3"/>
  <c r="AB97" i="3"/>
  <c r="AK96" i="3"/>
  <c r="AE96" i="3"/>
  <c r="AB96" i="3"/>
  <c r="AK95" i="3"/>
  <c r="AE95" i="3"/>
  <c r="AB95" i="3"/>
  <c r="AK94" i="3"/>
  <c r="AE94" i="3"/>
  <c r="AB94" i="3"/>
  <c r="AE93" i="3"/>
  <c r="AB93" i="3"/>
  <c r="AE92" i="3"/>
  <c r="AB92" i="3"/>
  <c r="AK89" i="3"/>
  <c r="AE89" i="3"/>
  <c r="AB89" i="3"/>
  <c r="AK88" i="3"/>
  <c r="AE88" i="3"/>
  <c r="AB88" i="3"/>
  <c r="AK87" i="3"/>
  <c r="AE87" i="3"/>
  <c r="AB87" i="3"/>
  <c r="AK86" i="3"/>
  <c r="AE86" i="3"/>
  <c r="AB86" i="3"/>
  <c r="AE85" i="3"/>
  <c r="AB85" i="3"/>
  <c r="AE84" i="3"/>
  <c r="AB84" i="3"/>
  <c r="AK81" i="3"/>
  <c r="AE81" i="3"/>
  <c r="AB81" i="3"/>
  <c r="AK80" i="3"/>
  <c r="AE80" i="3"/>
  <c r="AB80" i="3"/>
  <c r="AK79" i="3"/>
  <c r="AE79" i="3"/>
  <c r="AB79" i="3"/>
  <c r="AK78" i="3"/>
  <c r="AE78" i="3"/>
  <c r="AB78" i="3"/>
  <c r="AE77" i="3"/>
  <c r="AB77" i="3"/>
  <c r="AE76" i="3"/>
  <c r="AB76" i="3"/>
  <c r="AK73" i="3"/>
  <c r="AE73" i="3"/>
  <c r="AB73" i="3"/>
  <c r="AK72" i="3"/>
  <c r="AE72" i="3"/>
  <c r="AB72" i="3"/>
  <c r="AK71" i="3"/>
  <c r="AE71" i="3"/>
  <c r="AB71" i="3"/>
  <c r="AK70" i="3"/>
  <c r="AE70" i="3"/>
  <c r="AB70" i="3"/>
  <c r="DN69" i="3"/>
  <c r="AE69" i="3"/>
  <c r="AB69" i="3"/>
  <c r="DN68" i="3"/>
  <c r="AE68" i="3"/>
  <c r="AB68" i="3"/>
  <c r="DN67" i="3"/>
  <c r="DN66" i="3"/>
  <c r="DN65" i="3"/>
  <c r="AK65" i="3"/>
  <c r="AE65" i="3"/>
  <c r="AB65" i="3"/>
  <c r="DN64" i="3"/>
  <c r="AK64" i="3"/>
  <c r="AE64" i="3"/>
  <c r="AB64" i="3"/>
  <c r="DN63" i="3"/>
  <c r="AK63" i="3"/>
  <c r="AE63" i="3"/>
  <c r="AB63" i="3"/>
  <c r="DN62" i="3"/>
  <c r="AK62" i="3"/>
  <c r="AE62" i="3"/>
  <c r="AB62" i="3"/>
  <c r="DN61" i="3"/>
  <c r="AE61" i="3"/>
  <c r="AB61" i="3"/>
  <c r="DN60" i="3"/>
  <c r="AE60" i="3"/>
  <c r="AB60" i="3"/>
  <c r="DN59" i="3"/>
  <c r="DN58" i="3"/>
  <c r="AK57" i="3"/>
  <c r="AE57" i="3"/>
  <c r="AB57" i="3"/>
  <c r="AK56" i="3"/>
  <c r="AE56" i="3"/>
  <c r="AB56" i="3"/>
  <c r="AK55" i="3"/>
  <c r="AE55" i="3"/>
  <c r="AB55" i="3"/>
  <c r="AK54" i="3"/>
  <c r="AE54" i="3"/>
  <c r="AB54" i="3"/>
  <c r="DN53" i="3"/>
  <c r="AE53" i="3"/>
  <c r="AB53" i="3"/>
  <c r="DN52" i="3"/>
  <c r="AE52" i="3"/>
  <c r="AB52" i="3"/>
  <c r="DN51" i="3"/>
  <c r="DN50" i="3"/>
  <c r="DN49" i="3"/>
  <c r="AK49" i="3"/>
  <c r="AE49" i="3"/>
  <c r="AB49" i="3"/>
  <c r="DN48" i="3"/>
  <c r="AK48" i="3"/>
  <c r="AE48" i="3"/>
  <c r="AB48" i="3"/>
  <c r="DN47" i="3"/>
  <c r="AK47" i="3"/>
  <c r="AE47" i="3"/>
  <c r="AB47" i="3"/>
  <c r="DN46" i="3"/>
  <c r="AK46" i="3"/>
  <c r="AE46" i="3"/>
  <c r="AB46" i="3"/>
  <c r="DN45" i="3"/>
  <c r="AE45" i="3"/>
  <c r="AB45" i="3"/>
  <c r="DN44" i="3"/>
  <c r="AE44" i="3"/>
  <c r="AB44" i="3"/>
  <c r="DN43" i="3"/>
  <c r="DN42" i="3"/>
  <c r="DN41" i="3"/>
  <c r="AK41" i="3"/>
  <c r="AE41" i="3"/>
  <c r="AB41" i="3"/>
  <c r="DN40" i="3"/>
  <c r="AK40" i="3"/>
  <c r="AE40" i="3"/>
  <c r="AB40" i="3"/>
  <c r="DN39" i="3"/>
  <c r="AK39" i="3"/>
  <c r="AE39" i="3"/>
  <c r="AB39" i="3"/>
  <c r="DN38" i="3"/>
  <c r="AK38" i="3"/>
  <c r="AE38" i="3"/>
  <c r="AB38" i="3"/>
  <c r="DN37" i="3"/>
  <c r="AE37" i="3"/>
  <c r="AB37" i="3"/>
  <c r="DN36" i="3"/>
  <c r="AE36" i="3"/>
  <c r="AB36" i="3"/>
  <c r="DN35" i="3"/>
  <c r="DN34" i="3"/>
  <c r="DN33" i="3"/>
  <c r="AK33" i="3"/>
  <c r="AE33" i="3"/>
  <c r="AB33" i="3"/>
  <c r="DN32" i="3"/>
  <c r="AK32" i="3"/>
  <c r="AE32" i="3"/>
  <c r="AB32" i="3"/>
  <c r="DN31" i="3"/>
  <c r="AK31" i="3"/>
  <c r="AE31" i="3"/>
  <c r="AB31" i="3"/>
  <c r="DN30" i="3"/>
  <c r="AK30" i="3"/>
  <c r="AE30" i="3"/>
  <c r="AB30" i="3"/>
  <c r="DN29" i="3"/>
  <c r="AE29" i="3"/>
  <c r="AB29" i="3"/>
  <c r="DN28" i="3"/>
  <c r="AE28" i="3"/>
  <c r="AB28" i="3"/>
  <c r="DN27" i="3"/>
  <c r="DN26" i="3"/>
  <c r="DN25" i="3"/>
  <c r="AK25" i="3"/>
  <c r="AE25" i="3"/>
  <c r="AB25" i="3"/>
  <c r="DN24" i="3"/>
  <c r="AK24" i="3"/>
  <c r="AE24" i="3"/>
  <c r="AB24" i="3"/>
  <c r="DN23" i="3"/>
  <c r="AK23" i="3"/>
  <c r="AE23" i="3"/>
  <c r="AB23" i="3"/>
  <c r="DN22" i="3"/>
  <c r="AK22" i="3"/>
  <c r="AE22" i="3"/>
  <c r="AB22" i="3"/>
  <c r="DN21" i="3"/>
  <c r="AE21" i="3"/>
  <c r="AB21" i="3"/>
  <c r="DN20" i="3"/>
  <c r="AE20" i="3"/>
  <c r="AB20" i="3"/>
  <c r="DN19" i="3"/>
  <c r="DN18" i="3"/>
  <c r="DN17" i="3"/>
  <c r="AK17" i="3"/>
  <c r="AE17" i="3"/>
  <c r="AB17" i="3"/>
  <c r="DN16" i="3"/>
  <c r="AK16" i="3"/>
  <c r="AE16" i="3"/>
  <c r="AB16" i="3"/>
  <c r="DN15" i="3"/>
  <c r="AK15" i="3"/>
  <c r="AE15" i="3"/>
  <c r="AB15" i="3"/>
  <c r="DN14" i="3"/>
  <c r="AK14" i="3"/>
  <c r="AE14" i="3"/>
  <c r="AB14" i="3"/>
  <c r="DN13" i="3"/>
  <c r="AE13" i="3"/>
  <c r="AB13" i="3"/>
  <c r="DN12" i="3"/>
  <c r="AE12" i="3"/>
  <c r="AB12" i="3"/>
  <c r="DN11" i="3"/>
  <c r="DN10" i="3"/>
  <c r="DN9" i="3"/>
  <c r="AK9" i="3"/>
  <c r="AE9" i="3"/>
  <c r="AB9" i="3"/>
  <c r="DN8" i="3"/>
  <c r="AK8" i="3"/>
  <c r="AE8" i="3"/>
  <c r="AB8" i="3"/>
  <c r="DN7" i="3"/>
  <c r="AK7" i="3"/>
  <c r="AE7" i="3"/>
  <c r="AB7" i="3"/>
  <c r="DN6" i="3"/>
  <c r="AK6" i="3"/>
  <c r="AE6" i="3"/>
  <c r="AB6" i="3"/>
  <c r="AE5" i="3"/>
  <c r="AB5" i="3"/>
  <c r="AE4" i="3"/>
  <c r="AB4" i="3"/>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bk>
      <extLst>
        <ext xmlns:xlrd="http://schemas.microsoft.com/office/spreadsheetml/2017/richdata" uri="{3e2802c4-a4d2-4d8b-9148-e3be6c30e623}">
          <xlrd:rvb i="52"/>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<sst xmlns="http://schemas.openxmlformats.org/spreadsheetml/2006/main" count="6764" uniqueCount="1518">
  <si>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</si>
  <si>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</si>
  <si>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</si>
  <si>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</si>
  <si>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</si>
  <si>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</si>
  <si>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</si>
  <si>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</si>
  <si>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</si>
  <si>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</si>
  <si>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</si>
  <si>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</si>
  <si>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</si>
  <si>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</si>
  <si>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</si>
  <si>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</si>
  <si>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</si>
  <si>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</si>
  <si>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</si>
  <si>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</si>
  <si>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</si>
  <si>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</si>
  <si>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</si>
  <si>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</si>
  <si>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</si>
  <si>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</si>
  <si>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</si>
  <si>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</si>
  <si>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</si>
  <si>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</si>
  <si>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</si>
  <si>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</si>
  <si>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</si>
  <si>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</si>
  <si>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</si>
  <si>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</si>
  <si>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</si>
  <si>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</si>
  <si>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</si>
  <si>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</si>
  <si>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</si>
  <si>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</si>
  <si>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</si>
  <si>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</si>
  <si>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</si>
  <si>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</si>
  <si>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</si>
  <si>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</si>
  <si>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</si>
  <si>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</si>
  <si>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</si>
  <si>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</si>
  <si>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</si>
  <si>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</si>
  <si>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</si>
  <si>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</si>
  <si>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</si>
  <si>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</si>
  <si>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</si>
  <si>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</si>
  <si>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</si>
  <si>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</si>
  <si>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</si>
  <si>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</si>
  <si>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</si>
  <si>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</si>
  <si>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</si>
  <si>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</si>
  <si>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</si>
  <si>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</si>
  <si>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</si>
  <si>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</si>
  <si>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</si>
  <si>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</si>
  <si>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</si>
  <si>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</si>
  <si>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</si>
  <si>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</si>
  <si>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</si>
  <si>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</si>
  <si>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</si>
  <si>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</si>
  <si>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</si>
  <si>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</si>
  <si>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</si>
  <si>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</si>
  <si>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</si>
  <si>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</si>
  <si>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</si>
  <si>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</si>
  <si>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</si>
  <si>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</si>
  <si>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</si>
  <si>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</si>
  <si>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</si>
  <si>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</si>
  <si>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</si>
  <si>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</si>
  <si>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</si>
  <si>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</si>
  <si>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</si>
  <si>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</si>
  <si>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</si>
  <si>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</si>
  <si>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</si>
  <si>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</si>
  <si>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</si>
  <si>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</si>
  <si>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</si>
  <si>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</si>
  <si>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</si>
  <si>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</si>
  <si>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</si>
  <si>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</si>
  <si>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</si>
  <si>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</si>
  <si>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</si>
  <si>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</si>
  <si>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</si>
  <si>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</si>
  <si>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</si>
  <si>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</si>
  <si>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</si>
  <si>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</si>
  <si>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</si>
  <si>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</si>
  <si>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</si>
  <si>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</si>
  <si>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</si>
  <si>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</si>
  <si>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</si>
  <si>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</si>
  <si>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</si>
  <si>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</si>
  <si>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</si>
  <si>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</si>
  <si>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</si>
  <si>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</si>
  <si>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</si>
  <si>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</si>
  <si>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</si>
  <si>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</si>
  <si>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</si>
  <si>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</si>
  <si>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</si>
  <si>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</si>
  <si>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</si>
  <si>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</si>
  <si>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</si>
  <si>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</si>
  <si>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</si>
  <si>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</si>
  <si>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</si>
  <si>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</si>
  <si>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</si>
  <si>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</si>
  <si>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</si>
  <si>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</si>
  <si>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</si>
  <si>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</si>
  <si>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</si>
  <si>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</si>
  <si>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</si>
  <si>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</si>
  <si>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</si>
  <si>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</si>
  <si>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</si>
  <si>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</si>
  <si>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</si>
  <si>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</si>
  <si>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</si>
  <si>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</si>
  <si>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</si>
  <si>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</si>
  <si>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</si>
  <si>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</si>
  <si>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</si>
  <si>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</si>
  <si>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</si>
  <si>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</si>
  <si>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</si>
  <si>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</si>
  <si>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</si>
  <si>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</si>
  <si>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</si>
  <si>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</si>
  <si>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</si>
  <si>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</si>
  <si>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</si>
  <si>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</si>
  <si>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</si>
  <si>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</si>
  <si>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</si>
  <si>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</si>
  <si>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</si>
  <si>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</si>
  <si>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</si>
  <si>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</si>
  <si>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</si>
  <si>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</si>
  <si>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</si>
  <si>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</si>
  <si>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</si>
  <si>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</si>
  <si>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</si>
  <si>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</si>
  <si>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</si>
  <si>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</si>
  <si>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</si>
  <si>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</si>
  <si>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</si>
  <si>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</si>
  <si>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</si>
  <si>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</si>
  <si>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</si>
  <si>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</si>
  <si>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</si>
  <si>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</si>
  <si>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</si>
  <si>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</si>
  <si>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</si>
  <si>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</si>
  <si>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</si>
  <si>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</si>
  <si>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</si>
  <si>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</si>
  <si>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</si>
  <si>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</si>
  <si>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</si>
  <si>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</si>
  <si>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</si>
  <si>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</si>
  <si>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</si>
  <si>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</si>
  <si>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</si>
  <si>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</si>
  <si>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</si>
  <si>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</si>
  <si>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</si>
  <si>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</si>
  <si>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</si>
  <si>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</si>
  <si>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</si>
  <si>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</si>
  <si>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</si>
  <si>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</si>
  <si>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</si>
  <si>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</si>
  <si>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</si>
  <si>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</si>
  <si>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</si>
  <si>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</si>
  <si>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</si>
  <si>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</si>
  <si>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</si>
  <si>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</si>
  <si>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</si>
  <si>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</si>
  <si>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</si>
  <si>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</si>
  <si>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</si>
  <si>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</si>
  <si>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</si>
  <si>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</si>
  <si>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</si>
  <si>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</si>
  <si>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</si>
  <si>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</si>
  <si>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</si>
  <si>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</si>
  <si>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</si>
  <si>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</si>
  <si>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</si>
  <si>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</si>
  <si>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</si>
  <si>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</si>
  <si>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</si>
  <si>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</si>
  <si>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</si>
  <si>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</si>
  <si>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</si>
  <si>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</si>
  <si>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</si>
  <si>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</si>
  <si>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</si>
  <si>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</si>
  <si>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</si>
  <si>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</si>
  <si>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</si>
  <si>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</si>
  <si>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</si>
  <si>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</si>
  <si>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</si>
  <si>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</si>
  <si>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</si>
  <si>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</si>
  <si>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</si>
  <si>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</si>
  <si>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</si>
  <si>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</si>
  <si>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</si>
  <si>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</si>
  <si>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</si>
  <si>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</si>
  <si>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</si>
  <si>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</si>
  <si>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</si>
  <si>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</si>
  <si>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</si>
  <si>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</si>
  <si>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</si>
  <si>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</si>
  <si>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</si>
  <si>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</si>
  <si>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</si>
  <si>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</si>
  <si>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</si>
  <si>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</si>
  <si>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</si>
  <si>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</si>
  <si>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</si>
  <si>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</si>
  <si>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</si>
  <si>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</si>
  <si>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</si>
  <si>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</si>
  <si>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</si>
  <si>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</si>
  <si>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</si>
  <si>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</si>
  <si>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</si>
  <si>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</si>
  <si>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</si>
  <si>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</si>
  <si>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</si>
  <si>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</si>
  <si>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</si>
  <si>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</si>
  <si>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</si>
  <si>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</si>
  <si>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</si>
  <si>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</si>
  <si>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</si>
  <si>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</si>
  <si>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</si>
  <si>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</si>
  <si>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</si>
  <si>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</si>
  <si>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</si>
  <si>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</si>
  <si>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</si>
  <si>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</si>
  <si>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</si>
  <si>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</si>
  <si>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</si>
  <si>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</si>
  <si>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</si>
  <si>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</si>
  <si>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</si>
  <si>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</si>
  <si>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</si>
  <si>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</si>
  <si>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</si>
  <si>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</si>
  <si>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</si>
  <si>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</si>
  <si>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</si>
  <si>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</si>
  <si>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</si>
  <si>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</si>
  <si>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</si>
  <si>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</si>
  <si>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</si>
  <si>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</si>
  <si>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</si>
  <si>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</si>
  <si>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</si>
  <si>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</si>
  <si>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</si>
  <si>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</si>
  <si>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</si>
  <si>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</si>
  <si>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</si>
  <si>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</si>
  <si>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</si>
  <si>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</si>
  <si>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</si>
  <si>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</si>
  <si>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</si>
  <si>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</si>
  <si>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</si>
  <si>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</si>
  <si>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</si>
  <si>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</si>
  <si>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</si>
  <si>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</si>
  <si>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</si>
  <si>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</si>
  <si>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</si>
  <si>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</si>
  <si>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</si>
  <si>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</si>
  <si>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</si>
  <si>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</si>
  <si>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</si>
  <si>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</si>
  <si>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</si>
  <si>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</si>
  <si>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</si>
  <si>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</si>
  <si>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</si>
  <si>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</si>
  <si>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</si>
  <si>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</si>
  <si>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</si>
  <si>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</si>
  <si>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</si>
  <si>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</si>
  <si>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</si>
  <si>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</si>
  <si>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</si>
  <si>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</si>
  <si>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</si>
  <si>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</si>
  <si>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</si>
  <si>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</si>
  <si>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</si>
  <si>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</si>
  <si>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</si>
  <si>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</si>
  <si>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</si>
  <si>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</si>
  <si>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</si>
  <si>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</si>
  <si>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</si>
  <si>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</si>
  <si>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</si>
  <si>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</si>
  <si>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</si>
  <si>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</si>
  <si>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</si>
  <si>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</si>
  <si>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</si>
  <si>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</si>
  <si>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</si>
  <si>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</si>
  <si>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</si>
  <si>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</si>
  <si>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</si>
  <si>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</si>
  <si>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</si>
  <si>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</si>
  <si>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</si>
  <si>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</si>
  <si>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</si>
  <si>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</si>
  <si>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</si>
  <si>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</si>
  <si>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</si>
  <si>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</si>
  <si>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</si>
  <si>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</si>
  <si>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</si>
  <si>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</si>
  <si>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</si>
  <si>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</si>
  <si>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</si>
  <si>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</si>
  <si>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</si>
  <si>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</si>
  <si>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</si>
  <si>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</si>
  <si>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</si>
  <si>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</si>
  <si>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</si>
  <si>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</si>
  <si>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</si>
  <si>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</si>
  <si>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</si>
  <si>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</si>
  <si>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</si>
  <si>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</si>
  <si>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</si>
  <si>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</si>
  <si>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</si>
  <si>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</si>
  <si>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</si>
  <si>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</si>
  <si>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</si>
  <si>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</si>
  <si>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</si>
  <si>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</si>
  <si>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</si>
  <si>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</si>
  <si>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</si>
  <si>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</si>
  <si>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</si>
  <si>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</si>
  <si>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</si>
  <si>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</si>
  <si>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</si>
  <si>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</si>
  <si>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</si>
  <si>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</si>
  <si>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</si>
  <si>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</si>
  <si>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</si>
  <si>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</si>
  <si>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</si>
  <si>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</si>
  <si>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</si>
  <si>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</si>
  <si>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</si>
  <si>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</si>
  <si>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</si>
  <si>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</si>
  <si>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</si>
  <si>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</si>
  <si>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</si>
  <si>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</si>
  <si>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</si>
  <si>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</si>
  <si>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</si>
  <si>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</si>
  <si>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</si>
  <si>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</si>
  <si>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</si>
  <si>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</si>
  <si>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</si>
  <si>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</si>
  <si>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</si>
  <si>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</si>
  <si>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</si>
  <si>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</si>
  <si>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</si>
  <si>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</si>
  <si>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</si>
  <si>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</si>
  <si>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</si>
  <si>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</si>
  <si>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</si>
  <si>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</si>
  <si>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</si>
  <si>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</si>
  <si>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</si>
  <si>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</si>
  <si>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</si>
  <si>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</si>
  <si>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</si>
  <si>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</si>
  <si>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</si>
  <si>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</si>
  <si>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</si>
  <si>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</si>
  <si>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</si>
  <si>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</si>
  <si>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</si>
  <si>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</si>
  <si>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</si>
  <si>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</si>
  <si>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</si>
  <si>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</si>
  <si>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</si>
  <si>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</si>
  <si>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</si>
  <si>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</si>
  <si>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</si>
  <si>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</si>
  <si>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</si>
  <si>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</si>
  <si>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</si>
  <si>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</si>
  <si>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</si>
  <si>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</si>
  <si>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</si>
  <si>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</si>
  <si>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</si>
  <si>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</si>
  <si>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</si>
  <si>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</si>
  <si>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</si>
  <si>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</si>
  <si>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</si>
  <si>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</si>
  <si>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</si>
  <si>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</si>
  <si>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</si>
  <si>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</si>
  <si>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</si>
  <si>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</si>
  <si>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</si>
  <si>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</si>
  <si>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</si>
  <si>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</si>
  <si>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</si>
  <si>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</si>
  <si>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</si>
  <si>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</si>
  <si>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</si>
  <si>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</si>
  <si>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</si>
  <si>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</si>
  <si>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</si>
  <si>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</si>
  <si>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</si>
  <si>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</si>
  <si>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</si>
  <si>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</si>
  <si>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</si>
  <si>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</si>
  <si>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</si>
  <si>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</si>
  <si>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</si>
  <si>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</si>
  <si>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</si>
  <si>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</si>
  <si>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</si>
  <si>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</si>
  <si>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</si>
  <si>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</si>
  <si>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</si>
  <si>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</si>
  <si>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</si>
  <si>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</si>
  <si>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</si>
  <si>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</si>
  <si>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</si>
  <si>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</si>
  <si>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</si>
  <si>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</si>
  <si>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</si>
  <si>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</si>
  <si>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</si>
  <si>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</si>
  <si>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</si>
  <si>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</si>
  <si>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</si>
  <si>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</si>
  <si>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</si>
  <si>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</si>
  <si>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</si>
  <si>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</si>
  <si>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</si>
  <si>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</si>
  <si>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</si>
  <si>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</si>
  <si>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</si>
  <si>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</si>
  <si>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</si>
  <si>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</si>
  <si>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</si>
  <si>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</si>
  <si>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</si>
  <si>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</si>
  <si>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</si>
  <si>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</si>
  <si>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</si>
  <si>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</si>
  <si>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</si>
  <si>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</si>
  <si>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</si>
  <si>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</si>
  <si>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</si>
  <si>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</si>
  <si>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</si>
  <si>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</si>
  <si>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</si>
  <si>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</si>
  <si>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</si>
  <si>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</si>
  <si>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</si>
  <si>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</si>
  <si>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</si>
  <si>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</si>
  <si>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</si>
  <si>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</si>
  <si>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</si>
  <si>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</si>
  <si>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</si>
  <si>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</si>
  <si>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</si>
  <si>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</si>
  <si>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</si>
  <si>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</si>
  <si>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</si>
  <si>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</si>
  <si>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</si>
  <si>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</si>
  <si>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</si>
  <si>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</si>
  <si>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</si>
  <si>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</si>
  <si>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</si>
  <si>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</si>
  <si>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</si>
  <si>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</si>
  <si>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</si>
  <si>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</si>
  <si>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</si>
  <si>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</si>
  <si>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</si>
  <si>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</si>
  <si>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</si>
  <si>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</si>
  <si>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</si>
  <si>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</si>
  <si>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</si>
  <si>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</si>
  <si>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</si>
  <si>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</si>
  <si>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</si>
  <si>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</si>
  <si>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</si>
  <si>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</si>
  <si>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</si>
  <si>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</si>
  <si>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</si>
  <si>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</si>
  <si>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</si>
  <si>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</si>
  <si>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</si>
  <si>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</si>
  <si>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</si>
  <si>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</si>
  <si>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</si>
  <si>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</si>
  <si>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</si>
  <si>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</si>
  <si>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</si>
  <si>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</si>
  <si>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</si>
  <si>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</si>
  <si>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</si>
  <si>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</si>
  <si>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</si>
  <si>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</si>
  <si>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</si>
  <si>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</si>
  <si>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</si>
  <si>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</si>
  <si>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</si>
  <si>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</si>
  <si>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</si>
  <si>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</si>
  <si>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</si>
  <si>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</si>
  <si>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</si>
  <si>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</si>
  <si>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</si>
  <si>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</si>
  <si>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</si>
  <si>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</si>
  <si>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</si>
  <si>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</si>
  <si>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</si>
  <si>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</si>
  <si>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</si>
  <si>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</si>
  <si>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</si>
  <si>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</si>
  <si>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</si>
  <si>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</si>
  <si>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</si>
  <si>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</si>
  <si>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</si>
  <si>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</si>
  <si>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</si>
  <si>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</si>
  <si>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</si>
  <si>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</si>
  <si>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</si>
  <si>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</si>
  <si>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</si>
  <si>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</si>
  <si>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</si>
  <si>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</si>
  <si>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</si>
  <si>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</si>
  <si>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</si>
  <si>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</si>
  <si>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</si>
  <si>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</si>
  <si>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</si>
  <si>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</si>
  <si>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</si>
  <si>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</si>
  <si>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</si>
  <si>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</si>
  <si>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</si>
  <si>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</si>
  <si>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</si>
  <si>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</si>
  <si>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</si>
  <si>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</si>
  <si>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</si>
  <si>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</si>
  <si>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</si>
  <si>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</si>
  <si>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</si>
  <si>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</si>
  <si>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</si>
  <si>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</si>
  <si>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</si>
  <si>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</si>
  <si>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</si>
  <si>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</si>
  <si>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</si>
  <si>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</si>
  <si>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</si>
  <si>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</si>
  <si>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</si>
  <si>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</si>
  <si>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</si>
  <si>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</si>
  <si>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</si>
  <si>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</si>
  <si>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</si>
  <si>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</si>
  <si>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</si>
  <si>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</si>
  <si>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</si>
  <si>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</si>
  <si>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</si>
  <si>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</si>
  <si>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</si>
  <si>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</si>
  <si>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</si>
  <si>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</si>
  <si>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</si>
  <si>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</si>
  <si>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</si>
  <si>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</si>
  <si>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</si>
  <si>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</si>
  <si>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</si>
  <si>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</si>
  <si>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</si>
  <si>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</si>
  <si>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</si>
  <si>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</si>
  <si>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</si>
  <si>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</si>
  <si>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</si>
  <si>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</si>
  <si>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</si>
  <si>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</si>
  <si>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</si>
  <si>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</si>
  <si>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</si>
  <si>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</si>
  <si>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</si>
  <si>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</si>
  <si>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</si>
  <si>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</si>
  <si>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</si>
  <si>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</si>
  <si>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</si>
  <si>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</si>
  <si>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</si>
  <si>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</si>
  <si>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</si>
  <si>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</si>
  <si>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</si>
  <si>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</si>
  <si>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</si>
  <si>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</si>
  <si>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</si>
  <si>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</si>
  <si>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</si>
  <si>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</si>
  <si>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</si>
  <si>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</si>
  <si>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</si>
  <si>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</si>
  <si>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</si>
  <si>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</si>
  <si>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</si>
  <si>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</si>
  <si>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</si>
  <si>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</si>
  <si>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</si>
  <si>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</si>
  <si>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</si>
  <si>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</si>
  <si>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</si>
  <si>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</si>
  <si>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</si>
  <si>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</si>
  <si>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</si>
  <si>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</si>
  <si>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</si>
  <si>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</si>
  <si>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</si>
  <si>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</si>
  <si>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</si>
  <si>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</si>
  <si>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</si>
  <si>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</si>
  <si>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</si>
  <si>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</si>
  <si>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</si>
  <si>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</si>
  <si>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</si>
  <si>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</si>
  <si>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</si>
  <si>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</si>
  <si>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</si>
  <si>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</si>
  <si>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</si>
  <si>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</si>
  <si>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</si>
  <si>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</si>
  <si>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</si>
  <si>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</si>
  <si>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</si>
  <si>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</si>
  <si>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</si>
  <si>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</si>
  <si>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</si>
  <si>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</si>
  <si>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</si>
  <si>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</si>
  <si>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</si>
  <si>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</si>
  <si>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</si>
  <si>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</si>
  <si>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</si>
  <si>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</si>
  <si>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</si>
  <si>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</si>
  <si>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</si>
  <si>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</si>
  <si>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</si>
  <si>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</si>
  <si>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</si>
  <si>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</si>
  <si>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</si>
  <si>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</si>
  <si>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</si>
  <si>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</si>
  <si>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</si>
  <si>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</si>
  <si>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</si>
  <si>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</si>
  <si>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</si>
  <si>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</si>
  <si>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</si>
  <si>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</si>
  <si>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</si>
  <si>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</si>
  <si>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</si>
  <si>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</si>
  <si>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</si>
  <si>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</si>
  <si>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</si>
  <si>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</si>
  <si>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</si>
  <si>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</si>
  <si>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</si>
  <si>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</si>
  <si>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</si>
  <si>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</si>
  <si>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</si>
  <si>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</si>
  <si>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</si>
  <si>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</si>
  <si>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</si>
  <si>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</si>
  <si>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</si>
  <si>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</si>
  <si>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</si>
  <si>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</si>
  <si>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</si>
  <si>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</si>
  <si>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</si>
  <si>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</si>
  <si>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</si>
  <si>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</si>
  <si>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</si>
  <si>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</si>
  <si>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</si>
  <si>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</si>
  <si>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</si>
  <si>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</si>
  <si>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</si>
  <si>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</si>
  <si>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</si>
  <si>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</si>
  <si>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</si>
  <si>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</si>
  <si>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</si>
  <si>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</si>
  <si>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</si>
  <si>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</si>
  <si>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</si>
  <si>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</si>
  <si>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</si>
  <si>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</si>
  <si>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</si>
  <si>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</si>
  <si>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</si>
  <si>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</si>
  <si>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</si>
  <si>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</si>
  <si>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</si>
  <si>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</si>
  <si>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</si>
  <si>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</si>
  <si>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</si>
  <si>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</si>
  <si>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</si>
  <si>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</si>
  <si>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</si>
  <si>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</si>
  <si>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</si>
  <si>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</si>
  <si>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</si>
  <si>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</si>
  <si>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</si>
  <si>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</si>
  <si>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</si>
  <si>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</si>
  <si>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</si>
  <si>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</si>
  <si>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</si>
  <si>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</si>
  <si>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</si>
  <si>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</si>
  <si>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</si>
  <si>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</si>
  <si>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</si>
  <si>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</si>
  <si>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</si>
  <si>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</si>
  <si>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</si>
  <si>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</si>
  <si>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</si>
  <si>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</si>
  <si>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</si>
  <si>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</si>
  <si>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</si>
  <si>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</si>
  <si>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</si>
  <si>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</si>
  <si>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</si>
  <si>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</si>
  <si>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</si>
  <si>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</si>
  <si>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</si>
  <si>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</si>
  <si>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</si>
  <si>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</si>
  <si>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</si>
  <si>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</si>
  <si>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</si>
  <si>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</si>
  <si>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</si>
  <si>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</si>
  <si>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</si>
  <si>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</si>
  <si>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</si>
  <si>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</si>
  <si>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</si>
  <si>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</si>
  <si>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</si>
  <si>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</si>
  <si>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</si>
  <si>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</si>
  <si>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</si>
  <si>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</si>
  <si>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</si>
  <si>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</si>
  <si>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</si>
  <si>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</si>
  <si>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</si>
  <si>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</si>
  <si>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</si>
  <si>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</si>
  <si>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</si>
  <si>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</si>
  <si>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</si>
  <si>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</si>
  <si>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</si>
  <si>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</si>
  <si>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</si>
  <si>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</si>
  <si>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</si>
  <si>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</si>
  <si>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</si>
  <si>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</si>
  <si>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</si>
  <si>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</si>
  <si>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</si>
  <si>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</si>
  <si>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</si>
  <si>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</si>
  <si>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</si>
  <si>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</si>
  <si>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</si>
  <si>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</si>
  <si>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</si>
  <si>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</si>
  <si>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</si>
  <si>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</si>
  <si>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</si>
  <si>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</si>
  <si>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</si>
  <si>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</si>
  <si>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</si>
  <si>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</si>
  <si>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</si>
  <si>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</si>
  <si>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</si>
  <si>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</si>
  <si>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</si>
  <si>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</si>
  <si>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</si>
  <si>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</si>
  <si>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</si>
  <si>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</si>
  <si>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</si>
  <si>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</si>
  <si>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</si>
  <si>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</si>
  <si>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</si>
  <si>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</si>
  <si>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</si>
  <si>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</si>
  <si>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</si>
  <si>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</si>
  <si>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</si>
  <si>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</si>
  <si>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</si>
  <si>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</si>
  <si>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</si>
  <si>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</si>
  <si>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</si>
  <si>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</si>
  <si>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</si>
  <si>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</si>
  <si>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</si>
  <si>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</si>
  <si>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</si>
  <si>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</si>
  <si>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</si>
  <si>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</si>
  <si>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</si>
  <si>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</si>
  <si>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</si>
  <si>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</si>
  <si>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</si>
  <si>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</si>
  <si>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</si>
  <si>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</si>
  <si>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</si>
  <si>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</si>
  <si>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</si>
  <si>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</si>
  <si>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</si>
  <si>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</si>
  <si>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</si>
  <si>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</si>
  <si>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</si>
  <si>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</si>
  <si>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</si>
  <si>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</si>
  <si>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</si>
  <si>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</si>
  <si>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</si>
  <si>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</si>
  <si>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</si>
  <si>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</si>
  <si>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</si>
  <si>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</si>
  <si>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</si>
  <si>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</si>
  <si>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</si>
  <si>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</si>
  <si>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</si>
  <si>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</si>
  <si>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</si>
  <si>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</si>
  <si>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</si>
  <si>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</si>
  <si>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</si>
  <si>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</si>
  <si>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</si>
  <si>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</si>
  <si>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</si>
  <si>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</si>
  <si>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</si>
  <si>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</si>
  <si>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</si>
  <si>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</si>
  <si>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</si>
  <si>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</si>
  <si>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</si>
  <si>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</si>
  <si>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</si>
  <si>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</si>
  <si>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</si>
  <si>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</si>
  <si>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</si>
  <si>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</si>
  <si>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</si>
  <si>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</si>
  <si>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</si>
  <si>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</si>
  <si>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</si>
  <si>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</si>
  <si>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</si>
  <si>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</si>
  <si>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</si>
  <si>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</si>
  <si>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</si>
  <si>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</si>
  <si>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</si>
  <si>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</si>
  <si>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</si>
  <si>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</si>
  <si>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</si>
  <si>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</si>
  <si>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</si>
  <si>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</si>
  <si>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</si>
  <si>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</si>
  <si>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</si>
  <si>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</si>
  <si>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</si>
  <si>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</si>
  <si>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</si>
  <si>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</si>
  <si>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</si>
  <si>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</si>
  <si>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</si>
  <si>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</si>
  <si>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</si>
  <si>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</si>
  <si>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</si>
  <si>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</si>
  <si>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</si>
  <si>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</si>
  <si>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</si>
  <si>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</si>
  <si>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</si>
  <si>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</si>
  <si>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</si>
  <si>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</si>
  <si>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</si>
  <si>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</si>
  <si>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</si>
  <si>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</si>
  <si>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</si>
  <si>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</si>
  <si>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</si>
  <si>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</si>
  <si>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</si>
  <si>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</si>
  <si>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</si>
  <si>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</si>
  <si>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</si>
  <si>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</si>
  <si>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</si>
  <si>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</si>
  <si>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</si>
  <si>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</si>
  <si>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</si>
  <si>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</si>
  <si>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</si>
  <si>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</si>
  <si>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</si>
  <si>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</si>
  <si>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</si>
  <si>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</si>
  <si>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</si>
  <si>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</si>
  <si>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</si>
  <si>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</si>
  <si>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</si>
  <si>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</si>
  <si>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</si>
  <si>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</si>
  <si>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</si>
  <si>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</si>
  <si>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</si>
  <si>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</si>
  <si>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</si>
  <si>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</si>
  <si>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</si>
  <si>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</si>
  <si>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</si>
  <si>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</si>
  <si>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</si>
  <si>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</si>
  <si>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</si>
  <si>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</si>
  <si>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</si>
  <si>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</si>
  <si>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</si>
  <si>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</si>
  <si>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</si>
  <si>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</si>
  <si>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</si>
  <si>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</si>
  <si>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</si>
  <si>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</si>
  <si>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</si>
  <si>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</si>
  <si>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</si>
  <si>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</si>
  <si>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</si>
  <si>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</si>
  <si>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</si>
  <si>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</si>
  <si>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</si>
  <si>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</si>
  <si>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</si>
  <si>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</si>
  <si>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</si>
  <si>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</si>
  <si>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</si>
  <si>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</si>
  <si>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</si>
  <si>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</si>
  <si>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</si>
  <si>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</si>
  <si>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</si>
  <si>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</si>
  <si>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</si>
  <si>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</si>
  <si>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</si>
  <si>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</si>
  <si>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</si>
  <si>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</si>
  <si>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</si>
  <si>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</si>
  <si>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</si>
  <si>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</si>
  <si>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</si>
  <si>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</si>
  <si>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</si>
  <si>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</si>
  <si>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</si>
  <si>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</si>
  <si>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</si>
  <si>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</si>
  <si>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</si>
  <si>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</si>
  <si>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</si>
  <si>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</si>
  <si>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</si>
  <si>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</si>
  <si>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</si>
  <si>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</si>
  <si>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</si>
  <si>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</si>
  <si>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</si>
  <si>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</si>
  <si>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</si>
  <si>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</si>
  <si>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</si>
  <si>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</si>
  <si>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</si>
  <si>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</si>
  <si>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</si>
  <si>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</si>
  <si>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</si>
  <si>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</si>
  <si>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</si>
  <si>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</si>
  <si>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</si>
  <si>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</si>
  <si>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</si>
  <si>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</si>
  <si>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</si>
  <si>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</si>
  <si>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</si>
  <si>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</si>
  <si>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</si>
  <si>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</si>
  <si>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</si>
  <si>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</si>
  <si>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</si>
  <si>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</si>
  <si>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</si>
  <si>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</si>
  <si>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</si>
  <si>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</si>
  <si>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</si>
  <si>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</si>
  <si>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</si>
  <si>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</si>
  <si>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</si>
  <si>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</si>
  <si>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</si>
  <si>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</si>
  <si>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</si>
  <si>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</si>
  <si>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</si>
  <si>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</si>
  <si>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</si>
  <si>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</si>
  <si>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</si>
  <si>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</si>
  <si>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</si>
  <si>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</si>
  <si>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</si>
  <si>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</si>
  <si>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</si>
  <si>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</si>
  <si>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</si>
  <si>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</si>
  <si>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</si>
  <si>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</si>
  <si>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</si>
  <si>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</si>
  <si>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</si>
  <si>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</si>
  <si>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</si>
  <si>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</si>
  <si>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</si>
  <si>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</si>
  <si>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</si>
  <si>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</si>
  <si>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</si>
  <si>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</si>
  <si>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</si>
  <si>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</si>
  <si>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</si>
  <si>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</si>
  <si>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</si>
  <si>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</si>
  <si>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</si>
  <si>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</si>
  <si>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</si>
  <si>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</si>
  <si>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</si>
  <si>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</si>
  <si>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</si>
  <si>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</si>
  <si>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</si>
  <si>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</si>
  <si>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</si>
  <si>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</si>
  <si>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</si>
  <si>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</si>
  <si>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</si>
  <si>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</si>
  <si>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</si>
  <si>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</si>
  <si>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</si>
  <si>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</si>
  <si>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</si>
  <si>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</si>
  <si>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</si>
  <si>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</si>
  <si>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</si>
  <si>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</si>
  <si>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</si>
  <si>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</si>
  <si>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</si>
  <si>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</si>
  <si>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</si>
  <si>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</si>
  <si>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</si>
  <si>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</si>
  <si>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</si>
  <si>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</si>
  <si>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</si>
  <si>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</si>
  <si>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</si>
  <si>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</si>
  <si>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</si>
  <si>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</si>
  <si>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</si>
  <si>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</si>
  <si>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</si>
  <si>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</si>
  <si>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</si>
  <si>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</si>
  <si>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</si>
  <si>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</si>
  <si>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</si>
  <si>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</si>
  <si>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</si>
  <si>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</si>
  <si>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</si>
  <si>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</si>
  <si>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</si>
  <si>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</si>
  <si>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</si>
  <si>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</si>
  <si>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</si>
  <si>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</si>
  <si>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</si>
  <si>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</si>
  <si>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</si>
  <si>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</si>
  <si>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</si>
  <si>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</si>
  <si>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</si>
  <si>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</si>
  <si>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</si>
  <si>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</si>
  <si>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</si>
  <si>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</si>
  <si>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</si>
  <si>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</si>
  <si>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</si>
  <si>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</si>
  <si>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</si>
  <si>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</si>
  <si>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</si>
  <si>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</si>
  <si>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</si>
  <si>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</si>
  <si>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No rellenar</t>
  </si>
  <si>
    <t>LUIS/VIR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</si>
</sst>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20" Type="http://schemas.openxmlformats.org/officeDocument/2006/relationships/image" Target="../media/image20.png"/><Relationship Id="rId41" Type="http://schemas.openxmlformats.org/officeDocument/2006/relationships/image" Target="../media/image41.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1" Type="http://schemas.openxmlformats.org/officeDocument/2006/relationships/image" Target="../media/image110.png"/><Relationship Id="rId6" Type="http://schemas.openxmlformats.org/officeDocument/2006/relationships/image" Target="../media/image6.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0</v>
    <v>5</v>
  </rv>
  <rv s="1">
    <v>1</v>
    <v>6</v>
  </rv>
  <rv s="1">
    <v>2</v>
    <v>5</v>
  </rv>
  <rv s="1">
    <v>3</v>
    <v>5</v>
  </rv>
  <rv s="1">
    <v>4</v>
    <v>5</v>
  </rv>
  <rv s="1">
    <v>5</v>
    <v>5</v>
  </rv>
  <rv s="1">
    <v>6</v>
    <v>5</v>
  </rv>
  <rv s="1">
    <v>7</v>
    <v>5</v>
  </rv>
  <rv s="1">
    <v>8</v>
    <v>5</v>
  </rv>
  <rv s="1">
    <v>9</v>
    <v>5</v>
  </rv>
  <rv s="1">
    <v>10</v>
    <v>5</v>
  </rv>
  <rv s="1">
    <v>11</v>
    <v>5</v>
  </rv>
  <rv s="1">
    <v>12</v>
    <v>5</v>
  </rv>
  <rv s="1">
    <v>13</v>
    <v>5</v>
  </rv>
  <rv s="1">
    <v>14</v>
    <v>5</v>
  </rv>
  <rv s="1">
    <v>15</v>
    <v>5</v>
  </rv>
  <rv s="1">
    <v>16</v>
    <v>5</v>
  </rv>
  <rv s="1">
    <v>17</v>
    <v>5</v>
  </rv>
  <rv s="1">
    <v>18</v>
    <v>5</v>
  </rv>
  <rv s="1">
    <v>19</v>
    <v>5</v>
  </rv>
  <rv s="1">
    <v>20</v>
    <v>5</v>
  </rv>
  <rv s="1">
    <v>21</v>
    <v>5</v>
  </rv>
  <rv s="1">
    <v>22</v>
    <v>5</v>
  </rv>
  <rv s="1">
    <v>23</v>
    <v>5</v>
  </rv>
  <rv s="1">
    <v>24</v>
    <v>5</v>
  </rv>
  <rv s="1">
    <v>25</v>
    <v>5</v>
  </rv>
  <rv s="1">
    <v>26</v>
    <v>5</v>
  </rv>
  <rv s="1">
    <v>27</v>
    <v>5</v>
  </rv>
  <rv s="1">
    <v>28</v>
    <v>5</v>
  </rv>
  <rv s="1">
    <v>0</v>
    <v>4</v>
  </rv>
  <rv s="1">
    <v>29</v>
    <v>5</v>
  </rv>
  <rv s="1">
    <v>30</v>
    <v>5</v>
  </rv>
  <rv s="1">
    <v>31</v>
    <v>5</v>
  </rv>
  <rv s="1">
    <v>32</v>
    <v>5</v>
  </rv>
  <rv s="1">
    <v>33</v>
    <v>5</v>
  </rv>
  <rv s="1">
    <v>34</v>
    <v>5</v>
  </rv>
  <rv s="1">
    <v>35</v>
    <v>5</v>
  </rv>
  <rv s="1">
    <v>36</v>
    <v>5</v>
  </rv>
  <rv s="1">
    <v>37</v>
    <v>5</v>
  </rv>
  <rv s="1">
    <v>38</v>
    <v>5</v>
  </rv>
  <rv s="1">
    <v>39</v>
    <v>5</v>
  </rv>
  <rv s="1">
    <v>40</v>
    <v>5</v>
  </rv>
  <rv s="1">
    <v>41</v>
    <v>5</v>
  </rv>
  <rv s="1">
    <v>42</v>
    <v>5</v>
  </rv>
  <rv s="1">
    <v>43</v>
    <v>5</v>
  </rv>
  <rv s="1">
    <v>44</v>
    <v>5</v>
  </rv>
  <rv s="2">
    <v>45</v>
    <v>5</v>
    <v>Bandera de República Democrática del Congo</v>
  </rv>
  <rv s="2">
    <v>46</v>
    <v>5</v>
    <v>Bandera de Irak</v>
  </rv>
  <rv s="1">
    <v>47</v>
    <v>5</v>
  </rv>
  <rv s="1">
    <v>48</v>
    <v>5</v>
  </rv>
  <rv s="1">
    <v>49</v>
    <v>5</v>
  </rv>
  <rv s="1">
    <v>50</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5"/>
  <cols>
    <col min="1" max="1" width="3.81640625" style="299" customWidth="1"/>
    <col min="2" max="2" width="15.81640625" style="299" customWidth="1"/>
    <col min="3" max="3" width="26.81640625" style="299" customWidth="1"/>
    <col min="4" max="4" width="5.81640625" style="299" customWidth="1"/>
    <col min="5" max="9" width="11.36328125" style="319" customWidth="1"/>
    <col min="10" max="10" width="5.81640625" style="319" customWidth="1"/>
    <col min="11" max="11" width="26.81640625" style="319" customWidth="1"/>
    <col min="12" max="12" width="15.81640625" style="299" customWidth="1"/>
    <col min="13" max="13" width="10.453125" style="299" customWidth="1"/>
    <col min="14" max="15" width="10.81640625" style="299" customWidth="1"/>
    <col min="16" max="16" width="12.1796875" style="299" customWidth="1"/>
    <col min="17" max="17" width="6.1796875" style="299" customWidth="1"/>
    <col min="18" max="31" width="10.81640625" style="299" customWidth="1"/>
    <col min="32" max="16384" width="10.8164062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c r="A10" s="298"/>
      <c r="B10" s="19"/>
      <c r="C10" s="289" t="s">
        <v>1517</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c r="A17" s="298"/>
      <c r="B17" s="298"/>
      <c r="C17" s="298"/>
      <c r="D17" s="298"/>
      <c r="E17" s="677" t="str">
        <f>HYPERLINK(Idiomas!D10,Idiomas!D9)</f>
        <v>▼ Descargar Excel Administrador Porra ▼</v>
      </c>
      <c r="F17" s="678"/>
      <c r="G17" s="678"/>
      <c r="H17" s="678"/>
      <c r="I17" s="679"/>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41" zoomScaleNormal="100" workbookViewId="0">
      <selection activeCell="AD97" sqref="AD97"/>
      <extLst>
        <ext xmlns:xlsdti="http://schemas.microsoft.com/office/spreadsheetml/2023/showDataTypeIcons" uri="{77bfe23e-c014-4d31-8a63-9c772dbf06b6}">
          <xlsdti:showDataTypeIcons visible="0"/>
        </ext>
      </extLst>
    </sheetView>
  </sheetViews>
  <sheetFormatPr baseColWidth="10" defaultColWidth="0" defaultRowHeight="14.5"/>
  <cols>
    <col min="1" max="2" width="10.81640625" hidden="1" customWidth="1"/>
    <col min="3" max="3" width="2.17968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6328125" customWidth="1"/>
    <col min="24" max="24" width="11.81640625" customWidth="1"/>
    <col min="25" max="25" width="6.81640625" customWidth="1"/>
    <col min="26" max="26" width="5.1796875" customWidth="1"/>
    <col min="27" max="27" width="20.81640625" customWidth="1"/>
    <col min="28" max="28" width="3.36328125" customWidth="1"/>
    <col min="29" max="30" width="5.36328125" customWidth="1"/>
    <col min="31" max="31" width="3.36328125" customWidth="1"/>
    <col min="32" max="32" width="20.81640625" customWidth="1"/>
    <col min="33" max="33" width="3.453125" customWidth="1"/>
    <col min="34" max="34" width="5.1796875" style="187" customWidth="1"/>
    <col min="35" max="35" width="3.36328125" style="187" customWidth="1"/>
    <col min="36" max="36" width="4.36328125" customWidth="1"/>
    <col min="37" max="37" width="3.36328125" customWidth="1"/>
    <col min="38" max="38" width="20.81640625" customWidth="1"/>
    <col min="39" max="39" width="5.81640625" customWidth="1"/>
    <col min="40" max="43" width="4.36328125" customWidth="1"/>
    <col min="44" max="45" width="4.6328125" customWidth="1"/>
    <col min="46" max="46" width="4.81640625" customWidth="1"/>
    <col min="47" max="47" width="3.36328125" style="190" customWidth="1"/>
    <col min="48" max="48" width="18.453125" style="194" customWidth="1"/>
    <col min="49" max="49" width="3.453125" style="7" customWidth="1"/>
    <col min="50" max="50" width="3.453125" style="4" customWidth="1"/>
    <col min="51" max="51" width="19.6328125" style="15" customWidth="1"/>
    <col min="52" max="52" width="15.81640625" style="7" customWidth="1"/>
    <col min="53" max="53" width="3" customWidth="1"/>
    <col min="54" max="54" width="11" hidden="1" customWidth="1"/>
    <col min="55" max="55" width="6" hidden="1" customWidth="1"/>
    <col min="56" max="56" width="17" hidden="1" customWidth="1"/>
    <col min="57" max="57" width="9.36328125" hidden="1" customWidth="1"/>
    <col min="58" max="58" width="2.1796875" hidden="1" customWidth="1"/>
    <col min="59" max="59" width="8.36328125" hidden="1" customWidth="1"/>
    <col min="60" max="60" width="2.1796875" hidden="1" customWidth="1"/>
    <col min="61" max="61" width="2.453125" hidden="1" customWidth="1"/>
    <col min="62" max="62" width="8.1796875" hidden="1" customWidth="1"/>
    <col min="63" max="63" width="4.81640625" hidden="1" customWidth="1"/>
    <col min="64" max="64" width="5.81640625" hidden="1" customWidth="1"/>
    <col min="65" max="66" width="5.6328125" hidden="1" customWidth="1"/>
    <col min="67" max="69" width="10" hidden="1" customWidth="1"/>
    <col min="70" max="71" width="7.36328125" hidden="1" customWidth="1"/>
    <col min="72" max="100" width="8" hidden="1" customWidth="1"/>
    <col min="101" max="101" width="4.1796875" hidden="1" customWidth="1"/>
    <col min="102" max="102" width="7.36328125" hidden="1" customWidth="1"/>
    <col min="103" max="103" width="0" hidden="1" customWidth="1"/>
    <col min="104" max="104" width="3.1796875" hidden="1" customWidth="1"/>
    <col min="105" max="105" width="8.6328125" hidden="1" customWidth="1"/>
    <col min="106" max="106" width="8" hidden="1" customWidth="1"/>
    <col min="107" max="107" width="15.81640625" hidden="1" customWidth="1"/>
    <col min="108" max="108" width="11" hidden="1" customWidth="1"/>
    <col min="109" max="109" width="2.63281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64" t="str">
        <f>Idiomas!D8</f>
        <v>XXIII Mundial USA/MEX/CAN 2026</v>
      </c>
      <c r="X1" s="664"/>
      <c r="Y1" s="664"/>
      <c r="Z1" s="664"/>
      <c r="AA1" s="664"/>
      <c r="AB1" s="664"/>
      <c r="AC1" s="664"/>
      <c r="AD1" s="664"/>
      <c r="AE1" s="664"/>
      <c r="AF1" s="664"/>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0" t="s">
        <v>0</v>
      </c>
      <c r="X4" s="24">
        <f ca="1">Horarios!C4</f>
        <v>46184.875</v>
      </c>
      <c r="Y4" s="25">
        <f ca="1">Horarios!C4</f>
        <v>46184.875</v>
      </c>
      <c r="Z4" s="26" t="str">
        <f>Idiomas!D61</f>
        <v>J1</v>
      </c>
      <c r="AA4" s="27" t="str">
        <f ca="1">+A5</f>
        <v>México</v>
      </c>
      <c r="AB4" s="49" t="str" cm="1">
        <f t="array" aca="1" ref="AB4" ca="1">Ver_flag_local</f>
        <v/>
      </c>
      <c r="AC4" s="50">
        <v>2</v>
      </c>
      <c r="AD4" s="51">
        <v>0</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0"/>
      <c r="X5" s="24">
        <f ca="1">Horarios!C5</f>
        <v>46185.166666666664</v>
      </c>
      <c r="Y5" s="25">
        <f ca="1">Horarios!C5</f>
        <v>46185.166666666664</v>
      </c>
      <c r="Z5" s="26" t="str">
        <f>$Z$4</f>
        <v>J1</v>
      </c>
      <c r="AA5" s="27" t="str">
        <f ca="1">A7</f>
        <v>Corea del Sur</v>
      </c>
      <c r="AB5" s="49" t="str" cm="1">
        <f t="array" aca="1" ref="AB5" ca="1">Ver_flag_local</f>
        <v/>
      </c>
      <c r="AC5" s="50">
        <v>2</v>
      </c>
      <c r="AD5" s="51">
        <v>1</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0"/>
      <c r="X6" s="24">
        <f ca="1">Horarios!C6</f>
        <v>46191.75</v>
      </c>
      <c r="Y6" s="25">
        <f ca="1">Horarios!C6</f>
        <v>46191.75</v>
      </c>
      <c r="Z6" s="26" t="str">
        <f>Idiomas!D62</f>
        <v>J2</v>
      </c>
      <c r="AA6" s="27" t="str">
        <f ca="1">A8</f>
        <v>República Checa</v>
      </c>
      <c r="AB6" s="49" t="str" cm="1">
        <f t="array" aca="1" ref="AB6" ca="1">Ver_flag_local</f>
        <v/>
      </c>
      <c r="AC6" s="50">
        <v>1</v>
      </c>
      <c r="AD6" s="51">
        <v>1</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0"/>
      <c r="X7" s="24">
        <f ca="1">Horarios!C7</f>
        <v>46192.125</v>
      </c>
      <c r="Y7" s="25">
        <f ca="1">Horarios!C7</f>
        <v>46192.125</v>
      </c>
      <c r="Z7" s="26" t="str">
        <f>$Z$6</f>
        <v>J2</v>
      </c>
      <c r="AA7" s="27" t="str">
        <f ca="1">A5</f>
        <v>México</v>
      </c>
      <c r="AB7" s="49" t="str" cm="1">
        <f t="array" aca="1" ref="AB7" ca="1">Ver_flag_local</f>
        <v/>
      </c>
      <c r="AC7" s="50">
        <v>1</v>
      </c>
      <c r="AD7" s="51">
        <v>0</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6"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0"/>
      <c r="X8" s="24">
        <f ca="1">Horarios!C8</f>
        <v>46198.125</v>
      </c>
      <c r="Y8" s="25">
        <f ca="1">Horarios!C8</f>
        <v>46198.125</v>
      </c>
      <c r="Z8" s="26" t="str">
        <f>Idiomas!D63</f>
        <v>J3</v>
      </c>
      <c r="AA8" s="27" t="str">
        <f ca="1">A8</f>
        <v>República Checa</v>
      </c>
      <c r="AB8" s="49" t="str" cm="1">
        <f t="array" aca="1" ref="AB8" ca="1">Ver_flag_local</f>
        <v/>
      </c>
      <c r="AC8" s="50">
        <v>0</v>
      </c>
      <c r="AD8" s="51">
        <v>3</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1"/>
      <c r="X9" s="28">
        <f ca="1">Horarios!C9</f>
        <v>46198.125</v>
      </c>
      <c r="Y9" s="29">
        <f ca="1">Horarios!C9</f>
        <v>46198.125</v>
      </c>
      <c r="Z9" s="30" t="str">
        <f>$Z$8</f>
        <v>J3</v>
      </c>
      <c r="AA9" s="31" t="str">
        <f ca="1">A6</f>
        <v>Sudáfrica</v>
      </c>
      <c r="AB9" s="52" t="str" cm="1">
        <f t="array" aca="1" ref="AB9" ca="1">Ver_flag_local</f>
        <v/>
      </c>
      <c r="AC9" s="53">
        <v>1</v>
      </c>
      <c r="AD9" s="54">
        <v>0</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62" t="s">
        <v>1</v>
      </c>
      <c r="X12" s="24">
        <f ca="1">Horarios!C12</f>
        <v>46185.875</v>
      </c>
      <c r="Y12" s="25">
        <f ca="1">Horarios!C12</f>
        <v>46185.875</v>
      </c>
      <c r="Z12" s="26" t="str">
        <f>$Z$4</f>
        <v>J1</v>
      </c>
      <c r="AA12" s="27" t="str">
        <f ca="1">A13</f>
        <v>Canadá</v>
      </c>
      <c r="AB12" s="49" t="str" cm="1">
        <f t="array" aca="1" ref="AB12" ca="1">Ver_flag_local</f>
        <v/>
      </c>
      <c r="AC12" s="50">
        <v>1</v>
      </c>
      <c r="AD12" s="51">
        <v>1</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62"/>
      <c r="X13" s="24">
        <f ca="1">Horarios!C13</f>
        <v>46186.875</v>
      </c>
      <c r="Y13" s="25">
        <f ca="1">Horarios!C13</f>
        <v>46186.875</v>
      </c>
      <c r="Z13" s="26" t="str">
        <f>$Z$4</f>
        <v>J1</v>
      </c>
      <c r="AA13" s="27" t="str">
        <f ca="1">A15</f>
        <v>Catar</v>
      </c>
      <c r="AB13" s="49" t="str" cm="1">
        <f t="array" aca="1" ref="AB13" ca="1">Ver_flag_local</f>
        <v/>
      </c>
      <c r="AC13" s="50">
        <v>1</v>
      </c>
      <c r="AD13" s="51">
        <v>1</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62"/>
      <c r="X14" s="24">
        <f ca="1">Horarios!C14</f>
        <v>46191.875</v>
      </c>
      <c r="Y14" s="25">
        <f ca="1">Horarios!C14</f>
        <v>46191.875</v>
      </c>
      <c r="Z14" s="26" t="str">
        <f>$Z$6</f>
        <v>J2</v>
      </c>
      <c r="AA14" s="27" t="str">
        <f ca="1">A16</f>
        <v>Suiza</v>
      </c>
      <c r="AB14" s="49" t="str" cm="1">
        <f t="array" aca="1" ref="AB14" ca="1">Ver_flag_local</f>
        <v/>
      </c>
      <c r="AC14" s="50">
        <v>4</v>
      </c>
      <c r="AD14" s="51">
        <v>1</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62"/>
      <c r="X15" s="24">
        <f ca="1">Horarios!C15</f>
        <v>46192</v>
      </c>
      <c r="Y15" s="25">
        <f ca="1">Horarios!C15</f>
        <v>46192</v>
      </c>
      <c r="Z15" s="26" t="str">
        <f>$Z$6</f>
        <v>J2</v>
      </c>
      <c r="AA15" s="27" t="str">
        <f ca="1">A13</f>
        <v>Canadá</v>
      </c>
      <c r="AB15" s="49" t="str" cm="1">
        <f t="array" aca="1" ref="AB15" ca="1">Ver_flag_local</f>
        <v/>
      </c>
      <c r="AC15" s="50">
        <v>6</v>
      </c>
      <c r="AD15" s="51">
        <v>0</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 customHeight="1">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62"/>
      <c r="X16" s="24">
        <f ca="1">Horarios!C16</f>
        <v>46197.875</v>
      </c>
      <c r="Y16" s="25">
        <f ca="1">Horarios!C16</f>
        <v>46197.875</v>
      </c>
      <c r="Z16" s="26" t="str">
        <f>$Z$8</f>
        <v>J3</v>
      </c>
      <c r="AA16" s="27" t="str">
        <f ca="1">A16</f>
        <v>Suiza</v>
      </c>
      <c r="AB16" s="49" t="str" cm="1">
        <f t="array" aca="1" ref="AB16" ca="1">Ver_flag_local</f>
        <v/>
      </c>
      <c r="AC16" s="50">
        <v>2</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63"/>
      <c r="X17" s="28">
        <f ca="1">Horarios!C17</f>
        <v>46197.875</v>
      </c>
      <c r="Y17" s="29">
        <f ca="1">Horarios!C17</f>
        <v>46197.875</v>
      </c>
      <c r="Z17" s="30" t="str">
        <f>$Z$8</f>
        <v>J3</v>
      </c>
      <c r="AA17" s="31" t="str">
        <f ca="1">A14</f>
        <v>Bosnia y Herzegovina</v>
      </c>
      <c r="AB17" s="52" t="str" cm="1">
        <f t="array" aca="1" ref="AB17" ca="1">Ver_flag_local</f>
        <v/>
      </c>
      <c r="AC17" s="53">
        <v>3</v>
      </c>
      <c r="AD17" s="54">
        <v>1</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6"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1" t="s">
        <v>2</v>
      </c>
      <c r="X20" s="24">
        <f ca="1">Horarios!C20</f>
        <v>46187</v>
      </c>
      <c r="Y20" s="25">
        <f ca="1">Horarios!C20</f>
        <v>46187</v>
      </c>
      <c r="Z20" s="26" t="str">
        <f>$Z$4</f>
        <v>J1</v>
      </c>
      <c r="AA20" s="27" t="str">
        <f ca="1">A21</f>
        <v>Brasil</v>
      </c>
      <c r="AB20" s="49" t="str" cm="1">
        <f t="array" aca="1" ref="AB20" ca="1">Ver_flag_local</f>
        <v/>
      </c>
      <c r="AC20" s="50">
        <v>1</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1"/>
      <c r="X21" s="24">
        <f ca="1">Horarios!C21</f>
        <v>46187.125</v>
      </c>
      <c r="Y21" s="25">
        <f ca="1">Horarios!C21</f>
        <v>46187.125</v>
      </c>
      <c r="Z21" s="26" t="str">
        <f>$Z$4</f>
        <v>J1</v>
      </c>
      <c r="AA21" s="27" t="str">
        <f ca="1">A23</f>
        <v>Haití</v>
      </c>
      <c r="AB21" s="49" t="str" cm="1">
        <f t="array" aca="1" ref="AB21" ca="1">Ver_flag_local</f>
        <v/>
      </c>
      <c r="AC21" s="50">
        <v>0</v>
      </c>
      <c r="AD21" s="51">
        <v>1</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6"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1"/>
      <c r="X22" s="24">
        <f ca="1">Horarios!C22</f>
        <v>46193</v>
      </c>
      <c r="Y22" s="25">
        <f ca="1">Horarios!C22</f>
        <v>46193</v>
      </c>
      <c r="Z22" s="26" t="str">
        <f>$Z$6</f>
        <v>J2</v>
      </c>
      <c r="AA22" s="27" t="str">
        <f ca="1">A24</f>
        <v>Escocia</v>
      </c>
      <c r="AB22" s="49" t="str" cm="1">
        <f t="array" aca="1" ref="AB22" ca="1">Ver_flag_local</f>
        <v/>
      </c>
      <c r="AC22" s="50">
        <v>0</v>
      </c>
      <c r="AD22" s="51">
        <v>1</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1"/>
      <c r="X23" s="24">
        <f ca="1">Horarios!C23</f>
        <v>46193.104166666664</v>
      </c>
      <c r="Y23" s="25">
        <f ca="1">Horarios!C23</f>
        <v>46193.104166666664</v>
      </c>
      <c r="Z23" s="26" t="str">
        <f>$Z$6</f>
        <v>J2</v>
      </c>
      <c r="AA23" s="27" t="str">
        <f ca="1">A21</f>
        <v>Brasil</v>
      </c>
      <c r="AB23" s="49" t="str" cm="1">
        <f t="array" aca="1" ref="AB23" ca="1">Ver_flag_local</f>
        <v/>
      </c>
      <c r="AC23" s="50">
        <v>3</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1"/>
      <c r="X24" s="24">
        <f ca="1">Horarios!C24</f>
        <v>46198</v>
      </c>
      <c r="Y24" s="25">
        <f ca="1">Horarios!C24</f>
        <v>46198</v>
      </c>
      <c r="Z24" s="26" t="str">
        <f>$Z$8</f>
        <v>J3</v>
      </c>
      <c r="AA24" s="27" t="str">
        <f ca="1">A24</f>
        <v>Escocia</v>
      </c>
      <c r="AB24" s="49" t="str" cm="1">
        <f t="array" aca="1" ref="AB24" ca="1">Ver_flag_local</f>
        <v/>
      </c>
      <c r="AC24" s="50">
        <v>0</v>
      </c>
      <c r="AD24" s="51">
        <v>3</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72"/>
      <c r="X25" s="28">
        <f ca="1">Horarios!C25</f>
        <v>46198</v>
      </c>
      <c r="Y25" s="29">
        <f ca="1">Horarios!C25</f>
        <v>46198</v>
      </c>
      <c r="Z25" s="30" t="str">
        <f>$Z$8</f>
        <v>J3</v>
      </c>
      <c r="AA25" s="31" t="str">
        <f ca="1">A22</f>
        <v>Marruecos</v>
      </c>
      <c r="AB25" s="52" t="str" cm="1">
        <f t="array" aca="1" ref="AB25" ca="1">Ver_flag_local</f>
        <v/>
      </c>
      <c r="AC25" s="53">
        <v>4</v>
      </c>
      <c r="AD25" s="54">
        <v>2</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73" t="s">
        <v>74</v>
      </c>
      <c r="X28" s="24">
        <f ca="1">Horarios!C28</f>
        <v>46186.125</v>
      </c>
      <c r="Y28" s="25">
        <f ca="1">Horarios!C28</f>
        <v>46186.125</v>
      </c>
      <c r="Z28" s="26" t="str">
        <f>$Z$4</f>
        <v>J1</v>
      </c>
      <c r="AA28" s="27" t="str">
        <f ca="1">A29</f>
        <v>Estados Unidos</v>
      </c>
      <c r="AB28" s="49" t="str" cm="1">
        <f t="array" aca="1" ref="AB28" ca="1">Ver_flag_local</f>
        <v/>
      </c>
      <c r="AC28" s="50">
        <v>4</v>
      </c>
      <c r="AD28" s="51">
        <v>1</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73"/>
      <c r="X29" s="24">
        <f ca="1">Horarios!C29</f>
        <v>46187.25</v>
      </c>
      <c r="Y29" s="25">
        <f ca="1">Horarios!C29</f>
        <v>46187.25</v>
      </c>
      <c r="Z29" s="26" t="str">
        <f>$Z$4</f>
        <v>J1</v>
      </c>
      <c r="AA29" s="27" t="str">
        <f ca="1">A31</f>
        <v>Australia</v>
      </c>
      <c r="AB29" s="49" t="str" cm="1">
        <f t="array" aca="1" ref="AB29" ca="1">Ver_flag_local</f>
        <v/>
      </c>
      <c r="AC29" s="50">
        <v>2</v>
      </c>
      <c r="AD29" s="51">
        <v>0</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 customHeight="1">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73"/>
      <c r="X30" s="24">
        <f ca="1">Horarios!C30</f>
        <v>46192.875</v>
      </c>
      <c r="Y30" s="25">
        <f ca="1">Horarios!C30</f>
        <v>46192.875</v>
      </c>
      <c r="Z30" s="26" t="str">
        <f>$Z$6</f>
        <v>J2</v>
      </c>
      <c r="AA30" s="27" t="str">
        <f ca="1">A29</f>
        <v>Estados Unidos</v>
      </c>
      <c r="AB30" s="49" t="str" cm="1">
        <f t="array" aca="1" ref="AB30" ca="1">Ver_flag_local</f>
        <v/>
      </c>
      <c r="AC30" s="50">
        <v>2</v>
      </c>
      <c r="AD30" s="51">
        <v>0</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 customHeight="1">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73"/>
      <c r="X31" s="24">
        <f ca="1">Horarios!C31</f>
        <v>46193.208333333336</v>
      </c>
      <c r="Y31" s="25">
        <f ca="1">Horarios!C31</f>
        <v>46193.208333333336</v>
      </c>
      <c r="Z31" s="26" t="str">
        <f>$Z$6</f>
        <v>J2</v>
      </c>
      <c r="AA31" s="27" t="str">
        <f ca="1">A32</f>
        <v>Turquía</v>
      </c>
      <c r="AB31" s="49" t="str" cm="1">
        <f t="array" aca="1" ref="AB31" ca="1">Ver_flag_local</f>
        <v/>
      </c>
      <c r="AC31" s="50">
        <v>0</v>
      </c>
      <c r="AD31" s="51">
        <v>1</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73"/>
      <c r="X32" s="24">
        <f ca="1">Horarios!C32</f>
        <v>46199.166666666664</v>
      </c>
      <c r="Y32" s="25">
        <f ca="1">Horarios!C32</f>
        <v>46199.166666666664</v>
      </c>
      <c r="Z32" s="26" t="str">
        <f>$Z$8</f>
        <v>J3</v>
      </c>
      <c r="AA32" s="27" t="str">
        <f ca="1">A32</f>
        <v>Turquía</v>
      </c>
      <c r="AB32" s="49" t="str" cm="1">
        <f t="array" aca="1" ref="AB32" ca="1">Ver_flag_local</f>
        <v/>
      </c>
      <c r="AC32" s="50">
        <v>3</v>
      </c>
      <c r="AD32" s="51">
        <v>2</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 customHeight="1" thickBot="1">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74"/>
      <c r="X33" s="28">
        <f ca="1">Horarios!C33</f>
        <v>46199.166666666664</v>
      </c>
      <c r="Y33" s="29">
        <f ca="1">Horarios!C33</f>
        <v>46199.166666666664</v>
      </c>
      <c r="Z33" s="30" t="str">
        <f>$Z$8</f>
        <v>J3</v>
      </c>
      <c r="AA33" s="31" t="str">
        <f ca="1">A30</f>
        <v>Paraguay</v>
      </c>
      <c r="AB33" s="52" t="str" cm="1">
        <f t="array" aca="1" ref="AB33" ca="1">Ver_flag_local</f>
        <v/>
      </c>
      <c r="AC33" s="53">
        <v>0</v>
      </c>
      <c r="AD33" s="54">
        <v>0</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75" t="s">
        <v>3</v>
      </c>
      <c r="X36" s="24">
        <f ca="1">Horarios!C36</f>
        <v>46187.791666666664</v>
      </c>
      <c r="Y36" s="25">
        <f ca="1">Horarios!C36</f>
        <v>46187.791666666664</v>
      </c>
      <c r="Z36" s="26" t="str">
        <f>$Z$4</f>
        <v>J1</v>
      </c>
      <c r="AA36" s="27" t="str">
        <f ca="1">A37</f>
        <v>Alemania</v>
      </c>
      <c r="AB36" s="49" t="str" cm="1">
        <f t="array" aca="1" ref="AB36" ca="1">Ver_flag_local</f>
        <v/>
      </c>
      <c r="AC36" s="50">
        <v>7</v>
      </c>
      <c r="AD36" s="51">
        <v>1</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6" customHeight="1">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75"/>
      <c r="X37" s="24">
        <f ca="1">Horarios!C37</f>
        <v>46188.041666666664</v>
      </c>
      <c r="Y37" s="25">
        <f ca="1">Horarios!C37</f>
        <v>46188.041666666664</v>
      </c>
      <c r="Z37" s="26" t="str">
        <f>$Z$4</f>
        <v>J1</v>
      </c>
      <c r="AA37" s="27" t="str">
        <f ca="1">A39</f>
        <v>Costa de Marfil</v>
      </c>
      <c r="AB37" s="49" t="str" cm="1">
        <f t="array" aca="1" ref="AB37" ca="1">Ver_flag_local</f>
        <v/>
      </c>
      <c r="AC37" s="50">
        <v>1</v>
      </c>
      <c r="AD37" s="51">
        <v>0</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6" customHeight="1">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75"/>
      <c r="X38" s="24">
        <f ca="1">Horarios!C38</f>
        <v>46193.916666666664</v>
      </c>
      <c r="Y38" s="25">
        <f ca="1">Horarios!C38</f>
        <v>46193.916666666664</v>
      </c>
      <c r="Z38" s="26" t="str">
        <f>$Z$6</f>
        <v>J2</v>
      </c>
      <c r="AA38" s="27" t="str">
        <f ca="1">A37</f>
        <v>Alemania</v>
      </c>
      <c r="AB38" s="49" t="str" cm="1">
        <f t="array" aca="1" ref="AB38" ca="1">Ver_flag_local</f>
        <v/>
      </c>
      <c r="AC38" s="50">
        <v>2</v>
      </c>
      <c r="AD38" s="51">
        <v>1</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75"/>
      <c r="X39" s="24">
        <f ca="1">Horarios!C39</f>
        <v>46194.083333333336</v>
      </c>
      <c r="Y39" s="25">
        <f ca="1">Horarios!C39</f>
        <v>46194.083333333336</v>
      </c>
      <c r="Z39" s="26" t="str">
        <f>$Z$6</f>
        <v>J2</v>
      </c>
      <c r="AA39" s="27" t="str">
        <f ca="1">A40</f>
        <v>Ecuador</v>
      </c>
      <c r="AB39" s="49" t="str" cm="1">
        <f t="array" aca="1" ref="AB39" ca="1">Ver_flag_local</f>
        <v/>
      </c>
      <c r="AC39" s="50">
        <v>0</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 customHeight="1">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75"/>
      <c r="X40" s="24">
        <f ca="1">Horarios!C40</f>
        <v>46198.916666666664</v>
      </c>
      <c r="Y40" s="25">
        <f ca="1">Horarios!C40</f>
        <v>46198.916666666664</v>
      </c>
      <c r="Z40" s="26" t="str">
        <f>$Z$8</f>
        <v>J3</v>
      </c>
      <c r="AA40" s="27" t="str">
        <f ca="1">A38</f>
        <v>Curazao</v>
      </c>
      <c r="AB40" s="49" t="str" cm="1">
        <f t="array" aca="1" ref="AB40" ca="1">Ver_flag_local</f>
        <v/>
      </c>
      <c r="AC40" s="50">
        <v>0</v>
      </c>
      <c r="AD40" s="51">
        <v>2</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76"/>
      <c r="X41" s="28">
        <f ca="1">Horarios!C41</f>
        <v>46198.916666666664</v>
      </c>
      <c r="Y41" s="29">
        <f ca="1">Horarios!C41</f>
        <v>46198.916666666664</v>
      </c>
      <c r="Z41" s="30" t="str">
        <f>$Z$8</f>
        <v>J3</v>
      </c>
      <c r="AA41" s="31" t="str">
        <f ca="1">A40</f>
        <v>Ecuador</v>
      </c>
      <c r="AB41" s="52" t="str" cm="1">
        <f t="array" aca="1" ref="AB41" ca="1">Ver_flag_local</f>
        <v/>
      </c>
      <c r="AC41" s="53">
        <v>2</v>
      </c>
      <c r="AD41" s="54">
        <v>1</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38" t="s">
        <v>4</v>
      </c>
      <c r="X44" s="24">
        <f ca="1">Horarios!C44</f>
        <v>46187.916666666664</v>
      </c>
      <c r="Y44" s="25">
        <f ca="1">Horarios!C44</f>
        <v>46187.916666666664</v>
      </c>
      <c r="Z44" s="26" t="str">
        <f>$Z$4</f>
        <v>J1</v>
      </c>
      <c r="AA44" s="27" t="str">
        <f ca="1">A45</f>
        <v>Países Bajos</v>
      </c>
      <c r="AB44" s="49" t="str" cm="1">
        <f t="array" aca="1" ref="AB44" ca="1">Ver_flag_local</f>
        <v/>
      </c>
      <c r="AC44" s="50">
        <v>2</v>
      </c>
      <c r="AD44" s="51">
        <v>2</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38"/>
      <c r="X45" s="24">
        <f ca="1">Horarios!C45</f>
        <v>46188.166666666664</v>
      </c>
      <c r="Y45" s="25">
        <f ca="1">Horarios!C45</f>
        <v>46188.166666666664</v>
      </c>
      <c r="Z45" s="26" t="str">
        <f>$Z$4</f>
        <v>J1</v>
      </c>
      <c r="AA45" s="27" t="str">
        <f ca="1">A47</f>
        <v>Suecia</v>
      </c>
      <c r="AB45" s="49" t="str" cm="1">
        <f t="array" aca="1" ref="AB45" ca="1">Ver_flag_local</f>
        <v/>
      </c>
      <c r="AC45" s="50">
        <v>5</v>
      </c>
      <c r="AD45" s="51">
        <v>1</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38"/>
      <c r="X46" s="24">
        <f ca="1">Horarios!C46</f>
        <v>46193.791666666664</v>
      </c>
      <c r="Y46" s="25">
        <f ca="1">Horarios!C46</f>
        <v>46193.791666666664</v>
      </c>
      <c r="Z46" s="26" t="str">
        <f>$Z$6</f>
        <v>J2</v>
      </c>
      <c r="AA46" s="27" t="str">
        <f ca="1">A45</f>
        <v>Países Bajos</v>
      </c>
      <c r="AB46" s="49" t="str" cm="1">
        <f t="array" aca="1" ref="AB46" ca="1">Ver_flag_local</f>
        <v/>
      </c>
      <c r="AC46" s="50">
        <v>5</v>
      </c>
      <c r="AD46" s="51">
        <v>1</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6"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38"/>
      <c r="X47" s="24">
        <f ca="1">Horarios!C47</f>
        <v>46194.25</v>
      </c>
      <c r="Y47" s="25">
        <f ca="1">Horarios!C47</f>
        <v>46194.25</v>
      </c>
      <c r="Z47" s="26" t="str">
        <f>$Z$6</f>
        <v>J2</v>
      </c>
      <c r="AA47" s="27" t="str">
        <f ca="1">A48</f>
        <v>Túnez</v>
      </c>
      <c r="AB47" s="49" t="str" cm="1">
        <f t="array" aca="1" ref="AB47" ca="1">Ver_flag_local</f>
        <v/>
      </c>
      <c r="AC47" s="50">
        <v>0</v>
      </c>
      <c r="AD47" s="51">
        <v>4</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6"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38"/>
      <c r="X48" s="24">
        <f ca="1">Horarios!C48</f>
        <v>46199.041666666664</v>
      </c>
      <c r="Y48" s="25">
        <f ca="1">Horarios!C48</f>
        <v>46199.041666666664</v>
      </c>
      <c r="Z48" s="26" t="str">
        <f>$Z$8</f>
        <v>J3</v>
      </c>
      <c r="AA48" s="27" t="str">
        <f ca="1">A46</f>
        <v>Japón</v>
      </c>
      <c r="AB48" s="49" t="str" cm="1">
        <f t="array" aca="1" ref="AB48" ca="1">Ver_flag_local</f>
        <v/>
      </c>
      <c r="AC48" s="50">
        <v>1</v>
      </c>
      <c r="AD48" s="51">
        <v>1</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39"/>
      <c r="X49" s="28">
        <f ca="1">Horarios!C49</f>
        <v>46199.041666666664</v>
      </c>
      <c r="Y49" s="29">
        <f ca="1">Horarios!C49</f>
        <v>46199.041666666664</v>
      </c>
      <c r="Z49" s="30" t="str">
        <f>$Z$8</f>
        <v>J3</v>
      </c>
      <c r="AA49" s="31" t="str">
        <f ca="1">A48</f>
        <v>Túnez</v>
      </c>
      <c r="AB49" s="52" t="str" cm="1">
        <f t="array" aca="1" ref="AB49" ca="1">Ver_flag_local</f>
        <v/>
      </c>
      <c r="AC49" s="53">
        <v>1</v>
      </c>
      <c r="AD49" s="54">
        <v>3</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6</v>
      </c>
      <c r="BK51" s="16">
        <f t="shared" ca="1" si="21"/>
        <v>6</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58" t="s">
        <v>6</v>
      </c>
      <c r="X52" s="24">
        <f ca="1">Horarios!C52</f>
        <v>46188.875</v>
      </c>
      <c r="Y52" s="25">
        <f ca="1">Horarios!C52</f>
        <v>46188.875</v>
      </c>
      <c r="Z52" s="26" t="str">
        <f>$Z$4</f>
        <v>J1</v>
      </c>
      <c r="AA52" s="27" t="str">
        <f ca="1">A53</f>
        <v>Bélgica</v>
      </c>
      <c r="AB52" s="49" t="str" cm="1">
        <f t="array" aca="1" ref="AB52" ca="1">Ver_flag_local</f>
        <v/>
      </c>
      <c r="AC52" s="50">
        <v>1</v>
      </c>
      <c r="AD52" s="51">
        <v>1</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58"/>
      <c r="X53" s="24">
        <f ca="1">Horarios!C53</f>
        <v>46189.125</v>
      </c>
      <c r="Y53" s="25">
        <f ca="1">Horarios!C53</f>
        <v>46189.125</v>
      </c>
      <c r="Z53" s="26" t="str">
        <f>$Z$4</f>
        <v>J1</v>
      </c>
      <c r="AA53" s="27" t="str">
        <f ca="1">A55</f>
        <v>Irán</v>
      </c>
      <c r="AB53" s="49" t="str" cm="1">
        <f t="array" aca="1" ref="AB53" ca="1">Ver_flag_local</f>
        <v/>
      </c>
      <c r="AC53" s="50">
        <v>2</v>
      </c>
      <c r="AD53" s="51">
        <v>2</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5</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 customHeight="1">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58"/>
      <c r="X54" s="24">
        <f ca="1">Horarios!C54</f>
        <v>46194.875</v>
      </c>
      <c r="Y54" s="25">
        <f ca="1">Horarios!C54</f>
        <v>46194.875</v>
      </c>
      <c r="Z54" s="26" t="str">
        <f>$Z$6</f>
        <v>J2</v>
      </c>
      <c r="AA54" s="27" t="str">
        <f ca="1">A53</f>
        <v>Bélgica</v>
      </c>
      <c r="AB54" s="49" t="str" cm="1">
        <f t="array" aca="1" ref="AB54" ca="1">Ver_flag_local</f>
        <v/>
      </c>
      <c r="AC54" s="50">
        <v>0</v>
      </c>
      <c r="AD54" s="51">
        <v>0</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6" customHeight="1">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58"/>
      <c r="X55" s="24">
        <f ca="1">Horarios!C55</f>
        <v>46195.125</v>
      </c>
      <c r="Y55" s="25">
        <f ca="1">Horarios!C55</f>
        <v>46195.125</v>
      </c>
      <c r="Z55" s="26" t="str">
        <f>$Z$6</f>
        <v>J2</v>
      </c>
      <c r="AA55" s="27" t="str">
        <f ca="1">A56</f>
        <v>Nueva Zelanda</v>
      </c>
      <c r="AB55" s="49" t="str" cm="1">
        <f t="array" aca="1" ref="AB55" ca="1">Ver_flag_local</f>
        <v/>
      </c>
      <c r="AC55" s="50">
        <v>1</v>
      </c>
      <c r="AD55" s="51">
        <v>3</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6" customHeight="1">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58"/>
      <c r="X56" s="24">
        <f ca="1">Horarios!C56</f>
        <v>46200.208333333336</v>
      </c>
      <c r="Y56" s="25">
        <f ca="1">Horarios!C56</f>
        <v>46200.208333333336</v>
      </c>
      <c r="Z56" s="26" t="str">
        <f>$Z$8</f>
        <v>J3</v>
      </c>
      <c r="AA56" s="27" t="str">
        <f ca="1">A54</f>
        <v>Egipto</v>
      </c>
      <c r="AB56" s="49" t="str" cm="1">
        <f t="array" aca="1" ref="AB56" ca="1">Ver_flag_local</f>
        <v/>
      </c>
      <c r="AC56" s="50">
        <v>1</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59"/>
      <c r="X57" s="28">
        <f ca="1">Horarios!C57</f>
        <v>46200.208333333336</v>
      </c>
      <c r="Y57" s="29">
        <f ca="1">Horarios!C57</f>
        <v>46200.208333333336</v>
      </c>
      <c r="Z57" s="30" t="str">
        <f>$Z$8</f>
        <v>J3</v>
      </c>
      <c r="AA57" s="31" t="str">
        <f ca="1">A56</f>
        <v>Nueva Zelanda</v>
      </c>
      <c r="AB57" s="52" t="str" cm="1">
        <f t="array" aca="1" ref="AB57" ca="1">Ver_flag_local</f>
        <v/>
      </c>
      <c r="AC57" s="53">
        <v>1</v>
      </c>
      <c r="AD57" s="54">
        <v>5</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6" customHeight="1" thickBot="1">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0" t="s">
        <v>447</v>
      </c>
      <c r="X60" s="24">
        <f ca="1">Horarios!C60</f>
        <v>46188.75</v>
      </c>
      <c r="Y60" s="25">
        <f ca="1">Horarios!C60</f>
        <v>46188.75</v>
      </c>
      <c r="Z60" s="26" t="str">
        <f>$Z$4</f>
        <v>J1</v>
      </c>
      <c r="AA60" s="27" t="str">
        <f ca="1">A61</f>
        <v>España</v>
      </c>
      <c r="AB60" s="49" t="str" cm="1">
        <f t="array" aca="1" ref="AB60" ca="1">Ver_flag_local</f>
        <v/>
      </c>
      <c r="AC60" s="50">
        <v>0</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cm="1">
        <f t="array" aca="1" ref="DN60" ca="1">OFFSET(Horarios!$P$3,DJ60-1,0,DL60,1)</f>
        <v>3</v>
      </c>
      <c r="DO60" s="16"/>
      <c r="DP60" s="16">
        <v>3</v>
      </c>
      <c r="DQ60" s="16" t="str">
        <f t="shared" ca="1" si="198"/>
        <v>Ecuador</v>
      </c>
    </row>
    <row r="61" spans="1:121" ht="16" customHeight="1">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40"/>
      <c r="X61" s="24">
        <f ca="1">Horarios!C61</f>
        <v>46189</v>
      </c>
      <c r="Y61" s="25">
        <f ca="1">Horarios!C61</f>
        <v>46189</v>
      </c>
      <c r="Z61" s="26" t="str">
        <f>$Z$4</f>
        <v>J1</v>
      </c>
      <c r="AA61" s="27" t="str">
        <f ca="1">A63</f>
        <v>Arabia Saudita</v>
      </c>
      <c r="AB61" s="49" t="str" cm="1">
        <f t="array" aca="1" ref="AB61" ca="1">Ver_flag_local</f>
        <v/>
      </c>
      <c r="AC61" s="50">
        <v>1</v>
      </c>
      <c r="AD61" s="51">
        <v>1</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cm="1">
        <f t="array" aca="1" ref="DN61" ca="1">OFFSET(Horarios!$P$3,DJ61-1,0,DL61,1)</f>
        <v>3</v>
      </c>
      <c r="DO61" s="16"/>
      <c r="DP61" s="16">
        <v>4</v>
      </c>
      <c r="DQ61" s="16" t="str">
        <f t="shared" ca="1" si="198"/>
        <v>Ghana</v>
      </c>
    </row>
    <row r="62" spans="1:121" ht="16"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40"/>
      <c r="X62" s="24">
        <f ca="1">Horarios!C62</f>
        <v>46194.75</v>
      </c>
      <c r="Y62" s="25">
        <f ca="1">Horarios!C62</f>
        <v>46194.75</v>
      </c>
      <c r="Z62" s="26" t="str">
        <f>$Z$6</f>
        <v>J2</v>
      </c>
      <c r="AA62" s="27" t="str">
        <f ca="1">A61</f>
        <v>España</v>
      </c>
      <c r="AB62" s="49" t="str" cm="1">
        <f t="array" aca="1" ref="AB62" ca="1">Ver_flag_local</f>
        <v/>
      </c>
      <c r="AC62" s="50">
        <v>4</v>
      </c>
      <c r="AD62" s="51">
        <v>0</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6" customHeight="1">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40"/>
      <c r="X63" s="24">
        <f ca="1">Horarios!C63</f>
        <v>46195</v>
      </c>
      <c r="Y63" s="25">
        <f ca="1">Horarios!C63</f>
        <v>46195</v>
      </c>
      <c r="Z63" s="26" t="str">
        <f>$Z$6</f>
        <v>J2</v>
      </c>
      <c r="AA63" s="27" t="str">
        <f ca="1">A64</f>
        <v>Uruguay</v>
      </c>
      <c r="AB63" s="49" t="str" cm="1">
        <f t="array" aca="1" ref="AB63" ca="1">Ver_flag_local</f>
        <v/>
      </c>
      <c r="AC63" s="50">
        <v>2</v>
      </c>
      <c r="AD63" s="51">
        <v>2</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6" customHeight="1">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40"/>
      <c r="X64" s="24">
        <f ca="1">Horarios!C64</f>
        <v>46200.083333333336</v>
      </c>
      <c r="Y64" s="25">
        <f ca="1">Horarios!C64</f>
        <v>46200.083333333336</v>
      </c>
      <c r="Z64" s="26" t="str">
        <f>$Z$8</f>
        <v>J3</v>
      </c>
      <c r="AA64" s="27" t="str">
        <f ca="1">A62</f>
        <v>Cabo Verde</v>
      </c>
      <c r="AB64" s="49" t="str" cm="1">
        <f t="array" aca="1" ref="AB64" ca="1">Ver_flag_local</f>
        <v/>
      </c>
      <c r="AC64" s="50">
        <v>0</v>
      </c>
      <c r="AD64" s="51">
        <v>0</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6" customHeight="1" thickBot="1">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41"/>
      <c r="X65" s="28">
        <f ca="1">Horarios!C65</f>
        <v>46200.083333333336</v>
      </c>
      <c r="Y65" s="29">
        <f ca="1">Horarios!C65</f>
        <v>46200.083333333336</v>
      </c>
      <c r="Z65" s="30" t="str">
        <f>$Z$8</f>
        <v>J3</v>
      </c>
      <c r="AA65" s="31" t="str">
        <f ca="1">A64</f>
        <v>Uruguay</v>
      </c>
      <c r="AB65" s="52" t="str" cm="1">
        <f t="array" aca="1" ref="AB65" ca="1">Ver_flag_local</f>
        <v/>
      </c>
      <c r="AC65" s="53">
        <v>0</v>
      </c>
      <c r="AD65" s="54">
        <v>1</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6"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46" t="s">
        <v>448</v>
      </c>
      <c r="X68" s="24">
        <f ca="1">Horarios!C68</f>
        <v>46189.875</v>
      </c>
      <c r="Y68" s="25">
        <f ca="1">Horarios!C68</f>
        <v>46189.875</v>
      </c>
      <c r="Z68" s="26" t="str">
        <f>$Z$4</f>
        <v>J1</v>
      </c>
      <c r="AA68" s="27" t="str">
        <f ca="1">A69</f>
        <v>Francia</v>
      </c>
      <c r="AB68" s="49" t="str" cm="1">
        <f t="array" aca="1" ref="AB68" ca="1">Ver_flag_local</f>
        <v/>
      </c>
      <c r="AC68" s="50">
        <v>3</v>
      </c>
      <c r="AD68" s="51">
        <v>1</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6"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46"/>
      <c r="X69" s="24">
        <f ca="1">Horarios!C69</f>
        <v>46190</v>
      </c>
      <c r="Y69" s="25">
        <f ca="1">Horarios!C69</f>
        <v>46190</v>
      </c>
      <c r="Z69" s="26" t="str">
        <f>$Z$4</f>
        <v>J1</v>
      </c>
      <c r="AA69" s="27" t="str">
        <f ca="1">A71</f>
        <v>Irak</v>
      </c>
      <c r="AB69" s="49" t="str" cm="1">
        <f t="array" aca="1" ref="AB69" ca="1">Ver_flag_local</f>
        <v/>
      </c>
      <c r="AC69" s="50">
        <v>1</v>
      </c>
      <c r="AD69" s="51">
        <v>4</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6"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46"/>
      <c r="X70" s="24">
        <f ca="1">Horarios!C70</f>
        <v>46195.958333333336</v>
      </c>
      <c r="Y70" s="25">
        <f ca="1">Horarios!C70</f>
        <v>46195.958333333336</v>
      </c>
      <c r="Z70" s="26" t="str">
        <f>$Z$6</f>
        <v>J2</v>
      </c>
      <c r="AA70" s="27" t="str">
        <f ca="1">A69</f>
        <v>Francia</v>
      </c>
      <c r="AB70" s="49" t="str" cm="1">
        <f t="array" aca="1" ref="AB70" ca="1">Ver_flag_local</f>
        <v/>
      </c>
      <c r="AC70" s="50">
        <v>3</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6"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46"/>
      <c r="X71" s="24">
        <f ca="1">Horarios!C71</f>
        <v>46196.083333333336</v>
      </c>
      <c r="Y71" s="25">
        <f ca="1">Horarios!C71</f>
        <v>46196.083333333336</v>
      </c>
      <c r="Z71" s="26" t="str">
        <f>$Z$6</f>
        <v>J2</v>
      </c>
      <c r="AA71" s="27" t="str">
        <f ca="1">A72</f>
        <v>Noruega</v>
      </c>
      <c r="AB71" s="49" t="str" cm="1">
        <f t="array" aca="1" ref="AB71" ca="1">Ver_flag_local</f>
        <v/>
      </c>
      <c r="AC71" s="50">
        <v>3</v>
      </c>
      <c r="AD71" s="51">
        <v>2</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6"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46"/>
      <c r="X72" s="24">
        <f ca="1">Horarios!C72</f>
        <v>46199.875</v>
      </c>
      <c r="Y72" s="25">
        <f ca="1">Horarios!C72</f>
        <v>46199.875</v>
      </c>
      <c r="Z72" s="26" t="str">
        <f>$Z$8</f>
        <v>J3</v>
      </c>
      <c r="AA72" s="27" t="str">
        <f ca="1">A72</f>
        <v>Noruega</v>
      </c>
      <c r="AB72" s="49" t="str" cm="1">
        <f t="array" aca="1" ref="AB72" ca="1">Ver_flag_local</f>
        <v/>
      </c>
      <c r="AC72" s="50">
        <v>1</v>
      </c>
      <c r="AD72" s="51">
        <v>4</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47"/>
      <c r="X73" s="28">
        <f ca="1">Horarios!C73</f>
        <v>46199.875</v>
      </c>
      <c r="Y73" s="29">
        <f ca="1">Horarios!C73</f>
        <v>46199.875</v>
      </c>
      <c r="Z73" s="30" t="str">
        <f>$Z$8</f>
        <v>J3</v>
      </c>
      <c r="AA73" s="31" t="str">
        <f ca="1">A70</f>
        <v>Senegal</v>
      </c>
      <c r="AB73" s="52" t="str" cm="1">
        <f t="array" aca="1" ref="AB73" ca="1">Ver_flag_local</f>
        <v/>
      </c>
      <c r="AC73" s="53">
        <v>5</v>
      </c>
      <c r="AD73" s="54">
        <v>0</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42" t="s">
        <v>5</v>
      </c>
      <c r="X76" s="24">
        <f ca="1">Horarios!C76</f>
        <v>46190.125</v>
      </c>
      <c r="Y76" s="25">
        <f ca="1">Horarios!C76</f>
        <v>46190.125</v>
      </c>
      <c r="Z76" s="26" t="str">
        <f>$Z$4</f>
        <v>J1</v>
      </c>
      <c r="AA76" s="27" t="str">
        <f ca="1">A77</f>
        <v>Argentina</v>
      </c>
      <c r="AB76" s="49" t="str" cm="1">
        <f t="array" aca="1" ref="AB76" ca="1">Ver_flag_local</f>
        <v/>
      </c>
      <c r="AC76" s="50">
        <v>3</v>
      </c>
      <c r="AD76" s="51">
        <v>0</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42"/>
      <c r="X77" s="24">
        <f ca="1">Horarios!C77</f>
        <v>46190.25</v>
      </c>
      <c r="Y77" s="25">
        <f ca="1">Horarios!C77</f>
        <v>46190.25</v>
      </c>
      <c r="Z77" s="26" t="str">
        <f>$Z$4</f>
        <v>J1</v>
      </c>
      <c r="AA77" s="27" t="str">
        <f ca="1">A79</f>
        <v>Austria</v>
      </c>
      <c r="AB77" s="49" t="str" cm="1">
        <f t="array" aca="1" ref="AB77" ca="1">Ver_flag_local</f>
        <v/>
      </c>
      <c r="AC77" s="50">
        <v>3</v>
      </c>
      <c r="AD77" s="51">
        <v>1</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42"/>
      <c r="X78" s="24">
        <f ca="1">Horarios!C78</f>
        <v>46195.791666666664</v>
      </c>
      <c r="Y78" s="25">
        <f ca="1">Horarios!C78</f>
        <v>46195.791666666664</v>
      </c>
      <c r="Z78" s="26" t="str">
        <f>$Z$6</f>
        <v>J2</v>
      </c>
      <c r="AA78" s="27" t="str">
        <f ca="1">A77</f>
        <v>Argentina</v>
      </c>
      <c r="AB78" s="49" t="str" cm="1">
        <f t="array" aca="1" ref="AB78" ca="1">Ver_flag_local</f>
        <v/>
      </c>
      <c r="AC78" s="50">
        <v>2</v>
      </c>
      <c r="AD78" s="51">
        <v>0</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42"/>
      <c r="X79" s="24">
        <f ca="1">Horarios!C79</f>
        <v>46196.208333333336</v>
      </c>
      <c r="Y79" s="25">
        <f ca="1">Horarios!C79</f>
        <v>46196.208333333336</v>
      </c>
      <c r="Z79" s="26" t="str">
        <f>$Z$6</f>
        <v>J2</v>
      </c>
      <c r="AA79" s="27" t="str">
        <f ca="1">A80</f>
        <v>Jordania</v>
      </c>
      <c r="AB79" s="49" t="str" cm="1">
        <f t="array" aca="1" ref="AB79" ca="1">Ver_flag_local</f>
        <v/>
      </c>
      <c r="AC79" s="50">
        <v>1</v>
      </c>
      <c r="AD79" s="51">
        <v>2</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6"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42"/>
      <c r="X80" s="24">
        <f ca="1">Horarios!C80</f>
        <v>46201.166666666664</v>
      </c>
      <c r="Y80" s="25">
        <f ca="1">Horarios!C80</f>
        <v>46201.166666666664</v>
      </c>
      <c r="Z80" s="26" t="str">
        <f>$Z$8</f>
        <v>J3</v>
      </c>
      <c r="AA80" s="27" t="str">
        <f ca="1">A78</f>
        <v>Argelia</v>
      </c>
      <c r="AB80" s="49" t="str" cm="1">
        <f t="array" aca="1" ref="AB80" ca="1">Ver_flag_local</f>
        <v/>
      </c>
      <c r="AC80" s="50">
        <v>3</v>
      </c>
      <c r="AD80" s="51">
        <v>3</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6"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43"/>
      <c r="X81" s="28">
        <f ca="1">Horarios!C81</f>
        <v>46201.166666666664</v>
      </c>
      <c r="Y81" s="29">
        <f ca="1">Horarios!C81</f>
        <v>46201.166666666664</v>
      </c>
      <c r="Z81" s="30" t="str">
        <f>$Z$8</f>
        <v>J3</v>
      </c>
      <c r="AA81" s="31" t="str">
        <f ca="1">A80</f>
        <v>Jordania</v>
      </c>
      <c r="AB81" s="52" t="str" cm="1">
        <f t="array" aca="1" ref="AB81" ca="1">Ver_flag_local</f>
        <v/>
      </c>
      <c r="AC81" s="53">
        <v>1</v>
      </c>
      <c r="AD81" s="54">
        <v>3</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48" t="s">
        <v>449</v>
      </c>
      <c r="X84" s="24">
        <f ca="1">Horarios!C84</f>
        <v>46190.791666666664</v>
      </c>
      <c r="Y84" s="25">
        <f ca="1">Horarios!C84</f>
        <v>46190.791666666664</v>
      </c>
      <c r="Z84" s="26" t="str">
        <f>$Z$4</f>
        <v>J1</v>
      </c>
      <c r="AA84" s="27" t="str">
        <f ca="1">A85</f>
        <v>Portugal</v>
      </c>
      <c r="AB84" s="49" t="str" cm="1">
        <f t="array" aca="1" ref="AB84" ca="1">Ver_flag_local</f>
        <v/>
      </c>
      <c r="AC84" s="50">
        <v>1</v>
      </c>
      <c r="AD84" s="51">
        <v>1</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48"/>
      <c r="X85" s="24">
        <f ca="1">Horarios!C85</f>
        <v>46191.166666666664</v>
      </c>
      <c r="Y85" s="25">
        <f ca="1">Horarios!C85</f>
        <v>46191.166666666664</v>
      </c>
      <c r="Z85" s="26" t="str">
        <f>$Z$4</f>
        <v>J1</v>
      </c>
      <c r="AA85" s="27" t="str">
        <f ca="1">A87</f>
        <v>Uzbekistán</v>
      </c>
      <c r="AB85" s="49" t="str" cm="1">
        <f t="array" aca="1" ref="AB85" ca="1">Ver_flag_local</f>
        <v/>
      </c>
      <c r="AC85" s="50">
        <v>1</v>
      </c>
      <c r="AD85" s="51">
        <v>3</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48"/>
      <c r="X86" s="24">
        <f ca="1">Horarios!C86</f>
        <v>46196.791666666664</v>
      </c>
      <c r="Y86" s="25">
        <f ca="1">Horarios!C86</f>
        <v>46196.791666666664</v>
      </c>
      <c r="Z86" s="26" t="str">
        <f>$Z$6</f>
        <v>J2</v>
      </c>
      <c r="AA86" s="27" t="str">
        <f ca="1">A85</f>
        <v>Portugal</v>
      </c>
      <c r="AB86" s="49" t="str" cm="1">
        <f t="array" aca="1" ref="AB86" ca="1">Ver_flag_local</f>
        <v/>
      </c>
      <c r="AC86" s="50">
        <v>5</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6"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48"/>
      <c r="X87" s="24">
        <f ca="1">Horarios!C87</f>
        <v>46197.166666666664</v>
      </c>
      <c r="Y87" s="25">
        <f ca="1">Horarios!C87</f>
        <v>46197.166666666664</v>
      </c>
      <c r="Z87" s="26" t="str">
        <f>$Z$6</f>
        <v>J2</v>
      </c>
      <c r="AA87" s="27" t="str">
        <f ca="1">A88</f>
        <v>Colombia</v>
      </c>
      <c r="AB87" s="49" t="str" cm="1">
        <f t="array" aca="1" ref="AB87" ca="1">Ver_flag_local</f>
        <v/>
      </c>
      <c r="AC87" s="50">
        <v>1</v>
      </c>
      <c r="AD87" s="51">
        <v>0</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6" customHeight="1">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48"/>
      <c r="X88" s="24">
        <f ca="1">Horarios!C88</f>
        <v>46201.0625</v>
      </c>
      <c r="Y88" s="25">
        <f ca="1">Horarios!C88</f>
        <v>46201.0625</v>
      </c>
      <c r="Z88" s="26" t="str">
        <f>$Z$8</f>
        <v>J3</v>
      </c>
      <c r="AA88" s="27" t="str">
        <f ca="1">A88</f>
        <v>Colombia</v>
      </c>
      <c r="AB88" s="49" t="str" cm="1">
        <f t="array" aca="1" ref="AB88" ca="1">Ver_flag_local</f>
        <v/>
      </c>
      <c r="AC88" s="50">
        <v>0</v>
      </c>
      <c r="AD88" s="51">
        <v>0</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6"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49"/>
      <c r="X89" s="28">
        <f ca="1">Horarios!C89</f>
        <v>46201.0625</v>
      </c>
      <c r="Y89" s="29">
        <f ca="1">Horarios!C89</f>
        <v>46201.0625</v>
      </c>
      <c r="Z89" s="30" t="str">
        <f>$Z$8</f>
        <v>J3</v>
      </c>
      <c r="AA89" s="31" t="str">
        <f ca="1">A86</f>
        <v>RD Congo</v>
      </c>
      <c r="AB89" s="52" t="str" cm="1">
        <f t="array" aca="1" ref="AB89" ca="1">Ver_flag_local</f>
        <v/>
      </c>
      <c r="AC89" s="53">
        <v>3</v>
      </c>
      <c r="AD89" s="54">
        <v>1</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44" t="s">
        <v>247</v>
      </c>
      <c r="X92" s="24">
        <f ca="1">Horarios!C92</f>
        <v>46190.916666666664</v>
      </c>
      <c r="Y92" s="25">
        <f ca="1">Horarios!C92</f>
        <v>46190.916666666664</v>
      </c>
      <c r="Z92" s="26" t="str">
        <f>$Z$4</f>
        <v>J1</v>
      </c>
      <c r="AA92" s="27" t="str">
        <f ca="1">A93</f>
        <v>Inglaterra</v>
      </c>
      <c r="AB92" s="49" t="str" cm="1">
        <f t="array" aca="1" ref="AB92" ca="1">Ver_flag_local</f>
        <v/>
      </c>
      <c r="AC92" s="50">
        <v>4</v>
      </c>
      <c r="AD92" s="51">
        <v>2</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44"/>
      <c r="X93" s="24">
        <f ca="1">Horarios!C93</f>
        <v>46191.041666666664</v>
      </c>
      <c r="Y93" s="25">
        <f ca="1">Horarios!C93</f>
        <v>46191.041666666664</v>
      </c>
      <c r="Z93" s="26" t="str">
        <f>$Z$4</f>
        <v>J1</v>
      </c>
      <c r="AA93" s="27" t="str">
        <f ca="1">A95</f>
        <v>Ghana</v>
      </c>
      <c r="AB93" s="49" t="str" cm="1">
        <f t="array" aca="1" ref="AB93" ca="1">Ver_flag_local</f>
        <v/>
      </c>
      <c r="AC93" s="50">
        <v>1</v>
      </c>
      <c r="AD93" s="51">
        <v>0</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44"/>
      <c r="X94" s="24">
        <f ca="1">Horarios!C94</f>
        <v>46196.916666666664</v>
      </c>
      <c r="Y94" s="25">
        <f ca="1">Horarios!C94</f>
        <v>46196.916666666664</v>
      </c>
      <c r="Z94" s="26" t="str">
        <f>$Z$6</f>
        <v>J2</v>
      </c>
      <c r="AA94" s="27" t="str">
        <f ca="1">A93</f>
        <v>Inglaterra</v>
      </c>
      <c r="AB94" s="49" t="str" cm="1">
        <f t="array" aca="1" ref="AB94" ca="1">Ver_flag_local</f>
        <v/>
      </c>
      <c r="AC94" s="50">
        <v>0</v>
      </c>
      <c r="AD94" s="51">
        <v>0</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44"/>
      <c r="X95" s="24">
        <f ca="1">Horarios!C95</f>
        <v>46197.041666666664</v>
      </c>
      <c r="Y95" s="25">
        <f ca="1">Horarios!C95</f>
        <v>46197.041666666664</v>
      </c>
      <c r="Z95" s="26" t="str">
        <f>$Z$6</f>
        <v>J2</v>
      </c>
      <c r="AA95" s="27" t="str">
        <f ca="1">A96</f>
        <v>Panamá</v>
      </c>
      <c r="AB95" s="49" t="str" cm="1">
        <f t="array" aca="1" ref="AB95" ca="1">Ver_flag_local</f>
        <v/>
      </c>
      <c r="AC95" s="50">
        <v>1</v>
      </c>
      <c r="AD95" s="51">
        <v>2</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6</v>
      </c>
      <c r="AS95" s="39">
        <f t="shared" ca="1" si="287"/>
        <v>6</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6"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44"/>
      <c r="X96" s="24">
        <f ca="1">Horarios!C96</f>
        <v>46200.958333333336</v>
      </c>
      <c r="Y96" s="25">
        <f ca="1">Horarios!C96</f>
        <v>46200.958333333336</v>
      </c>
      <c r="Z96" s="26" t="str">
        <f>$Z$8</f>
        <v>J3</v>
      </c>
      <c r="AA96" s="27" t="str">
        <f ca="1">A96</f>
        <v>Panamá</v>
      </c>
      <c r="AB96" s="49" t="str" cm="1">
        <f t="array" aca="1" ref="AB96" ca="1">Ver_flag_local</f>
        <v/>
      </c>
      <c r="AC96" s="50">
        <v>0</v>
      </c>
      <c r="AD96" s="51">
        <v>2</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6"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45"/>
      <c r="X97" s="28">
        <f ca="1">Horarios!C97</f>
        <v>46200.958333333336</v>
      </c>
      <c r="Y97" s="29">
        <f ca="1">Horarios!C97</f>
        <v>46200.958333333336</v>
      </c>
      <c r="Z97" s="30" t="str">
        <f>$Z$8</f>
        <v>J3</v>
      </c>
      <c r="AA97" s="31" t="str">
        <f ca="1">A94</f>
        <v>Croacia</v>
      </c>
      <c r="AB97" s="52" t="str" cm="1">
        <f t="array" aca="1" ref="AB97" ca="1">Ver_flag_local</f>
        <v/>
      </c>
      <c r="AC97" s="53">
        <v>2</v>
      </c>
      <c r="AD97" s="54">
        <v>1</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5</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0" t="s">
        <v>493</v>
      </c>
      <c r="X101" s="24">
        <f ca="1">Horarios!C101</f>
        <v>46201.875</v>
      </c>
      <c r="Y101" s="25">
        <f ca="1">Horarios!C101</f>
        <v>46201.875</v>
      </c>
      <c r="Z101" s="280">
        <f>AH101</f>
        <v>73</v>
      </c>
      <c r="AA101" s="88" t="str">
        <f t="shared" ref="AA101:AA116" ca="1" si="292">+INDEX($M$101:$M$147,MATCH(AH101,$J$101:$J$147,0))</f>
        <v>Sudáfrica</v>
      </c>
      <c r="AB101" s="89">
        <v>3</v>
      </c>
      <c r="AC101" s="51">
        <v>1</v>
      </c>
      <c r="AD101" s="51">
        <v>1</v>
      </c>
      <c r="AE101" s="90">
        <v>4</v>
      </c>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6"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0"/>
      <c r="X102" s="24">
        <f ca="1">Horarios!C102</f>
        <v>46202.791666666664</v>
      </c>
      <c r="Y102" s="25">
        <f ca="1">Horarios!C102</f>
        <v>46202.791666666664</v>
      </c>
      <c r="Z102" s="280">
        <f t="shared" ref="Z102:Z116" si="296">AH102</f>
        <v>76</v>
      </c>
      <c r="AA102" s="88" t="str">
        <f t="shared" ca="1" si="292"/>
        <v>Brasil</v>
      </c>
      <c r="AB102" s="89"/>
      <c r="AC102" s="92">
        <v>2</v>
      </c>
      <c r="AD102" s="92">
        <v>1</v>
      </c>
      <c r="AE102" s="89"/>
      <c r="AF102" s="91" t="str">
        <f t="shared" ca="1" si="293"/>
        <v>Japón</v>
      </c>
      <c r="AG102" s="327">
        <f t="shared" ca="1" si="294"/>
        <v>1</v>
      </c>
      <c r="AH102" s="195">
        <v>76</v>
      </c>
      <c r="AI102" s="182">
        <v>1</v>
      </c>
      <c r="AJ102" s="80">
        <v>1</v>
      </c>
      <c r="AK102" s="605" t="str" cm="1">
        <f t="array" aca="1" ref="AK102" ca="1">Ver_flag_visit</f>
        <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6"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0"/>
      <c r="X103" s="24">
        <f ca="1">Horarios!C103</f>
        <v>46202.9375</v>
      </c>
      <c r="Y103" s="25">
        <f ca="1">Horarios!C103</f>
        <v>46202.9375</v>
      </c>
      <c r="Z103" s="280">
        <f t="shared" si="296"/>
        <v>74</v>
      </c>
      <c r="AA103" s="88" t="str">
        <f t="shared" ca="1" si="292"/>
        <v>Alemania</v>
      </c>
      <c r="AB103" s="89"/>
      <c r="AC103" s="92">
        <v>3</v>
      </c>
      <c r="AD103" s="92">
        <v>0</v>
      </c>
      <c r="AE103" s="89"/>
      <c r="AF103" s="91" t="str">
        <f t="shared" ca="1" si="293"/>
        <v>Paraguay</v>
      </c>
      <c r="AG103" s="327">
        <f t="shared" ca="1" si="294"/>
        <v>1</v>
      </c>
      <c r="AH103" s="195">
        <v>74</v>
      </c>
      <c r="AI103" s="182">
        <v>2</v>
      </c>
      <c r="AJ103" s="42">
        <v>2</v>
      </c>
      <c r="AK103" s="602" t="str" cm="1">
        <f t="array" aca="1" ref="AK103" ca="1">Ver_flag_visit</f>
        <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6"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0"/>
      <c r="X104" s="24">
        <f ca="1">Horarios!C104</f>
        <v>46203.125</v>
      </c>
      <c r="Y104" s="25">
        <f ca="1">Horarios!C104</f>
        <v>46203.125</v>
      </c>
      <c r="Z104" s="280">
        <f t="shared" si="296"/>
        <v>75</v>
      </c>
      <c r="AA104" s="88" t="str">
        <f t="shared" ca="1" si="292"/>
        <v>Países Bajos</v>
      </c>
      <c r="AB104" s="89"/>
      <c r="AC104" s="92">
        <v>2</v>
      </c>
      <c r="AD104" s="92">
        <v>1</v>
      </c>
      <c r="AE104" s="89"/>
      <c r="AF104" s="91" t="str">
        <f t="shared" ca="1" si="293"/>
        <v>Marruecos</v>
      </c>
      <c r="AG104" s="327">
        <f t="shared" ca="1" si="294"/>
        <v>1</v>
      </c>
      <c r="AH104" s="195">
        <v>75</v>
      </c>
      <c r="AI104" s="182">
        <v>3</v>
      </c>
      <c r="AJ104" s="42">
        <v>3</v>
      </c>
      <c r="AK104" s="602" t="str" cm="1">
        <f t="array" aca="1" ref="AK104" ca="1">Ver_flag_visit</f>
        <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c r="AX104" s="170"/>
      <c r="AY104" s="276"/>
      <c r="AZ104" s="279" t="str">
        <f t="shared" ca="1" si="303"/>
        <v>1B - 3J</v>
      </c>
      <c r="BA104" s="176"/>
      <c r="BF104" t="str">
        <f t="shared" ca="1" si="304"/>
        <v>F</v>
      </c>
      <c r="BG104">
        <f t="shared" ca="1" si="305"/>
        <v>4</v>
      </c>
      <c r="BI104">
        <v>2</v>
      </c>
      <c r="BJ104" t="str">
        <f t="shared" ca="1" si="306"/>
        <v>D</v>
      </c>
    </row>
    <row r="105" spans="1:62" ht="16"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0"/>
      <c r="X105" s="24">
        <f ca="1">Horarios!C105</f>
        <v>46203.791666666664</v>
      </c>
      <c r="Y105" s="25">
        <f ca="1">Horarios!C105</f>
        <v>46203.791666666664</v>
      </c>
      <c r="Z105" s="280">
        <f t="shared" si="296"/>
        <v>78</v>
      </c>
      <c r="AA105" s="88" t="str">
        <f t="shared" ca="1" si="292"/>
        <v>Costa de Marfil</v>
      </c>
      <c r="AB105" s="89"/>
      <c r="AC105" s="92">
        <v>1</v>
      </c>
      <c r="AD105" s="92">
        <v>2</v>
      </c>
      <c r="AE105" s="89"/>
      <c r="AF105" s="91" t="str">
        <f t="shared" ca="1" si="293"/>
        <v>Noruega</v>
      </c>
      <c r="AG105" s="327">
        <f t="shared" ca="1" si="294"/>
        <v>1</v>
      </c>
      <c r="AH105" s="195">
        <v>78</v>
      </c>
      <c r="AI105" s="182">
        <v>4</v>
      </c>
      <c r="AJ105" s="42">
        <v>4</v>
      </c>
      <c r="AK105" s="602" t="str" cm="1">
        <f t="array" aca="1" ref="AK105" ca="1">Ver_flag_visit</f>
        <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c r="AX105" s="170"/>
      <c r="AY105" s="276"/>
      <c r="AZ105" s="279" t="str">
        <f t="shared" ca="1" si="303"/>
        <v>1D - 3B</v>
      </c>
      <c r="BA105" s="176"/>
      <c r="BF105" t="str">
        <f t="shared" ca="1" si="304"/>
        <v>E</v>
      </c>
      <c r="BG105">
        <f t="shared" ca="1" si="305"/>
        <v>3</v>
      </c>
      <c r="BI105">
        <v>3</v>
      </c>
      <c r="BJ105" t="str">
        <f t="shared" ca="1" si="306"/>
        <v>E</v>
      </c>
    </row>
    <row r="106" spans="1:62" ht="16"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0"/>
      <c r="X106" s="24">
        <f ca="1">Horarios!C106</f>
        <v>46203.958333333336</v>
      </c>
      <c r="Y106" s="25">
        <f ca="1">Horarios!C106</f>
        <v>46203.958333333336</v>
      </c>
      <c r="Z106" s="280">
        <f t="shared" si="296"/>
        <v>77</v>
      </c>
      <c r="AA106" s="88" t="str">
        <f t="shared" ca="1" si="292"/>
        <v>Francia</v>
      </c>
      <c r="AB106" s="89"/>
      <c r="AC106" s="92">
        <v>3</v>
      </c>
      <c r="AD106" s="92">
        <v>1</v>
      </c>
      <c r="AE106" s="89"/>
      <c r="AF106" s="91" t="str">
        <f t="shared" ca="1" si="293"/>
        <v>Suecia</v>
      </c>
      <c r="AG106" s="327">
        <f t="shared" ca="1" si="294"/>
        <v>1</v>
      </c>
      <c r="AH106" s="195">
        <v>77</v>
      </c>
      <c r="AI106" s="182">
        <v>5</v>
      </c>
      <c r="AJ106" s="42">
        <v>5</v>
      </c>
      <c r="AK106" s="602" t="str" cm="1">
        <f t="array" aca="1" ref="AK106" ca="1">Ver_flag_visit</f>
        <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6"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50"/>
      <c r="X107" s="24">
        <f ca="1">Horarios!C107</f>
        <v>46204.125</v>
      </c>
      <c r="Y107" s="25">
        <f ca="1">Horarios!C107</f>
        <v>46204.125</v>
      </c>
      <c r="Z107" s="280">
        <f t="shared" si="296"/>
        <v>79</v>
      </c>
      <c r="AA107" s="88" t="str">
        <f t="shared" ca="1" si="292"/>
        <v>México</v>
      </c>
      <c r="AB107" s="89"/>
      <c r="AC107" s="92">
        <v>2</v>
      </c>
      <c r="AD107" s="92">
        <v>0</v>
      </c>
      <c r="AE107" s="89"/>
      <c r="AF107" s="91" t="str">
        <f t="shared" ca="1" si="293"/>
        <v>Ecuador</v>
      </c>
      <c r="AG107" s="327">
        <f t="shared" ca="1" si="294"/>
        <v>1</v>
      </c>
      <c r="AH107" s="195">
        <v>79</v>
      </c>
      <c r="AI107" s="182">
        <v>6</v>
      </c>
      <c r="AJ107" s="42">
        <v>6</v>
      </c>
      <c r="AK107" s="602" t="str" cm="1">
        <f t="array" aca="1" ref="AK107" ca="1">Ver_flag_visit</f>
        <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6"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0"/>
      <c r="X108" s="24">
        <f ca="1">Horarios!C108</f>
        <v>46204.75</v>
      </c>
      <c r="Y108" s="25">
        <f ca="1">Horarios!C108</f>
        <v>46204.75</v>
      </c>
      <c r="Z108" s="280">
        <f t="shared" si="296"/>
        <v>80</v>
      </c>
      <c r="AA108" s="88" t="str">
        <f t="shared" ca="1" si="292"/>
        <v>Inglaterra</v>
      </c>
      <c r="AB108" s="89"/>
      <c r="AC108" s="92">
        <v>4</v>
      </c>
      <c r="AD108" s="92">
        <v>1</v>
      </c>
      <c r="AE108" s="89"/>
      <c r="AF108" s="91" t="str">
        <f t="shared" ca="1" si="293"/>
        <v>RD Congo</v>
      </c>
      <c r="AG108" s="327">
        <f t="shared" ca="1" si="294"/>
        <v>1</v>
      </c>
      <c r="AH108" s="195">
        <v>80</v>
      </c>
      <c r="AI108" s="182">
        <v>7</v>
      </c>
      <c r="AJ108" s="42">
        <v>7</v>
      </c>
      <c r="AK108" s="602" t="str" cm="1">
        <f t="array" aca="1" ref="AK108" ca="1">Ver_flag_visit</f>
        <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6"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0"/>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Senegal</v>
      </c>
      <c r="AG109" s="327">
        <f t="shared" ca="1" si="294"/>
        <v>1</v>
      </c>
      <c r="AH109" s="195">
        <v>82</v>
      </c>
      <c r="AI109" s="182">
        <v>8</v>
      </c>
      <c r="AJ109" s="42">
        <v>8</v>
      </c>
      <c r="AK109" s="602" t="str" cm="1">
        <f t="array" aca="1" ref="AK109" ca="1">Ver_flag_visit</f>
        <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6"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50"/>
      <c r="X110" s="24">
        <f ca="1">Horarios!C110</f>
        <v>46205.083333333336</v>
      </c>
      <c r="Y110" s="25">
        <f ca="1">Horarios!C110</f>
        <v>46205.083333333336</v>
      </c>
      <c r="Z110" s="280">
        <f t="shared" si="296"/>
        <v>81</v>
      </c>
      <c r="AA110" s="88" t="str">
        <f t="shared" ca="1" si="292"/>
        <v>Estados Unidos</v>
      </c>
      <c r="AB110" s="89">
        <v>4</v>
      </c>
      <c r="AC110" s="92">
        <v>2</v>
      </c>
      <c r="AD110" s="92">
        <v>2</v>
      </c>
      <c r="AE110" s="89">
        <v>3</v>
      </c>
      <c r="AF110" s="91" t="str">
        <f t="shared" ca="1" si="293"/>
        <v>Bosnia y Herzegovina</v>
      </c>
      <c r="AG110" s="327">
        <f t="shared" ca="1" si="294"/>
        <v>1</v>
      </c>
      <c r="AH110" s="195">
        <v>81</v>
      </c>
      <c r="AI110" s="182">
        <v>9</v>
      </c>
      <c r="AJ110" s="42">
        <v>9</v>
      </c>
      <c r="AK110" s="602" t="str" cm="1">
        <f t="array" aca="1" ref="AK110" ca="1">Ver_flag_visit</f>
        <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6"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0"/>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str" cm="1">
        <f t="array" aca="1" ref="AK111" ca="1">Ver_flag_visit</f>
        <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6" customHeight="1">
      <c r="A112" s="16" t="s">
        <v>681</v>
      </c>
      <c r="B112" s="16" t="s">
        <v>688</v>
      </c>
      <c r="C112" s="16"/>
      <c r="D112" s="16" t="str">
        <f t="shared" ca="1" si="289"/>
        <v>Portugal</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0"/>
      <c r="X112" s="24">
        <f ca="1">Horarios!C112</f>
        <v>46206.041666666664</v>
      </c>
      <c r="Y112" s="25">
        <f ca="1">Horarios!C112</f>
        <v>46206.041666666664</v>
      </c>
      <c r="Z112" s="280">
        <f t="shared" si="296"/>
        <v>83</v>
      </c>
      <c r="AA112" s="88" t="str">
        <f t="shared" ca="1" si="292"/>
        <v>Portugal</v>
      </c>
      <c r="AB112" s="89"/>
      <c r="AC112" s="92">
        <v>3</v>
      </c>
      <c r="AD112" s="92">
        <v>2</v>
      </c>
      <c r="AE112" s="89"/>
      <c r="AF112" s="91" t="str">
        <f t="shared" ca="1" si="293"/>
        <v>Croacia</v>
      </c>
      <c r="AG112" s="327">
        <f t="shared" ca="1" si="294"/>
        <v>1</v>
      </c>
      <c r="AH112" s="195">
        <v>83</v>
      </c>
      <c r="AI112" s="182">
        <v>11</v>
      </c>
      <c r="AJ112" s="42">
        <v>11</v>
      </c>
      <c r="AK112" s="602" t="str" cm="1">
        <f t="array" aca="1" ref="AK112" ca="1">Ver_flag_visit</f>
        <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6"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50"/>
      <c r="X113" s="24">
        <f ca="1">Horarios!C113</f>
        <v>46206.208333333336</v>
      </c>
      <c r="Y113" s="25">
        <f ca="1">Horarios!C113</f>
        <v>46206.208333333336</v>
      </c>
      <c r="Z113" s="280">
        <f t="shared" si="296"/>
        <v>85</v>
      </c>
      <c r="AA113" s="88" t="str">
        <f t="shared" ca="1" si="292"/>
        <v>Suiza</v>
      </c>
      <c r="AB113" s="89"/>
      <c r="AC113" s="92">
        <v>1</v>
      </c>
      <c r="AD113" s="92">
        <v>0</v>
      </c>
      <c r="AE113" s="90"/>
      <c r="AF113" s="91" t="str">
        <f t="shared" ca="1" si="293"/>
        <v>Argelia</v>
      </c>
      <c r="AG113" s="327">
        <f t="shared" ca="1" si="294"/>
        <v>1</v>
      </c>
      <c r="AH113" s="195">
        <v>85</v>
      </c>
      <c r="AI113" s="182">
        <v>12</v>
      </c>
      <c r="AJ113" s="44">
        <v>12</v>
      </c>
      <c r="AK113" s="604" t="str" cm="1">
        <f t="array" aca="1" ref="AK113" ca="1">Ver_flag_visit</f>
        <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6" customHeight="1">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50"/>
      <c r="X114" s="24">
        <f ca="1">Horarios!C114</f>
        <v>46206.833333333336</v>
      </c>
      <c r="Y114" s="25">
        <f ca="1">Horarios!C114</f>
        <v>46206.833333333336</v>
      </c>
      <c r="Z114" s="280">
        <f t="shared" si="296"/>
        <v>88</v>
      </c>
      <c r="AA114" s="88" t="str">
        <f t="shared" ca="1" si="292"/>
        <v>Australia</v>
      </c>
      <c r="AB114" s="89"/>
      <c r="AC114" s="92">
        <v>0</v>
      </c>
      <c r="AD114" s="92">
        <v>1</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0"/>
      <c r="X115" s="24">
        <f ca="1">Horarios!C115</f>
        <v>46207</v>
      </c>
      <c r="Y115" s="25">
        <f ca="1">Horarios!C115</f>
        <v>46207</v>
      </c>
      <c r="Z115" s="280">
        <f t="shared" si="296"/>
        <v>86</v>
      </c>
      <c r="AA115" s="88" t="str">
        <f t="shared" ca="1" si="292"/>
        <v>Argentina</v>
      </c>
      <c r="AB115" s="89"/>
      <c r="AC115" s="92">
        <v>4</v>
      </c>
      <c r="AD115" s="92">
        <v>0</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1"/>
      <c r="X116" s="28">
        <f ca="1">Horarios!C116</f>
        <v>46207.145833333336</v>
      </c>
      <c r="Y116" s="29">
        <f ca="1">Horarios!C116</f>
        <v>46207.145833333336</v>
      </c>
      <c r="Z116" s="281">
        <f t="shared" si="296"/>
        <v>87</v>
      </c>
      <c r="AA116" s="93" t="str">
        <f t="shared" ca="1" si="292"/>
        <v>Colombia</v>
      </c>
      <c r="AB116" s="94"/>
      <c r="AC116" s="277">
        <v>2</v>
      </c>
      <c r="AD116" s="277">
        <v>1</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52"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0</v>
      </c>
      <c r="AD120" s="96">
        <v>3</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Países Bajos</v>
      </c>
      <c r="O121" s="16"/>
      <c r="P121" s="16"/>
      <c r="Q121" s="16"/>
      <c r="R121" s="16"/>
      <c r="S121" s="16"/>
      <c r="T121" s="16"/>
      <c r="U121" s="16"/>
      <c r="V121" s="17"/>
      <c r="W121" s="652"/>
      <c r="X121" s="24">
        <f ca="1">Horarios!C121</f>
        <v>46207.958333333336</v>
      </c>
      <c r="Y121" s="25">
        <f ca="1">Horarios!C121</f>
        <v>46207.958333333336</v>
      </c>
      <c r="Z121" s="280">
        <f t="shared" si="319"/>
        <v>89</v>
      </c>
      <c r="AA121" s="88" t="str">
        <f t="shared" ca="1" si="320"/>
        <v>Alemania</v>
      </c>
      <c r="AB121" s="89">
        <v>4</v>
      </c>
      <c r="AC121" s="97">
        <v>2</v>
      </c>
      <c r="AD121" s="97">
        <v>2</v>
      </c>
      <c r="AE121" s="89">
        <v>5</v>
      </c>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6"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52"/>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52"/>
      <c r="X123" s="24">
        <f ca="1">Horarios!C123</f>
        <v>46209.083333333336</v>
      </c>
      <c r="Y123" s="25">
        <f ca="1">Horarios!C123</f>
        <v>46209.083333333336</v>
      </c>
      <c r="Z123" s="280">
        <f t="shared" si="319"/>
        <v>92</v>
      </c>
      <c r="AA123" s="88" t="str">
        <f t="shared" ca="1" si="320"/>
        <v>México</v>
      </c>
      <c r="AB123" s="89">
        <v>4</v>
      </c>
      <c r="AC123" s="97">
        <v>2</v>
      </c>
      <c r="AD123" s="97">
        <v>2</v>
      </c>
      <c r="AE123" s="89">
        <v>5</v>
      </c>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Portugal</v>
      </c>
      <c r="N124" s="16" t="str">
        <f t="shared" ca="1" si="318"/>
        <v>España</v>
      </c>
      <c r="O124" s="16"/>
      <c r="P124" s="16"/>
      <c r="Q124" s="16"/>
      <c r="R124" s="16"/>
      <c r="S124" s="16"/>
      <c r="T124" s="16"/>
      <c r="U124" s="16"/>
      <c r="V124" s="17"/>
      <c r="W124" s="652"/>
      <c r="X124" s="24">
        <f ca="1">Horarios!C124</f>
        <v>46209.875</v>
      </c>
      <c r="Y124" s="25">
        <f ca="1">Horarios!C124</f>
        <v>46209.875</v>
      </c>
      <c r="Z124" s="280">
        <f t="shared" si="319"/>
        <v>93</v>
      </c>
      <c r="AA124" s="88" t="str">
        <f t="shared" ca="1" si="320"/>
        <v>Portugal</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52"/>
      <c r="X125" s="24">
        <f ca="1">Horarios!C125</f>
        <v>46210.083333333336</v>
      </c>
      <c r="Y125" s="25">
        <f ca="1">Horarios!C125</f>
        <v>46210.083333333336</v>
      </c>
      <c r="Z125" s="280">
        <f t="shared" si="319"/>
        <v>94</v>
      </c>
      <c r="AA125" s="88" t="str">
        <f t="shared" ca="1" si="320"/>
        <v>Estados Unidos</v>
      </c>
      <c r="AB125" s="89"/>
      <c r="AC125" s="99">
        <v>0</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52"/>
      <c r="X126" s="24">
        <f ca="1">Horarios!C126</f>
        <v>46210.75</v>
      </c>
      <c r="Y126" s="25">
        <f ca="1">Horarios!C126</f>
        <v>46210.75</v>
      </c>
      <c r="Z126" s="280">
        <f t="shared" si="319"/>
        <v>95</v>
      </c>
      <c r="AA126" s="88" t="str">
        <f t="shared" ca="1" si="320"/>
        <v>Argentina</v>
      </c>
      <c r="AB126" s="89"/>
      <c r="AC126" s="99">
        <v>2</v>
      </c>
      <c r="AD126" s="99">
        <v>0</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c r="A127" s="16" t="s">
        <v>755</v>
      </c>
      <c r="B127" s="16" t="s">
        <v>756</v>
      </c>
      <c r="C127" s="16"/>
      <c r="D127" s="16" t="str">
        <f t="shared" ca="1" si="317"/>
        <v>Colombia</v>
      </c>
      <c r="E127" s="16">
        <v>85</v>
      </c>
      <c r="F127" s="16">
        <v>87</v>
      </c>
      <c r="G127" s="16"/>
      <c r="H127" s="16"/>
      <c r="I127" s="16"/>
      <c r="J127" s="16">
        <v>96</v>
      </c>
      <c r="K127" s="16">
        <v>46210.875</v>
      </c>
      <c r="L127" s="16" t="s">
        <v>719</v>
      </c>
      <c r="M127" s="16" t="str">
        <f t="shared" ca="1" si="318"/>
        <v>Suiza</v>
      </c>
      <c r="N127" s="16" t="str">
        <f t="shared" ca="1" si="318"/>
        <v>Colombia</v>
      </c>
      <c r="O127" s="16"/>
      <c r="P127" s="16"/>
      <c r="Q127" s="16"/>
      <c r="R127" s="16"/>
      <c r="S127" s="16"/>
      <c r="T127" s="16"/>
      <c r="U127" s="16"/>
      <c r="V127" s="17"/>
      <c r="W127" s="653"/>
      <c r="X127" s="28">
        <f ca="1">Horarios!C127</f>
        <v>46210.916666666664</v>
      </c>
      <c r="Y127" s="29">
        <f ca="1">Horarios!C127</f>
        <v>46210.916666666664</v>
      </c>
      <c r="Z127" s="281">
        <f t="shared" si="319"/>
        <v>96</v>
      </c>
      <c r="AA127" s="93" t="str">
        <f t="shared" ca="1" si="320"/>
        <v>Suiza</v>
      </c>
      <c r="AB127" s="94"/>
      <c r="AC127" s="100">
        <v>1</v>
      </c>
      <c r="AD127" s="100">
        <v>2</v>
      </c>
      <c r="AE127" s="94"/>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54"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3</v>
      </c>
      <c r="AD131" s="96">
        <v>2</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54"/>
      <c r="X132" s="24">
        <f ca="1">Horarios!C132</f>
        <v>46213.875</v>
      </c>
      <c r="Y132" s="25">
        <f ca="1">Horarios!C132</f>
        <v>46213.875</v>
      </c>
      <c r="Z132" s="282">
        <f t="shared" si="324"/>
        <v>98</v>
      </c>
      <c r="AA132" s="88" t="str">
        <f t="shared" ca="1" si="325"/>
        <v>España</v>
      </c>
      <c r="AB132" s="89">
        <v>5</v>
      </c>
      <c r="AC132" s="99">
        <v>1</v>
      </c>
      <c r="AD132" s="99">
        <v>1</v>
      </c>
      <c r="AE132" s="89">
        <v>4</v>
      </c>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54"/>
      <c r="X133" s="24">
        <f ca="1">Horarios!C133</f>
        <v>46214.958333333336</v>
      </c>
      <c r="Y133" s="25">
        <f ca="1">Horarios!C133</f>
        <v>46214.958333333336</v>
      </c>
      <c r="Z133" s="282">
        <f t="shared" si="324"/>
        <v>99</v>
      </c>
      <c r="AA133" s="88" t="str">
        <f t="shared" ca="1" si="325"/>
        <v>Brasil</v>
      </c>
      <c r="AB133" s="89"/>
      <c r="AC133" s="99">
        <v>2</v>
      </c>
      <c r="AD133" s="99">
        <v>1</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Colombia</v>
      </c>
      <c r="O134" s="16"/>
      <c r="P134" s="16"/>
      <c r="Q134" s="16"/>
      <c r="R134" s="16"/>
      <c r="S134" s="16"/>
      <c r="T134" s="16"/>
      <c r="U134" s="16"/>
      <c r="V134" s="17"/>
      <c r="W134" s="655"/>
      <c r="X134" s="28">
        <f ca="1">Horarios!C134</f>
        <v>46215.125</v>
      </c>
      <c r="Y134" s="29">
        <f ca="1">Horarios!C134</f>
        <v>46215.125</v>
      </c>
      <c r="Z134" s="283">
        <f t="shared" si="324"/>
        <v>100</v>
      </c>
      <c r="AA134" s="93" t="str">
        <f t="shared" ca="1" si="325"/>
        <v>Argentina</v>
      </c>
      <c r="AB134" s="94">
        <v>4</v>
      </c>
      <c r="AC134" s="100">
        <v>1</v>
      </c>
      <c r="AD134" s="100">
        <v>1</v>
      </c>
      <c r="AE134" s="94">
        <v>2</v>
      </c>
      <c r="AF134" s="117" t="str">
        <f ca="1">+INDEX($N$101:$N$147,MATCH(AH134,$J$101:$J$147,0))</f>
        <v>Colombia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c r="A138" s="16" t="s">
        <v>765</v>
      </c>
      <c r="B138" s="16" t="s">
        <v>766</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56" t="s">
        <v>37</v>
      </c>
      <c r="X138" s="24">
        <f ca="1">Horarios!C138</f>
        <v>46217.875</v>
      </c>
      <c r="Y138" s="25">
        <f ca="1">Horarios!C138</f>
        <v>46217.875</v>
      </c>
      <c r="Z138" s="282">
        <f t="shared" ref="Z138:Z139" si="326">AH138</f>
        <v>101</v>
      </c>
      <c r="AA138" s="88" t="str">
        <f t="shared" ref="AA138:AA139" ca="1" si="327">+INDEX($M$101:$M$147,MATCH(AH138,$J$101:$J$147,0))</f>
        <v>Francia</v>
      </c>
      <c r="AB138" s="89"/>
      <c r="AC138" s="101">
        <v>3</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725</v>
      </c>
      <c r="M139" s="16" t="str">
        <f ca="1">+INDEX($D$101:$D$147,MATCH(E139,$AH$101:$AH$147,0))</f>
        <v>Brasil</v>
      </c>
      <c r="N139" s="16" t="str">
        <f ca="1">+INDEX($D$101:$D$147,MATCH(F139,$AH$101:$AH$147,0))</f>
        <v>Argentina</v>
      </c>
      <c r="O139" s="16"/>
      <c r="P139" s="16"/>
      <c r="Q139" s="16"/>
      <c r="R139" s="16"/>
      <c r="S139" s="16"/>
      <c r="T139" s="16"/>
      <c r="U139" s="16"/>
      <c r="V139" s="17"/>
      <c r="W139" s="657"/>
      <c r="X139" s="123">
        <f ca="1">Horarios!C139</f>
        <v>46218.875</v>
      </c>
      <c r="Y139" s="124">
        <f ca="1">Horarios!C139</f>
        <v>46218.875</v>
      </c>
      <c r="Z139" s="284">
        <f t="shared" si="326"/>
        <v>102</v>
      </c>
      <c r="AA139" s="139" t="str">
        <f t="shared" ca="1" si="327"/>
        <v>Brasil</v>
      </c>
      <c r="AB139" s="140">
        <v>4</v>
      </c>
      <c r="AC139" s="100">
        <v>1</v>
      </c>
      <c r="AD139" s="100">
        <v>1</v>
      </c>
      <c r="AE139" s="140">
        <v>5</v>
      </c>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c r="A143" s="16" t="s">
        <v>769</v>
      </c>
      <c r="B143" s="16" t="s">
        <v>770</v>
      </c>
      <c r="C143" s="16"/>
      <c r="D143" s="16" t="str">
        <f ca="1">IF(AND(OR(AC143="",AD143="")),"W"&amp;AH143,IF(AC143&gt;AD143,AA143,IF(AC143&lt;AD143,AF143,IF(AND(AC143=AD143,AB143=AE143),"W"&amp;AH143,IF(AND(AC143=AD143,OR(AB143="",AE143="")),"W"&amp;AH143,IF(AND(AC143=AD143,AB143&gt;AE143),AA143,AF143))))))</f>
        <v>España</v>
      </c>
      <c r="E143" s="16">
        <v>101</v>
      </c>
      <c r="F143" s="16">
        <v>102</v>
      </c>
      <c r="G143" s="16"/>
      <c r="H143" s="16"/>
      <c r="I143" s="16"/>
      <c r="J143" s="16">
        <v>103</v>
      </c>
      <c r="K143" s="16">
        <v>46221.875</v>
      </c>
      <c r="L143" s="16" t="s">
        <v>726</v>
      </c>
      <c r="M143" s="16" t="str">
        <f ca="1">+INDEX($D$101:$D$147,MATCH(E143,$AH$101:$AH$147,0))</f>
        <v>Francia</v>
      </c>
      <c r="N143" s="16" t="str">
        <f ca="1">+INDEX($D$101:$D$147,MATCH(F143,$AH$101:$AH$147,0))</f>
        <v>Argentina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España</v>
      </c>
      <c r="AB143" s="216"/>
      <c r="AC143" s="105">
        <v>2</v>
      </c>
      <c r="AD143" s="105">
        <v>1</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c r="A147" s="16" t="s">
        <v>771</v>
      </c>
      <c r="B147" s="16" t="s">
        <v>772</v>
      </c>
      <c r="C147" s="16"/>
      <c r="D147" s="16" t="str">
        <f ca="1">IF(AND(OR(AC147="",AD147="")),"W"&amp;AH147,IF(AC147&gt;AD147,AA147,IF(AC147&lt;AD147,AF147,IF(AND(AC147=AD147,AB147=AE147),"W"&amp;AH147,IF(AND(AC147=AD147,OR(AB147="",AE147="")),"W"&amp;AH147,IF(AND(AC147=AD147,AB147&gt;AE147),AA147,AF147))))))</f>
        <v>Francia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727</v>
      </c>
      <c r="M147" s="16" t="str">
        <f ca="1">+INDEX($D$101:$D$147,MATCH(E147,$AH$101:$AH$147,0))</f>
        <v>Francia</v>
      </c>
      <c r="N147" s="16" t="str">
        <f ca="1">+INDEX($D$101:$D$147,MATCH(F147,$AH$101:$AH$147,0))</f>
        <v>Argentina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Francia</v>
      </c>
      <c r="AB147" s="216"/>
      <c r="AC147" s="105">
        <v>3</v>
      </c>
      <c r="AD147" s="105">
        <v>1</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Francia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65" t="str">
        <f ca="1">IF(SUM(COUNTIF(AG4:AG97,0),COUNTIF(AG101:AG160,0)&gt;0),AL148,AL149)</f>
        <v>PORRA COMPLETA:</v>
      </c>
      <c r="AK151" s="666"/>
      <c r="AL151" s="666"/>
      <c r="AM151" s="666"/>
      <c r="AN151" s="666"/>
      <c r="AO151" s="666"/>
      <c r="AP151" s="666"/>
      <c r="AQ151" s="666"/>
      <c r="AR151" s="666"/>
      <c r="AS151" s="666"/>
      <c r="AT151" s="666"/>
      <c r="AU151" s="667"/>
      <c r="AV151" s="193"/>
      <c r="AW151" s="155"/>
      <c r="AX151" s="154"/>
      <c r="AY151" s="156"/>
      <c r="AZ151" s="157"/>
      <c r="BA151" s="17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España</v>
      </c>
      <c r="AB152" s="110"/>
      <c r="AC152" s="110"/>
      <c r="AD152" s="110"/>
      <c r="AE152" s="110"/>
      <c r="AF152" s="103"/>
      <c r="AG152" s="327">
        <f ca="1">IF(AA152="W34",0,1)</f>
        <v>1</v>
      </c>
      <c r="AH152" s="184"/>
      <c r="AI152" s="184"/>
      <c r="AJ152" s="668"/>
      <c r="AK152" s="669"/>
      <c r="AL152" s="669"/>
      <c r="AM152" s="669"/>
      <c r="AN152" s="669"/>
      <c r="AO152" s="669"/>
      <c r="AP152" s="669"/>
      <c r="AQ152" s="669"/>
      <c r="AR152" s="669"/>
      <c r="AS152" s="669"/>
      <c r="AT152" s="669"/>
      <c r="AU152" s="670"/>
      <c r="AV152" s="193"/>
      <c r="AW152" s="155"/>
      <c r="AX152" s="154"/>
      <c r="AY152" s="156"/>
      <c r="AZ152" s="157"/>
      <c r="BA152" s="17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68"/>
      <c r="AK153" s="669"/>
      <c r="AL153" s="669"/>
      <c r="AM153" s="669"/>
      <c r="AN153" s="669"/>
      <c r="AO153" s="669"/>
      <c r="AP153" s="669"/>
      <c r="AQ153" s="669"/>
      <c r="AR153" s="669"/>
      <c r="AS153" s="669"/>
      <c r="AT153" s="669"/>
      <c r="AU153" s="670"/>
      <c r="AV153" s="193"/>
      <c r="AW153" s="155"/>
      <c r="AX153" s="154"/>
      <c r="AY153" s="156"/>
      <c r="AZ153" s="157"/>
      <c r="BA153" s="17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1516</v>
      </c>
      <c r="AB154" s="398"/>
      <c r="AC154" s="398"/>
      <c r="AD154" s="398"/>
      <c r="AE154" s="398"/>
      <c r="AF154" s="399"/>
      <c r="AG154" s="327">
        <f>IF(AA154=$AH$154,0,IF(AA154="",0,1))</f>
        <v>1</v>
      </c>
      <c r="AH154" s="198" t="str">
        <f>Idiomas!D43</f>
        <v>Escribe un jugador</v>
      </c>
      <c r="AI154" s="184"/>
      <c r="AJ154" s="668"/>
      <c r="AK154" s="669"/>
      <c r="AL154" s="669"/>
      <c r="AM154" s="669"/>
      <c r="AN154" s="669"/>
      <c r="AO154" s="669"/>
      <c r="AP154" s="669"/>
      <c r="AQ154" s="669"/>
      <c r="AR154" s="669"/>
      <c r="AS154" s="669"/>
      <c r="AT154" s="669"/>
      <c r="AU154" s="670"/>
      <c r="AV154" s="193"/>
      <c r="AW154" s="155"/>
      <c r="AX154" s="154"/>
      <c r="AY154" s="156"/>
      <c r="AZ154" s="157"/>
      <c r="BA154" s="176"/>
    </row>
    <row r="155" spans="1:53" ht="16"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1516</v>
      </c>
      <c r="AB155" s="400"/>
      <c r="AC155" s="400"/>
      <c r="AD155" s="400"/>
      <c r="AE155" s="400"/>
      <c r="AF155" s="401"/>
      <c r="AG155" s="327">
        <f>IF(AA155=$AH$154,0,IF(AA155="",0,1))</f>
        <v>1</v>
      </c>
      <c r="AH155" s="184"/>
      <c r="AI155" s="184"/>
      <c r="AJ155" s="632" t="str">
        <f ca="1">IF(SUM(COUNTIF(AG4:AG97,0),COUNTIF(AG101:AG160,0)&gt;0),AM148,AM149)</f>
        <v>Guarda el archivo y envialo al administrador de tu porra</v>
      </c>
      <c r="AK155" s="633"/>
      <c r="AL155" s="633"/>
      <c r="AM155" s="633"/>
      <c r="AN155" s="633"/>
      <c r="AO155" s="633"/>
      <c r="AP155" s="633"/>
      <c r="AQ155" s="633"/>
      <c r="AR155" s="633"/>
      <c r="AS155" s="633"/>
      <c r="AT155" s="633"/>
      <c r="AU155" s="634"/>
      <c r="AV155" s="193"/>
      <c r="AW155" s="155"/>
      <c r="AX155" s="154"/>
      <c r="AY155" s="156"/>
      <c r="AZ155" s="157"/>
      <c r="BA155" s="176"/>
    </row>
    <row r="156" spans="1:53" ht="16"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1516</v>
      </c>
      <c r="AB156" s="402"/>
      <c r="AC156" s="402"/>
      <c r="AD156" s="402"/>
      <c r="AE156" s="402"/>
      <c r="AF156" s="403"/>
      <c r="AG156" s="327">
        <f>IF(AA156=$AH$154,0,IF(AA156="",0,1))</f>
        <v>1</v>
      </c>
      <c r="AH156" s="184"/>
      <c r="AI156" s="184"/>
      <c r="AJ156" s="632"/>
      <c r="AK156" s="633"/>
      <c r="AL156" s="633"/>
      <c r="AM156" s="633"/>
      <c r="AN156" s="633"/>
      <c r="AO156" s="633"/>
      <c r="AP156" s="633"/>
      <c r="AQ156" s="633"/>
      <c r="AR156" s="633"/>
      <c r="AS156" s="633"/>
      <c r="AT156" s="633"/>
      <c r="AU156" s="634"/>
      <c r="AV156" s="193"/>
      <c r="AW156" s="155"/>
      <c r="AX156" s="154"/>
      <c r="AY156" s="156"/>
      <c r="AZ156" s="157"/>
      <c r="BA156" s="17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35"/>
      <c r="AK157" s="636"/>
      <c r="AL157" s="636"/>
      <c r="AM157" s="636"/>
      <c r="AN157" s="636"/>
      <c r="AO157" s="636"/>
      <c r="AP157" s="636"/>
      <c r="AQ157" s="636"/>
      <c r="AR157" s="636"/>
      <c r="AS157" s="636"/>
      <c r="AT157" s="636"/>
      <c r="AU157" s="637"/>
      <c r="AV157" s="193"/>
      <c r="AW157" s="155"/>
      <c r="AX157" s="154"/>
      <c r="AY157" s="156"/>
      <c r="AZ157" s="157"/>
      <c r="BA157" s="17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1516</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1516</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1516</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0" t="str">
        <f>+Idiomas!D12</f>
        <v>Donar</v>
      </c>
      <c r="AP162" s="631"/>
      <c r="AQ162" s="145"/>
      <c r="AR162" s="145"/>
      <c r="AS162" s="145"/>
      <c r="AT162" s="145"/>
      <c r="AU162" s="332"/>
      <c r="AV162" s="193"/>
      <c r="AW162" s="155"/>
      <c r="AX162" s="154"/>
      <c r="AY162" s="156"/>
      <c r="AZ162" s="157"/>
      <c r="BA162" s="17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4.5"/>
  <cols>
    <col min="1" max="1" width="10.81640625" style="13" customWidth="1"/>
    <col min="2" max="2" width="29.453125" customWidth="1"/>
    <col min="3" max="3" width="35" customWidth="1"/>
    <col min="4" max="4" width="12.6328125" style="369" customWidth="1"/>
    <col min="5" max="8" width="10.81640625" style="369" customWidth="1"/>
    <col min="9" max="9" width="3.1796875" style="369" customWidth="1"/>
    <col min="10" max="12" width="10.81640625" style="369" customWidth="1"/>
    <col min="13" max="13" width="3.6328125" style="369" customWidth="1"/>
    <col min="14" max="14" width="4.6328125" style="369" customWidth="1"/>
    <col min="15" max="15" width="4" customWidth="1"/>
    <col min="16" max="16" width="4.81640625" customWidth="1"/>
    <col min="17" max="16384" width="10.81640625" style="1" hidden="1"/>
  </cols>
  <sheetData>
    <row r="1" spans="1:14" ht="20"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 customHeight="1" thickBot="1">
      <c r="A2" s="290"/>
      <c r="B2" s="291"/>
      <c r="C2" s="291"/>
      <c r="D2" s="368"/>
      <c r="E2" s="701"/>
      <c r="F2" s="701"/>
      <c r="G2" s="701"/>
      <c r="H2" s="701"/>
      <c r="I2" s="701"/>
      <c r="J2" s="701"/>
      <c r="K2" s="701"/>
      <c r="L2" s="701"/>
      <c r="M2" s="701"/>
      <c r="N2" s="701"/>
    </row>
    <row r="3" spans="1:14" ht="35"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 customHeight="1">
      <c r="A5" s="353"/>
      <c r="B5" s="354" t="str">
        <f>Idiomas!D125</f>
        <v>FASE DE GRUPOS</v>
      </c>
      <c r="C5" s="346" t="str">
        <f>Home!C10</f>
        <v>LUIS/VIR</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Sudáfrica</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Corea del Sur</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República Checa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Australia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Turquía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Cabo Verde</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Uruguay</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Arabia Saudita</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Colombia</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Portugal</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Sudáfrica</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Portugal</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Australia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Colombia</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Paraguay</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Ecuador</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Senegal</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Argelia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Cabo Verde</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Sudáfrica-Canadá·X|1-1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Brasil-Japón·1|2-1</v>
      </c>
      <c r="D165" s="692"/>
      <c r="E165" s="711"/>
      <c r="F165" s="711"/>
      <c r="G165" s="711"/>
      <c r="H165" s="711"/>
      <c r="I165" s="352"/>
      <c r="J165" s="370"/>
      <c r="K165" s="370"/>
      <c r="L165" s="370"/>
      <c r="M165" s="386"/>
      <c r="N165" s="377"/>
    </row>
    <row r="166" spans="1:14" ht="15" customHeight="1">
      <c r="A166" s="690"/>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Alemania-Paraguay·1|3-0</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Bajos-Marruecos·1|2-1</v>
      </c>
      <c r="D167" s="692"/>
      <c r="E167" s="711"/>
      <c r="F167" s="711"/>
      <c r="G167" s="711"/>
      <c r="H167" s="711"/>
      <c r="I167" s="352"/>
      <c r="J167" s="370"/>
      <c r="K167" s="370"/>
      <c r="L167" s="370"/>
      <c r="M167" s="386"/>
      <c r="N167" s="377"/>
    </row>
    <row r="168" spans="1:14" ht="15" customHeight="1">
      <c r="A168" s="690"/>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Marfil-Noruega·2|1-2</v>
      </c>
      <c r="D168" s="692"/>
      <c r="E168" s="370"/>
      <c r="F168" s="370"/>
      <c r="G168" s="370"/>
      <c r="H168" s="370"/>
      <c r="I168" s="352"/>
      <c r="J168" s="370"/>
      <c r="K168" s="370"/>
      <c r="L168" s="370"/>
      <c r="M168" s="386"/>
      <c r="N168" s="377"/>
    </row>
    <row r="169" spans="1:14" ht="15" customHeight="1">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Francia-Suecia·1|3-1</v>
      </c>
      <c r="D169" s="692"/>
      <c r="E169" s="370"/>
      <c r="F169" s="370"/>
      <c r="G169" s="370"/>
      <c r="H169" s="370"/>
      <c r="I169" s="352"/>
      <c r="J169" s="370"/>
      <c r="K169" s="370"/>
      <c r="L169" s="370"/>
      <c r="M169" s="386"/>
      <c r="N169" s="377"/>
    </row>
    <row r="170" spans="1:14" ht="15" customHeight="1">
      <c r="A170" s="690"/>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México-Ecuador·1|2-0</v>
      </c>
      <c r="D170" s="692"/>
      <c r="E170" s="370"/>
      <c r="F170" s="370"/>
      <c r="G170" s="370"/>
      <c r="H170" s="370"/>
      <c r="I170" s="352"/>
      <c r="J170" s="370"/>
      <c r="K170" s="370"/>
      <c r="L170" s="370"/>
      <c r="M170" s="386"/>
      <c r="N170" s="377"/>
    </row>
    <row r="171" spans="1:14" ht="15" customHeight="1">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Congo·1|4-1</v>
      </c>
      <c r="D171" s="692"/>
      <c r="E171" s="370"/>
      <c r="F171" s="370"/>
      <c r="G171" s="370"/>
      <c r="H171" s="370"/>
      <c r="I171" s="352"/>
      <c r="J171" s="370"/>
      <c r="K171" s="370"/>
      <c r="L171" s="370"/>
      <c r="M171" s="386"/>
      <c r="N171" s="377"/>
    </row>
    <row r="172" spans="1:14" ht="15" customHeight="1">
      <c r="A172" s="690"/>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Bélgica-Senegal·1|2-1</v>
      </c>
      <c r="D172" s="692"/>
      <c r="E172" s="370"/>
      <c r="F172" s="370"/>
      <c r="G172" s="370"/>
      <c r="H172" s="370"/>
      <c r="I172" s="352"/>
      <c r="J172" s="370"/>
      <c r="K172" s="370"/>
      <c r="L172" s="370"/>
      <c r="M172" s="386"/>
      <c r="N172" s="377"/>
    </row>
    <row r="173" spans="1:14" ht="15" customHeight="1">
      <c r="A173" s="690"/>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Herzegovina·X|2-2</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692"/>
      <c r="E174" s="370"/>
      <c r="F174" s="370"/>
      <c r="G174" s="370"/>
      <c r="H174" s="370"/>
      <c r="I174" s="352"/>
      <c r="J174" s="370"/>
      <c r="K174" s="370"/>
      <c r="L174" s="370"/>
      <c r="M174" s="386"/>
      <c r="N174" s="377"/>
    </row>
    <row r="175" spans="1:14" ht="15" customHeight="1">
      <c r="A175" s="690"/>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Portugal-Croacia·1|3-2</v>
      </c>
      <c r="D175" s="692"/>
      <c r="E175" s="370"/>
      <c r="F175" s="370"/>
      <c r="G175" s="370"/>
      <c r="H175" s="370"/>
      <c r="I175" s="352"/>
      <c r="J175" s="370"/>
      <c r="K175" s="370"/>
      <c r="L175" s="370"/>
      <c r="M175" s="386"/>
      <c r="N175" s="377"/>
    </row>
    <row r="176" spans="1:14" ht="15" customHeight="1">
      <c r="A176" s="690"/>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Suiza-Argelia·1|1-0</v>
      </c>
      <c r="D176" s="692"/>
      <c r="E176" s="370"/>
      <c r="F176" s="370"/>
      <c r="G176" s="370"/>
      <c r="H176" s="370"/>
      <c r="I176" s="352"/>
      <c r="J176" s="370"/>
      <c r="K176" s="370"/>
      <c r="L176" s="370"/>
      <c r="M176" s="386"/>
      <c r="N176" s="377"/>
    </row>
    <row r="177" spans="1:14" ht="15" customHeight="1">
      <c r="A177" s="690"/>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Australia-Egipto·2|0-1</v>
      </c>
      <c r="D177" s="692"/>
      <c r="E177" s="370"/>
      <c r="F177" s="370"/>
      <c r="G177" s="370"/>
      <c r="H177" s="370"/>
      <c r="I177" s="352"/>
      <c r="J177" s="370"/>
      <c r="K177" s="370"/>
      <c r="L177" s="370"/>
      <c r="M177" s="386"/>
      <c r="N177" s="377"/>
    </row>
    <row r="178" spans="1:14" ht="15" customHeight="1">
      <c r="A178" s="690"/>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Verde·1|4-0</v>
      </c>
      <c r="D178" s="692"/>
      <c r="E178" s="370"/>
      <c r="F178" s="370"/>
      <c r="G178" s="370"/>
      <c r="H178" s="370"/>
      <c r="I178" s="352"/>
      <c r="J178" s="370"/>
      <c r="K178" s="370"/>
      <c r="L178" s="370"/>
      <c r="M178" s="386"/>
      <c r="N178" s="377"/>
    </row>
    <row r="179" spans="1:14" ht="15" customHeight="1">
      <c r="A179" s="690"/>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Colombia-Ghana·1|2-1</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Portugal</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Egipto</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Colombia</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Bajos·2|0-3</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Alemania-Francia·X|2-2</v>
      </c>
      <c r="D201" s="691"/>
      <c r="E201" s="686"/>
      <c r="F201" s="686"/>
      <c r="G201" s="686"/>
      <c r="H201" s="686"/>
      <c r="I201" s="352"/>
      <c r="J201" s="370"/>
      <c r="K201" s="370"/>
      <c r="L201" s="370"/>
      <c r="M201" s="386"/>
      <c r="N201" s="377"/>
    </row>
    <row r="202" spans="1:14" ht="15" customHeight="1">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Brasil-Noruega·1|2-1</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México-Inglaterra·X|2-2</v>
      </c>
      <c r="D203" s="691"/>
      <c r="E203" s="686"/>
      <c r="F203" s="686"/>
      <c r="G203" s="686"/>
      <c r="H203" s="686"/>
      <c r="I203" s="352"/>
      <c r="J203" s="370"/>
      <c r="K203" s="370"/>
      <c r="L203" s="370"/>
      <c r="M203" s="386"/>
      <c r="N203" s="377"/>
    </row>
    <row r="204" spans="1:14" ht="15" customHeight="1">
      <c r="A204" s="690"/>
      <c r="B204" s="361" t="str">
        <f ca="1">CONCATENATE(WORLDCUP!AA124,"-",WORLDCUP!AF124)</f>
        <v>Portugal-España</v>
      </c>
      <c r="C204" s="351" t="str">
        <f ca="1">CONCATENATE(WORLDCUP!AA124,"-",WORLDCUP!AF124,"·",IF(WORLDCUP!AC124&gt;WORLDCUP!AD124,1,IF(WORLDCUP!AC124&lt;WORLDCUP!AD124,2,IF(AND(WORLDCUP!AC124=WORLDCUP!AD124,WORLDCUP!AC124&lt;&gt;"",WORLDCUP!AD124&lt;&gt;""),"X",0))),"|",WORLDCUP!AC124,"-",WORLDCUP!AD124)</f>
        <v>Portugal-España·2|1-2</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Unidos-Bélgica·2|0-2</v>
      </c>
      <c r="D205" s="691"/>
      <c r="E205" s="352"/>
      <c r="F205" s="352"/>
      <c r="G205" s="352"/>
      <c r="H205" s="352"/>
      <c r="I205" s="352"/>
      <c r="J205" s="370"/>
      <c r="K205" s="370"/>
      <c r="L205" s="370"/>
      <c r="M205" s="386"/>
      <c r="N205" s="377"/>
    </row>
    <row r="206" spans="1:14" ht="15" customHeight="1">
      <c r="A206" s="690"/>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Argentina-Egipto·1|2-0</v>
      </c>
      <c r="D206" s="691"/>
      <c r="E206" s="352"/>
      <c r="F206" s="352"/>
      <c r="G206" s="352"/>
      <c r="H206" s="352"/>
      <c r="I206" s="352"/>
      <c r="J206" s="370"/>
      <c r="K206" s="370"/>
      <c r="L206" s="370"/>
      <c r="M206" s="386"/>
      <c r="N206" s="377"/>
    </row>
    <row r="207" spans="1:14" ht="15" customHeight="1">
      <c r="A207" s="690"/>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Suiza-Colombia·2|1-2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Colombia</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Bajos·1|3-2</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España-Bélgica·X|1-1</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Brasil-Inglaterra·1|2-1</v>
      </c>
      <c r="D222" s="692"/>
      <c r="E222" s="686"/>
      <c r="F222" s="686"/>
      <c r="G222" s="686"/>
      <c r="H222" s="686"/>
      <c r="I222" s="352"/>
      <c r="J222" s="370"/>
      <c r="K222" s="370"/>
      <c r="L222" s="370"/>
      <c r="M222" s="386"/>
      <c r="N222" s="377"/>
    </row>
    <row r="223" spans="1:14" ht="15" customHeight="1">
      <c r="A223" s="690"/>
      <c r="B223" s="360" t="str">
        <f ca="1">CONCATENATE(WORLDCUP!AA134,"-",WORLDCUP!AF134)</f>
        <v>Argentina-Colombia</v>
      </c>
      <c r="C223" s="349" t="str">
        <f ca="1">CONCATENATE(WORLDCUP!AA134,"-",WORLDCUP!AF134,"·",IF(WORLDCUP!AC134&gt;WORLDCUP!AD134,1,IF(WORLDCUP!AC134&lt;WORLDCUP!AD134,2,IF(AND(WORLDCUP!AC134=WORLDCUP!AD134,WORLDCUP!AC134&lt;&gt;"",WORLDCUP!AD134&lt;&gt;""),"X",0))),"|",WORLDCUP!AC134,"-",WORLDCUP!AD134)</f>
        <v>Argentina-Colombia·X|1-1</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Francia-España·1|3-2</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Brasil-Argentina·X|1-1</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España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Brasil</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Francia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Argentina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España-Brasil</v>
      </c>
      <c r="C244" s="349" t="str">
        <f ca="1">CONCATENATE(WORLDCUP!AA143,"-",WORLDCUP!AF143,"·",IF(WORLDCUP!AC143&gt;WORLDCUP!AD143,1,IF(WORLDCUP!AC143&lt;WORLDCUP!AD143,2,IF(AND(WORLDCUP!AC143=WORLDCUP!AD143,WORLDCUP!AC143&lt;&gt;"",WORLDCUP!AD143&lt;&gt;""),"X",0))),"|",WORLDCUP!AC143,"-",WORLDCUP!AD143)</f>
        <v>España-Brasil·1|2-1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Francia-Argentina</v>
      </c>
      <c r="C247" s="351" t="str">
        <f ca="1">CONCATENATE(WORLDCUP!AA147,"-",WORLDCUP!AF147,"·",IF(WORLDCUP!AC147&gt;WORLDCUP!AD147,1,IF(WORLDCUP!AC147&lt;WORLDCUP!AD147,2,IF(AND(WORLDCUP!AC147=WORLDCUP!AD147,WORLDCUP!AC147&lt;&gt;"",WORLDCUP!AD147&lt;&gt;""),"X",0))),"|",WORLDCUP!AC147,"-",WORLDCUP!AD147)</f>
        <v>Francia-Argentina·1|3-1</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Francia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Argentina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España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No rellenar</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No rellenar</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No rellenar</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No rellenar</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No rellenar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No rellenar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36328125" style="186" customWidth="1"/>
    <col min="2" max="2" width="2.6328125" style="9" customWidth="1"/>
    <col min="3" max="3" width="5.6328125" style="3" bestFit="1" customWidth="1"/>
    <col min="4" max="5" width="3.36328125" style="3" customWidth="1"/>
    <col min="6" max="6" width="6.1796875" style="3" customWidth="1"/>
    <col min="7" max="7" width="2.453125" style="3" bestFit="1" customWidth="1"/>
    <col min="8" max="9" width="3.81640625" style="3" customWidth="1"/>
    <col min="10" max="10" width="4.453125" style="3" customWidth="1"/>
    <col min="11" max="11" width="5.36328125" style="3" customWidth="1"/>
    <col min="12" max="12" width="3.36328125" style="3" hidden="1" customWidth="1"/>
    <col min="13" max="13" width="1.6328125" style="186" customWidth="1"/>
    <col min="14" max="14" width="2.6328125" style="9" customWidth="1"/>
    <col min="15" max="15" width="4.36328125" style="3" bestFit="1" customWidth="1"/>
    <col min="16" max="17" width="3.36328125" style="3" customWidth="1"/>
    <col min="18" max="18" width="5.1796875" style="3" bestFit="1" customWidth="1"/>
    <col min="19" max="19" width="2.453125" style="3" bestFit="1" customWidth="1"/>
    <col min="20" max="20" width="4.36328125" style="3" bestFit="1" customWidth="1"/>
    <col min="21" max="22" width="3.6328125" style="3" customWidth="1"/>
    <col min="23" max="23" width="4.81640625" style="3" customWidth="1"/>
    <col min="24" max="24" width="4.36328125" style="186" hidden="1" customWidth="1"/>
    <col min="25" max="25" width="2.81640625" style="9" customWidth="1"/>
    <col min="26" max="26" width="7.453125" style="9" bestFit="1" customWidth="1"/>
    <col min="27" max="27" width="9.81640625" style="3" customWidth="1"/>
    <col min="28" max="29" width="4.36328125" style="3" customWidth="1"/>
    <col min="30" max="30" width="2.81640625" style="9" customWidth="1"/>
    <col min="31" max="31" width="9.81640625" style="3" customWidth="1"/>
    <col min="32" max="33" width="4.36328125" style="3" customWidth="1"/>
    <col min="34" max="34" width="2.81640625" style="9" customWidth="1"/>
    <col min="35" max="35" width="9.81640625" style="3" customWidth="1"/>
    <col min="36" max="37" width="4.36328125" style="3" customWidth="1"/>
    <col min="38" max="38" width="2.81640625" style="9" customWidth="1"/>
    <col min="39" max="39" width="9.81640625" style="3" customWidth="1"/>
    <col min="40" max="41" width="4.36328125" style="3" customWidth="1"/>
    <col min="42" max="42" width="2.81640625" style="9" customWidth="1"/>
    <col min="43" max="43" width="9.81640625" style="3" customWidth="1"/>
    <col min="44" max="45" width="4.36328125" style="3" customWidth="1"/>
    <col min="46" max="46" width="2.81640625" style="9" customWidth="1"/>
    <col min="47" max="47" width="9.81640625" style="3" customWidth="1"/>
    <col min="48" max="49" width="4.36328125" style="3" customWidth="1"/>
    <col min="50" max="50" width="4" style="3" bestFit="1" customWidth="1"/>
    <col min="51" max="51" width="3.36328125" style="3" customWidth="1"/>
    <col min="52" max="54" width="7.81640625" style="3" customWidth="1"/>
    <col min="55" max="55" width="3.36328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2</v>
      </c>
      <c r="AG4" s="458" t="str">
        <f>+IF(ISBLANK(INDEX(WORLDCUP!$AB$101:$AB$147,MATCH(AD4,WORLDCUP!$Z$101:$Z$147,0))),"","( "&amp;INDEX(WORLDCUP!$AB$101:$AB$147,MATCH(AD4,WORLDCUP!$Z$101:$Z$147,0))&amp;" )")</f>
        <v>( 4 )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( 5 )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3</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2</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1</v>
      </c>
      <c r="AC9" s="498" t="str">
        <f>+IF(ISBLANK(INDEX(WORLDCUP!$AB$101:$AB$147,MATCH(Y9,WORLDCUP!$Z$101:$Z$147,0))),"","( "&amp;INDEX(WORLDCUP!$AB$101:$AB$147,MATCH(Y9,WORLDCUP!$Z$101:$Z$147,0))&amp;" )")</f>
        <v>( 3 )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1</v>
      </c>
      <c r="AC10" s="454" t="str">
        <f>+IF(ISBLANK(INDEX(WORLDCUP!$AE$101:$AE$147,MATCH(Y10,WORLDCUP!$Z$101:$Z$147,0))),"","( "&amp;INDEX(WORLDCUP!$AE$101:$AE$147,MATCH(Y10,WORLDCUP!$Z$101:$Z$147,0))&amp;" )")</f>
        <v>( 4 )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3</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1</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3</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3</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2</v>
      </c>
      <c r="AC16" s="454" t="str">
        <f>+IF(ISBLANK(INDEX(WORLDCUP!$AE$101:$AE$147,MATCH(Y16,WORLDCUP!$Z$101:$Z$147,0))),"","( "&amp;INDEX(WORLDCUP!$AE$101:$AE$147,MATCH(Y16,WORLDCUP!$Z$101:$Z$147,0))&amp;" )")</f>
        <v/>
      </c>
      <c r="AD16" s="455">
        <v>93</v>
      </c>
      <c r="AE16" s="456" t="str">
        <f ca="1">+MID(INDEX(WORLDCUP!$AA$101:$AA$147,MATCH(AD16,WORLDCUP!$Z$101:$Z$147,0)),1,3)</f>
        <v>Por</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0</v>
      </c>
      <c r="BK16" s="465">
        <f ca="1">COUNTIF(Pool!$C$210:$C$217,Fixture!BG16)-BL16-BM16-BN16-BO16</f>
        <v>1</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( 5 )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1</v>
      </c>
      <c r="AK20" s="459" t="str">
        <f>+IF(ISBLANK(INDEX(WORLDCUP!$AE$101:$AE$147,MATCH(AH20,WORLDCUP!$Z$101:$Z$147,0))),"","( "&amp;INDEX(WORLDCUP!$AE$101:$AE$147,MATCH(AH20,WORLDCUP!$Z$101:$Z$147,0))&amp;" )")</f>
        <v>( 4 )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2</v>
      </c>
      <c r="AC21" s="498" t="str">
        <f>+IF(ISBLANK(INDEX(WORLDCUP!$AB$101:$AB$147,MATCH(Y21,WORLDCUP!$Z$101:$Z$147,0))),"","( "&amp;INDEX(WORLDCUP!$AB$101:$AB$147,MATCH(Y21,WORLDCUP!$Z$101:$Z$147,0))&amp;" )")</f>
        <v>( 4 )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Francia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2</v>
      </c>
      <c r="AC22" s="454" t="str">
        <f>+IF(ISBLANK(INDEX(WORLDCUP!$AE$101:$AE$147,MATCH(Y22,WORLDCUP!$Z$101:$Z$147,0))),"","( "&amp;INDEX(WORLDCUP!$AE$101:$AE$147,MATCH(Y22,WORLDCUP!$Z$101:$Z$147,0))&amp;" )")</f>
        <v>( 3 )</v>
      </c>
      <c r="AD22" s="455">
        <v>94</v>
      </c>
      <c r="AE22" s="456" t="str">
        <f ca="1">+MID(INDEX(WORLDCUP!$AA$101:$AA$147,MATCH(AD22,WORLDCUP!$Z$101:$Z$147,0)),1,3)</f>
        <v>Est</v>
      </c>
      <c r="AF22" s="457">
        <f>+IF(ISBLANK(INDEX(WORLDCUP!$AC$101:$AC$147,MATCH(AD22,WORLDCUP!$Z$101:$Z$147,0))),"",INDEX(WORLDCUP!$AC$101:$AC$147,MATCH(AD22,WORLDCUP!$Z$101:$Z$147,0)))</f>
        <v>0</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1</v>
      </c>
      <c r="BN24" s="463">
        <f ca="1">COUNTIF(Pool!$C$251,Fixture!BG24)</f>
        <v>0</v>
      </c>
      <c r="BO24" s="466">
        <f ca="1">COUNTIF(Pool!$C$250,Fixture!BG24)</f>
        <v>0</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Fran</v>
      </c>
      <c r="AV25" s="538">
        <f>+IF(ISBLANK(INDEX(WORLDCUP!$AC$101:$AC$147,MATCH(AT25,WORLDCUP!$Z$101:$Z$147,0))),"",INDEX(WORLDCUP!$AC$101:$AC$147,MATCH(AT25,WORLDCUP!$Z$101:$Z$147,0)))</f>
        <v>3</v>
      </c>
      <c r="AW25" s="539" t="str">
        <f>+IF(ISBLANK(INDEX(WORLDCUP!$AB$101:$AB$147,MATCH(AT25,WORLDCUP!$Z$101:$Z$147,0))),"","( "&amp;INDEX(WORLDCUP!$AB$101:$AB$147,MATCH(AT25,WORLDCUP!$Z$101:$Z$147,0))&amp;" )")</f>
        <v/>
      </c>
      <c r="AX25" s="540"/>
      <c r="AY25" s="527"/>
      <c r="AZ25" s="528" t="str">
        <f ca="1">+WORLDCUP!AA152</f>
        <v>España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1</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2</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1</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2</v>
      </c>
      <c r="AG34" s="501" t="str">
        <f>+IF(ISBLANK(INDEX(WORLDCUP!$AB$101:$AB$147,MATCH(AD34,WORLDCUP!$Z$101:$Z$147,0))),"","( "&amp;INDEX(WORLDCUP!$AB$101:$AB$147,MATCH(AD34,WORLDCUP!$Z$101:$Z$147,0))&amp;" )")</f>
        <v>( 4 )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( 5 )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4</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( 4 )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1</v>
      </c>
      <c r="AO38" s="431" t="str">
        <f>+IF(ISBLANK(INDEX(WORLDCUP!$AE$101:$AE$147,MATCH(AL38,WORLDCUP!$Z$101:$Z$147,0))),"","( "&amp;INDEX(WORLDCUP!$AE$101:$AE$147,MATCH(AL38,WORLDCUP!$Z$101:$Z$147,0))&amp;" )")</f>
        <v>( 5 )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4</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0</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( 4 )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Col</v>
      </c>
      <c r="AJ44" s="484">
        <f>+IF(ISBLANK(INDEX(WORLDCUP!$AD$101:$AD$147,MATCH(AH44,WORLDCUP!$Z$101:$Z$147,0))),"",INDEX(WORLDCUP!$AD$101:$AD$147,MATCH(AH44,WORLDCUP!$Z$101:$Z$147,0)))</f>
        <v>1</v>
      </c>
      <c r="AK44" s="459" t="str">
        <f>+IF(ISBLANK(INDEX(WORLDCUP!$AE$101:$AE$147,MATCH(AH44,WORLDCUP!$Z$101:$Z$147,0))),"","( "&amp;INDEX(WORLDCUP!$AE$101:$AE$147,MATCH(AH44,WORLDCUP!$Z$101:$Z$147,0))&amp;" )")</f>
        <v>( 2 )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6-6</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1-5</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3" width="10.81640625" style="16"/>
    <col min="4" max="4" width="17.36328125" style="16" bestFit="1" customWidth="1"/>
    <col min="5" max="6" width="10.81640625" style="16"/>
    <col min="7" max="7" width="17.36328125" style="16" bestFit="1" customWidth="1"/>
    <col min="8" max="8" width="13" style="16" customWidth="1"/>
    <col min="9" max="9" width="10.81640625" style="16"/>
    <col min="10" max="10" width="13" style="16" bestFit="1" customWidth="1"/>
    <col min="11" max="12" width="12.36328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1796875" style="5" customWidth="1"/>
    <col min="13" max="13" width="10.81640625" style="5"/>
    <col min="14" max="17" width="15.81640625" style="5" customWidth="1"/>
    <col min="18" max="18" width="22.81640625" style="5" customWidth="1"/>
    <col min="20" max="20" width="10.81640625" style="16"/>
    <col min="21" max="22" width="10.81640625" style="582"/>
    <col min="23" max="24" width="10.81640625" style="582" hidden="1" customWidth="1"/>
    <col min="25" max="25" width="10.81640625" style="582"/>
    <col min="26" max="28" width="10.81640625" style="407"/>
    <col min="29" max="149" width="10.81640625" style="5"/>
    <col min="150" max="158" width="10.81640625" style="407"/>
    <col min="159" max="16384" width="10.8164062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1">
        <v>#VALUE!</v>
      </c>
      <c r="Y87" s="9">
        <v>3.5</v>
      </c>
      <c r="Z87" s="6"/>
      <c r="AA87" s="6"/>
      <c r="AB87" s="6"/>
    </row>
    <row r="88" spans="12:28">
      <c r="L88" s="3"/>
      <c r="M88" s="3"/>
      <c r="N88" s="3"/>
      <c r="O88" s="6"/>
      <c r="P88" s="6"/>
      <c r="Q88" s="6"/>
      <c r="R88" s="6"/>
      <c r="T88" s="16" t="s">
        <v>1478</v>
      </c>
      <c r="U88" s="9" t="s">
        <v>1463</v>
      </c>
      <c r="V88" s="9" t="s">
        <v>1464</v>
      </c>
      <c r="W88" s="9" t="s">
        <v>1465</v>
      </c>
      <c r="X88" s="584" t="e" vm="2">
        <v>#VALUE!</v>
      </c>
      <c r="Y88" s="9">
        <v>4</v>
      </c>
      <c r="Z88" s="6"/>
      <c r="AA88" s="6"/>
      <c r="AB88" s="6"/>
    </row>
    <row r="89" spans="12:28" ht="15.5">
      <c r="L89" s="3"/>
      <c r="M89" s="3"/>
      <c r="N89" s="3"/>
      <c r="O89" s="6"/>
      <c r="P89" s="6"/>
      <c r="Q89" s="6"/>
      <c r="R89" s="6"/>
      <c r="T89" s="16" t="s">
        <v>1479</v>
      </c>
      <c r="U89" s="9" t="s">
        <v>1466</v>
      </c>
      <c r="V89" s="9" t="s">
        <v>1466</v>
      </c>
      <c r="W89" s="585" t="s">
        <v>1468</v>
      </c>
      <c r="X89" s="584" t="e" vm="3">
        <v>#VALUE!</v>
      </c>
      <c r="Y89" s="9">
        <v>-4</v>
      </c>
      <c r="Z89" s="6"/>
      <c r="AA89" s="6"/>
      <c r="AB89" s="6"/>
    </row>
    <row r="90" spans="12:28" ht="15.5">
      <c r="L90" s="3"/>
      <c r="M90" s="3"/>
      <c r="N90" s="3"/>
      <c r="O90" s="6"/>
      <c r="P90" s="6"/>
      <c r="Q90" s="6"/>
      <c r="R90" s="6"/>
      <c r="T90" s="16" t="s">
        <v>1480</v>
      </c>
      <c r="U90" s="9" t="s">
        <v>1467</v>
      </c>
      <c r="V90" s="9" t="s">
        <v>1470</v>
      </c>
      <c r="W90" s="586" t="s">
        <v>1469</v>
      </c>
      <c r="X90" s="584" t="e" vm="4">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c r="L92" s="3"/>
      <c r="M92" s="3"/>
      <c r="N92" s="409" t="s">
        <v>1458</v>
      </c>
      <c r="O92" s="409" t="s">
        <v>1459</v>
      </c>
      <c r="P92" s="409" t="s">
        <v>1493</v>
      </c>
      <c r="Q92" s="409" t="s">
        <v>1481</v>
      </c>
      <c r="R92" s="409" t="s">
        <v>1473</v>
      </c>
      <c r="Z92" s="6"/>
      <c r="AA92" s="6"/>
      <c r="AB92" s="6"/>
    </row>
    <row r="93" spans="12:28" ht="2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36328125" style="6" customWidth="1"/>
    <col min="6" max="6" width="15.36328125" style="6" customWidth="1"/>
    <col min="7" max="7" width="4.1796875" style="6" bestFit="1" customWidth="1"/>
    <col min="8" max="8" width="20.453125" style="6"/>
    <col min="9" max="9" width="13" style="6" customWidth="1"/>
    <col min="10" max="10" width="12" style="6" customWidth="1"/>
    <col min="11" max="11" width="20.453125" style="6"/>
    <col min="12" max="13" width="0" style="6" hidden="1" customWidth="1"/>
    <col min="14" max="14" width="4.453125" style="616" customWidth="1"/>
    <col min="15" max="16384" width="20.453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8">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1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2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0">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2">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3">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4">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6">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8">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39">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2">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4">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5">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6">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7">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8">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49">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0">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13.1796875" style="14" bestFit="1" customWidth="1"/>
    <col min="2" max="2" width="5" style="14" customWidth="1"/>
    <col min="3" max="3" width="12.453125" style="14" customWidth="1"/>
    <col min="4" max="4" width="13.1796875" style="14" customWidth="1"/>
    <col min="5" max="5" width="12.36328125" style="14" bestFit="1" customWidth="1"/>
    <col min="6" max="6" width="10.81640625" style="14"/>
    <col min="7" max="7" width="12.36328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1796875" style="14" bestFit="1" customWidth="1"/>
    <col min="19" max="19" width="11" style="14" bestFit="1" customWidth="1"/>
    <col min="20" max="20" width="10.36328125" style="14" bestFit="1" customWidth="1"/>
    <col min="21" max="21" width="10.453125" style="14" customWidth="1"/>
    <col min="22" max="22" width="10.36328125" style="14" customWidth="1"/>
    <col min="23" max="23" width="3.36328125" style="14" bestFit="1" customWidth="1"/>
    <col min="24" max="26" width="10.81640625" style="14"/>
    <col min="27" max="27" width="6.453125" style="14" customWidth="1"/>
    <col min="28" max="33" width="10.81640625" style="14"/>
    <col min="34" max="34" width="3.36328125" style="14" bestFit="1" customWidth="1"/>
    <col min="35" max="16384" width="10.8164062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Alumno003 Alumno003</cp:lastModifiedBy>
  <cp:lastPrinted>2018-12-06T18:06:35Z</cp:lastPrinted>
  <dcterms:created xsi:type="dcterms:W3CDTF">2015-10-31T09:41:54Z</dcterms:created>
  <dcterms:modified xsi:type="dcterms:W3CDTF">2026-06-28T16:30:05Z</dcterms:modified>
</cp:coreProperties>
</file>