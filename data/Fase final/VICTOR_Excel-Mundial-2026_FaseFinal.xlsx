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autoCompressPictures="0" defaultThemeVersion="124226"/>
  <mc:AlternateContent xmlns:mc="http://schemas.openxmlformats.org/markup-compatibility/2006">
    <mc:Choice Requires="x15">
      <x15ac:absPath xmlns:x15ac="http://schemas.microsoft.com/office/spreadsheetml/2010/11/ac" url="C:\Users\Usuario\Downloads\"/>
    </mc:Choice>
  </mc:AlternateContent>
  <workbookProtection workbookAlgorithmName="SHA-512" workbookHashValue="euVKK6JtwcOAVu4oR0JOcV1GkEjxLs4TzOG8iZmiHb9wb3JVuooED0DIzwEbUFMnmXXVl4D4SFYWMZ4nz6gcww==" workbookSaltValue="ge1aTcoKNVg5XeEOejsgxw==" workbookSpinCount="100000" lockStructure="1"/>
  <bookViews>
    <workbookView xWindow="0" yWindow="0" windowWidth="23040" windowHeight="8496"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62913"/>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A32" i="3"/>
  <c r="C31" i="45" s="1"/>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AB32" i="3" a="1"/>
  <c r="B13" i="31"/>
  <c r="F28" i="45"/>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41" i="32" l="1"/>
  <c r="X41" i="3" s="1"/>
  <c r="C14" i="32"/>
  <c r="X14" i="3" s="1"/>
  <c r="C56" i="32"/>
  <c r="X56" i="3" s="1"/>
  <c r="C93" i="32"/>
  <c r="Y93" i="3" s="1"/>
  <c r="C16" i="32"/>
  <c r="X16" i="3" s="1"/>
  <c r="C17" i="32"/>
  <c r="C88" i="32"/>
  <c r="X88" i="3" s="1"/>
  <c r="C28" i="32"/>
  <c r="X28" i="3" s="1"/>
  <c r="C92" i="32"/>
  <c r="C6" i="32"/>
  <c r="C138" i="32"/>
  <c r="Y138" i="3" s="1"/>
  <c r="C84" i="32"/>
  <c r="X84" i="3" s="1"/>
  <c r="C62" i="32"/>
  <c r="Y62" i="3" s="1"/>
  <c r="C12" i="32"/>
  <c r="X12" i="3" s="1"/>
  <c r="C79" i="32"/>
  <c r="Y79" i="3" s="1"/>
  <c r="C49" i="32"/>
  <c r="X49" i="3" s="1"/>
  <c r="C69" i="32"/>
  <c r="Y69" i="3" s="1"/>
  <c r="C23" i="32"/>
  <c r="X23" i="3" s="1"/>
  <c r="C20" i="32"/>
  <c r="Y20" i="3" s="1"/>
  <c r="C65" i="32"/>
  <c r="Y65" i="3" s="1"/>
  <c r="C7" i="32"/>
  <c r="X7" i="3" s="1"/>
  <c r="C120" i="32"/>
  <c r="X120" i="3" s="1"/>
  <c r="C54" i="32"/>
  <c r="Y54" i="3" s="1"/>
  <c r="C55" i="32"/>
  <c r="Y55" i="3" s="1"/>
  <c r="C9" i="32"/>
  <c r="X9" i="3" s="1"/>
  <c r="C78" i="32"/>
  <c r="Y78" i="3" s="1"/>
  <c r="C45" i="32"/>
  <c r="X45" i="3" s="1"/>
  <c r="C94" i="32"/>
  <c r="X94" i="3" s="1"/>
  <c r="C29" i="32"/>
  <c r="Y29" i="3" s="1"/>
  <c r="C61" i="32"/>
  <c r="X61" i="3" s="1"/>
  <c r="C116" i="32"/>
  <c r="X116" i="3" s="1"/>
  <c r="C143" i="32"/>
  <c r="X143" i="3" s="1"/>
  <c r="C134" i="32"/>
  <c r="Y134" i="3" s="1"/>
  <c r="C101" i="32"/>
  <c r="Y101" i="3" s="1"/>
  <c r="C85" i="32"/>
  <c r="X85" i="3" s="1"/>
  <c r="C13" i="32"/>
  <c r="Y13" i="3" s="1"/>
  <c r="C21" i="32"/>
  <c r="X21" i="3" s="1"/>
  <c r="C86" i="32"/>
  <c r="X86" i="3" s="1"/>
  <c r="C103" i="32"/>
  <c r="X103" i="3" s="1"/>
  <c r="C110" i="32"/>
  <c r="X110" i="3" s="1"/>
  <c r="C105" i="32"/>
  <c r="X105" i="3" s="1"/>
  <c r="C108" i="32"/>
  <c r="Y108"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31" i="3"/>
  <c r="Y23" i="3"/>
  <c r="Y103" i="3" l="1"/>
  <c r="Y12" i="3"/>
  <c r="X17" i="3"/>
  <c r="Y17" i="3"/>
  <c r="X92" i="3"/>
  <c r="Y92" i="3"/>
  <c r="X6" i="3"/>
  <c r="Y6" i="3"/>
  <c r="X101" i="3"/>
  <c r="Y14" i="3"/>
  <c r="Y41" i="3"/>
  <c r="Y45" i="3"/>
  <c r="X20" i="3"/>
  <c r="X62" i="3"/>
  <c r="X69" i="3"/>
  <c r="Y16" i="3"/>
  <c r="Y7" i="3"/>
  <c r="X54" i="3"/>
  <c r="X79" i="3"/>
  <c r="X125" i="3"/>
  <c r="Y85" i="3"/>
  <c r="X138" i="3"/>
  <c r="Y88" i="3"/>
  <c r="Y56" i="3"/>
  <c r="Y116" i="3"/>
  <c r="Y110" i="3"/>
  <c r="X13" i="3"/>
  <c r="X55" i="3"/>
  <c r="Y143" i="3"/>
  <c r="Y84" i="3"/>
  <c r="X64" i="3"/>
  <c r="X65" i="3"/>
  <c r="Y49" i="3"/>
  <c r="X60" i="3"/>
  <c r="Y28" i="3"/>
  <c r="X93" i="3"/>
  <c r="Y94" i="3"/>
  <c r="Y81" i="3"/>
  <c r="Y86" i="3"/>
  <c r="Y120" i="3"/>
  <c r="X78" i="3"/>
  <c r="X106" i="3"/>
  <c r="Y61" i="3"/>
  <c r="X108" i="3"/>
  <c r="X29" i="3"/>
  <c r="X134" i="3"/>
  <c r="X5" i="3"/>
  <c r="Y113" i="3"/>
  <c r="X115" i="3"/>
  <c r="Y105" i="3"/>
  <c r="X53" i="3"/>
  <c r="Y21" i="3"/>
  <c r="Y9" i="3"/>
  <c r="Y127" i="3"/>
  <c r="Y139" i="3"/>
  <c r="Y95" i="3"/>
  <c r="Y33" i="3"/>
  <c r="X44" i="3"/>
  <c r="X122" i="3"/>
  <c r="X123" i="3"/>
  <c r="X38" i="3"/>
  <c r="Y76" i="3"/>
  <c r="Y4" i="3"/>
  <c r="Y133" i="3"/>
  <c r="Y25" i="3"/>
  <c r="X124" i="3"/>
  <c r="X131" i="3"/>
  <c r="X57" i="3"/>
  <c r="Y22" i="3"/>
  <c r="X47" i="3"/>
  <c r="Y121" i="3"/>
  <c r="X48" i="3"/>
  <c r="X24" i="3"/>
  <c r="Y114" i="3"/>
  <c r="X63" i="3"/>
  <c r="Y104" i="3"/>
  <c r="X68" i="3"/>
  <c r="X89"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BW29" i="3" s="1"/>
  <c r="F92" i="3"/>
  <c r="F95" i="3"/>
  <c r="BW53" i="3" s="1"/>
  <c r="E97" i="3"/>
  <c r="BV52" i="3" s="1"/>
  <c r="F81" i="3"/>
  <c r="E76" i="3"/>
  <c r="E78" i="3"/>
  <c r="BW44" i="3" s="1"/>
  <c r="E48" i="3"/>
  <c r="F44" i="3"/>
  <c r="F47" i="3"/>
  <c r="E38" i="3"/>
  <c r="F41" i="3"/>
  <c r="BU25" i="3" s="1"/>
  <c r="E36" i="3"/>
  <c r="BW23" i="3" s="1"/>
  <c r="E39" i="3"/>
  <c r="F37" i="3"/>
  <c r="E41" i="3"/>
  <c r="BW22" i="3" s="1"/>
  <c r="BW34" i="3"/>
  <c r="E62" i="3"/>
  <c r="BW36" i="3" s="1"/>
  <c r="E60" i="3"/>
  <c r="F65" i="3"/>
  <c r="E87" i="3"/>
  <c r="E88" i="3"/>
  <c r="BW46" i="3" s="1"/>
  <c r="F85" i="3"/>
  <c r="BU48" i="3" s="1"/>
  <c r="E14" i="3"/>
  <c r="F13" i="3"/>
  <c r="BU12" i="3" s="1"/>
  <c r="E16" i="3"/>
  <c r="F17" i="3"/>
  <c r="BU11" i="3" s="1"/>
  <c r="F15" i="3"/>
  <c r="E13" i="3"/>
  <c r="BW13" i="3" s="1"/>
  <c r="E4" i="3"/>
  <c r="E7" i="3"/>
  <c r="F8" i="3"/>
  <c r="BU26" i="3"/>
  <c r="E44" i="3"/>
  <c r="BW27" i="3" s="1"/>
  <c r="E46" i="3"/>
  <c r="BW28" i="3" s="1"/>
  <c r="BW26" i="3"/>
  <c r="F49" i="3"/>
  <c r="BU29" i="3" s="1"/>
  <c r="E73" i="3"/>
  <c r="F68" i="3"/>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E80" i="3"/>
  <c r="F76" i="3"/>
  <c r="F80" i="3"/>
  <c r="E77" i="3"/>
  <c r="BW45" i="3" s="1"/>
  <c r="F78" i="3"/>
  <c r="E61" i="3"/>
  <c r="F62" i="3"/>
  <c r="BU34" i="3" s="1"/>
  <c r="BU36" i="3"/>
  <c r="F64" i="3"/>
  <c r="BU35" i="3" s="1"/>
  <c r="F72" i="3"/>
  <c r="BU41" i="3" s="1"/>
  <c r="E68" i="3"/>
  <c r="BW39" i="3" s="1"/>
  <c r="BW38" i="3"/>
  <c r="BU38" i="3"/>
  <c r="E70" i="3"/>
  <c r="BU22" i="3" l="1"/>
  <c r="BW43" i="3"/>
  <c r="BU30" i="3"/>
  <c r="BU19" i="3"/>
  <c r="BW37" i="3"/>
  <c r="BW35" i="3"/>
  <c r="BU37" i="3"/>
  <c r="BU24" i="3"/>
  <c r="BW24" i="3"/>
  <c r="BW42" i="3"/>
  <c r="BU42" i="3"/>
  <c r="BW10"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X22" i="3" s="1"/>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19" i="3" l="1"/>
  <c r="BX37" i="3"/>
  <c r="BX2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3" i="3" l="1"/>
  <c r="H21" i="3"/>
  <c r="I5" i="3"/>
  <c r="H78" i="3"/>
  <c r="H20" i="3"/>
  <c r="H23" i="3"/>
  <c r="I20" i="3"/>
  <c r="I22"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5" i="3" l="1"/>
  <c r="CB14" i="3"/>
  <c r="CA14" i="3"/>
  <c r="CB8" i="3"/>
  <c r="CB19"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5" i="3" l="1"/>
  <c r="CC8" i="3"/>
  <c r="CC14" i="3"/>
  <c r="CC19"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2" i="3" l="1"/>
  <c r="L87" i="3"/>
  <c r="K93" i="3"/>
  <c r="L84" i="3"/>
  <c r="L97" i="3"/>
  <c r="L13" i="3"/>
  <c r="K24" i="3"/>
  <c r="K14"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11" i="3"/>
  <c r="CF31" i="3"/>
  <c r="CF35"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CI53" i="3" l="1"/>
  <c r="N96" i="3"/>
  <c r="O93" i="3"/>
  <c r="O64" i="3"/>
  <c r="N95" i="3"/>
  <c r="N61" i="3"/>
  <c r="O44" i="3"/>
  <c r="CI36" i="3"/>
  <c r="O47" i="3"/>
  <c r="O94" i="3"/>
  <c r="O97" i="3"/>
  <c r="O95" i="3"/>
  <c r="CI51" i="3"/>
  <c r="N29" i="3"/>
  <c r="CJ50" i="3"/>
  <c r="CI9" i="3"/>
  <c r="O55" i="3"/>
  <c r="O33" i="3"/>
  <c r="CJ19" i="3" s="1"/>
  <c r="N9" i="3"/>
  <c r="CI8" i="3" s="1"/>
  <c r="N36" i="3"/>
  <c r="O41" i="3"/>
  <c r="O4" i="3"/>
  <c r="O69" i="3"/>
  <c r="CI35" i="3"/>
  <c r="N72" i="3"/>
  <c r="CK21" i="3"/>
  <c r="O30" i="3"/>
  <c r="CI18" i="3" s="1"/>
  <c r="N32" i="3"/>
  <c r="CJ18" i="3" s="1"/>
  <c r="N7" i="3"/>
  <c r="CK8" i="3" s="1"/>
  <c r="O29" i="3"/>
  <c r="CI20" i="3" s="1"/>
  <c r="N49" i="3"/>
  <c r="N52" i="3"/>
  <c r="N54" i="3"/>
  <c r="N37" i="3"/>
  <c r="CI25" i="3" s="1"/>
  <c r="N8" i="3"/>
  <c r="CI6" i="3" s="1"/>
  <c r="CK22" i="3"/>
  <c r="CK41" i="3"/>
  <c r="O52" i="3"/>
  <c r="CI30" i="3" s="1"/>
  <c r="N97" i="3"/>
  <c r="O77" i="3"/>
  <c r="CI44" i="3" s="1"/>
  <c r="N80" i="3"/>
  <c r="N55" i="3"/>
  <c r="CI31" i="3" s="1"/>
  <c r="N81" i="3"/>
  <c r="CI42" i="3" s="1"/>
  <c r="N84" i="3"/>
  <c r="CI45" i="3"/>
  <c r="O5" i="3"/>
  <c r="N47" i="3"/>
  <c r="CI27" i="3" s="1"/>
  <c r="CK46" i="3"/>
  <c r="CI33" i="3"/>
  <c r="O53" i="3"/>
  <c r="CI32" i="3" s="1"/>
  <c r="O79" i="3"/>
  <c r="N6" i="3"/>
  <c r="N86" i="3"/>
  <c r="O32" i="3"/>
  <c r="CI21" i="3" s="1"/>
  <c r="CI12" i="3"/>
  <c r="CI43" i="3"/>
  <c r="N88" i="3"/>
  <c r="N30" i="3"/>
  <c r="CK20" i="3" s="1"/>
  <c r="CK6" i="3"/>
  <c r="CK25" i="3"/>
  <c r="N73" i="3"/>
  <c r="N15" i="3"/>
  <c r="O96" i="3"/>
  <c r="CJ53" i="3" s="1"/>
  <c r="CL53" i="3" s="1"/>
  <c r="CK34" i="3"/>
  <c r="CI39" i="3"/>
  <c r="CK30" i="3"/>
  <c r="N68" i="3"/>
  <c r="CK50" i="3"/>
  <c r="O40" i="3"/>
  <c r="O15" i="3"/>
  <c r="CI10" i="3" s="1"/>
  <c r="N65" i="3"/>
  <c r="O9" i="3"/>
  <c r="CI7" i="3" s="1"/>
  <c r="CI23" i="3"/>
  <c r="O36" i="3"/>
  <c r="CJ22" i="3" s="1"/>
  <c r="CK23" i="3"/>
  <c r="O61" i="3"/>
  <c r="CJ36" i="3" s="1"/>
  <c r="CI47" i="3"/>
  <c r="N13" i="3"/>
  <c r="O68" i="3"/>
  <c r="O57" i="3"/>
  <c r="O65" i="3"/>
  <c r="CK37" i="3" s="1"/>
  <c r="N40" i="3"/>
  <c r="O31" i="3"/>
  <c r="CJ21" i="3" s="1"/>
  <c r="N92" i="3"/>
  <c r="CK51" i="3" s="1"/>
  <c r="CK12" i="3"/>
  <c r="N77" i="3"/>
  <c r="CK45" i="3" s="1"/>
  <c r="CI50" i="3"/>
  <c r="O25" i="3"/>
  <c r="O37" i="3"/>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CI49" i="3" s="1"/>
  <c r="N44" i="3"/>
  <c r="CK27" i="3" s="1"/>
  <c r="N12" i="3"/>
  <c r="CI11" i="3" s="1"/>
  <c r="O54" i="3"/>
  <c r="O89" i="3"/>
  <c r="O56" i="3"/>
  <c r="N24" i="3"/>
  <c r="O46" i="3"/>
  <c r="CI28" i="3"/>
  <c r="O21" i="3"/>
  <c r="CI16" i="3" s="1"/>
  <c r="N45" i="3"/>
  <c r="CK29" i="3" s="1"/>
  <c r="CK32" i="3"/>
  <c r="N16" i="3"/>
  <c r="CK10" i="3" s="1"/>
  <c r="CI48" i="3"/>
  <c r="CK26" i="3"/>
  <c r="CJ48" i="3"/>
  <c r="O20" i="3"/>
  <c r="N33" i="3"/>
  <c r="N69" i="3"/>
  <c r="O73" i="3"/>
  <c r="O60" i="3"/>
  <c r="CI34" i="3" s="1"/>
  <c r="O63" i="3"/>
  <c r="CI37" i="3" s="1"/>
  <c r="CI40" i="3"/>
  <c r="O70" i="3"/>
  <c r="CK17" i="3"/>
  <c r="N22" i="3"/>
  <c r="CK42" i="3"/>
  <c r="N78" i="3"/>
  <c r="CK44" i="3" s="1"/>
  <c r="O81" i="3"/>
  <c r="CI13" i="3"/>
  <c r="N14" i="3"/>
  <c r="CK11" i="3" s="1"/>
  <c r="CK13" i="3"/>
  <c r="N23" i="3"/>
  <c r="N20" i="3"/>
  <c r="O24" i="3"/>
  <c r="N17" i="3"/>
  <c r="O14" i="3"/>
  <c r="CK33" i="3"/>
  <c r="CK53" i="3"/>
  <c r="CK49" i="3"/>
  <c r="CK31" i="3"/>
  <c r="CL36" i="3" l="1"/>
  <c r="CK36" i="3"/>
  <c r="CK28" i="3"/>
  <c r="CI19" i="3"/>
  <c r="CL19" i="3" s="1"/>
  <c r="CI24" i="3"/>
  <c r="CK24" i="3"/>
  <c r="CI22" i="3"/>
  <c r="CL22" i="3" s="1"/>
  <c r="CK47" i="3"/>
  <c r="CI15" i="3"/>
  <c r="CK18" i="3"/>
  <c r="CI14" i="3"/>
  <c r="CK43" i="3"/>
  <c r="CK1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24" i="3"/>
  <c r="CM52" i="3" s="1"/>
  <c r="CL15" i="3"/>
  <c r="CM43" i="3"/>
  <c r="CM20" i="3"/>
  <c r="CM44" i="3"/>
  <c r="CM11" i="3"/>
  <c r="CM10" i="3"/>
  <c r="CM36" i="3"/>
  <c r="CM37" i="3"/>
  <c r="CM28" i="3" l="1"/>
  <c r="CM34" i="3"/>
  <c r="CM30" i="3"/>
  <c r="CM31" i="3"/>
  <c r="CM53" i="3"/>
  <c r="CM48" i="3"/>
  <c r="CM16" i="3"/>
  <c r="CM17" i="3"/>
  <c r="CM40" i="3"/>
  <c r="CM33" i="3"/>
  <c r="CM47" i="3"/>
  <c r="CM21" i="3"/>
  <c r="CM27" i="3"/>
  <c r="CM24" i="3"/>
  <c r="CM45" i="3"/>
  <c r="CM50" i="3"/>
  <c r="CM35" i="3"/>
  <c r="CM49" i="3"/>
  <c r="CM26" i="3"/>
  <c r="CM38" i="3"/>
  <c r="CM42" i="3"/>
  <c r="CM13" i="3"/>
  <c r="CM12" i="3"/>
  <c r="CM32" i="3"/>
  <c r="CM9" i="3"/>
  <c r="CM8" i="3"/>
  <c r="CM29" i="3"/>
  <c r="CM7" i="3"/>
  <c r="CM6" i="3"/>
  <c r="CM39" i="3"/>
  <c r="CM41" i="3"/>
  <c r="CM51" i="3"/>
  <c r="CM25" i="3"/>
  <c r="CM23" i="3"/>
  <c r="CM18" i="3"/>
  <c r="CM22" i="3"/>
  <c r="CM19" i="3"/>
  <c r="CM15" i="3"/>
  <c r="CM14" i="3"/>
  <c r="CM46" i="3"/>
  <c r="CN46" i="3" l="1"/>
  <c r="CN48" i="3"/>
  <c r="CN15" i="3"/>
  <c r="Q25" i="3" s="1"/>
  <c r="CN27" i="3"/>
  <c r="R47" i="3" s="1"/>
  <c r="CN39" i="3"/>
  <c r="R71" i="3" s="1"/>
  <c r="CN45" i="3"/>
  <c r="Q79" i="3" s="1"/>
  <c r="CN40" i="3"/>
  <c r="R73" i="3" s="1"/>
  <c r="CN53" i="3"/>
  <c r="Q95" i="3" s="1"/>
  <c r="CN35" i="3"/>
  <c r="R63" i="3" s="1"/>
  <c r="CN31" i="3"/>
  <c r="Q56" i="3" s="1"/>
  <c r="CN9" i="3"/>
  <c r="Q6" i="3" s="1"/>
  <c r="CN6" i="3"/>
  <c r="Q7" i="3" s="1"/>
  <c r="CN29" i="3"/>
  <c r="Q47" i="3" s="1"/>
  <c r="CN30" i="3"/>
  <c r="CN22" i="3"/>
  <c r="Q36" i="3" s="1"/>
  <c r="CN34" i="3"/>
  <c r="R65" i="3" s="1"/>
  <c r="CN42" i="3"/>
  <c r="Q76" i="3" s="1"/>
  <c r="CN20" i="3"/>
  <c r="R33" i="3" s="1"/>
  <c r="CN8" i="3"/>
  <c r="Q5" i="3" s="1"/>
  <c r="CN24" i="3"/>
  <c r="Q37" i="3" s="1"/>
  <c r="CN12" i="3"/>
  <c r="R15" i="3" s="1"/>
  <c r="CN28" i="3"/>
  <c r="R46" i="3" s="1"/>
  <c r="CN52" i="3"/>
  <c r="R97" i="3" s="1"/>
  <c r="CN16" i="3"/>
  <c r="R25" i="3" s="1"/>
  <c r="CN17" i="3"/>
  <c r="Q24" i="3" s="1"/>
  <c r="CN10" i="3"/>
  <c r="Q15" i="3" s="1"/>
  <c r="CN41" i="3"/>
  <c r="Q71" i="3" s="1"/>
  <c r="CN18" i="3"/>
  <c r="Q28" i="3" s="1"/>
  <c r="CN50" i="3"/>
  <c r="Q94" i="3" s="1"/>
  <c r="CN37" i="3"/>
  <c r="R61" i="3" s="1"/>
  <c r="CN19" i="3"/>
  <c r="Q33" i="3" s="1"/>
  <c r="CN26" i="3"/>
  <c r="Q44" i="3" s="1"/>
  <c r="CN44" i="3"/>
  <c r="Q77" i="3" s="1"/>
  <c r="CN51" i="3"/>
  <c r="R92" i="3" s="1"/>
  <c r="CN23" i="3"/>
  <c r="R36" i="3" s="1"/>
  <c r="CN13" i="3"/>
  <c r="R13" i="3" s="1"/>
  <c r="CN21" i="3"/>
  <c r="Q32" i="3" s="1"/>
  <c r="CN49" i="3"/>
  <c r="Q87" i="3" s="1"/>
  <c r="CN14" i="3"/>
  <c r="Q20" i="3" s="1"/>
  <c r="CN38" i="3"/>
  <c r="Q70" i="3" s="1"/>
  <c r="CN7" i="3"/>
  <c r="R4" i="3" s="1"/>
  <c r="CN32" i="3"/>
  <c r="Q53" i="3" s="1"/>
  <c r="CN11" i="3"/>
  <c r="R14" i="3" s="1"/>
  <c r="CN47" i="3"/>
  <c r="Q89" i="3" s="1"/>
  <c r="CN36" i="3"/>
  <c r="R64" i="3" s="1"/>
  <c r="CN43" i="3"/>
  <c r="R76" i="3" s="1"/>
  <c r="CN25" i="3"/>
  <c r="Q41" i="3" s="1"/>
  <c r="CN33" i="3"/>
  <c r="Q57" i="3" s="1"/>
  <c r="Q84" i="3" l="1"/>
  <c r="R88" i="3"/>
  <c r="Q86" i="3"/>
  <c r="R89" i="3"/>
  <c r="R86" i="3"/>
  <c r="R57" i="3"/>
  <c r="Q52" i="3"/>
  <c r="Q54" i="3"/>
  <c r="R52" i="3"/>
  <c r="R55" i="3"/>
  <c r="Q45" i="3"/>
  <c r="CP45" i="3"/>
  <c r="Q65" i="3"/>
  <c r="Q85" i="3"/>
  <c r="Q81" i="3"/>
  <c r="Q63" i="3"/>
  <c r="Q48" i="3"/>
  <c r="R20" i="3"/>
  <c r="R22" i="3"/>
  <c r="Q69" i="3"/>
  <c r="R70" i="3"/>
  <c r="R69" i="3"/>
  <c r="Q72" i="3"/>
  <c r="R48" i="3"/>
  <c r="Q64" i="3"/>
  <c r="R72" i="3"/>
  <c r="Q73" i="3"/>
  <c r="R44" i="3"/>
  <c r="Q62" i="3"/>
  <c r="Q68" i="3"/>
  <c r="Q96" i="3"/>
  <c r="Q60" i="3"/>
  <c r="R68" i="3"/>
  <c r="Q46" i="3"/>
  <c r="R60" i="3"/>
  <c r="R62" i="3"/>
  <c r="Q61" i="3"/>
  <c r="Q55" i="3"/>
  <c r="R56" i="3"/>
  <c r="R49" i="3"/>
  <c r="R40" i="3"/>
  <c r="R54" i="3"/>
  <c r="R53" i="3"/>
  <c r="Q49" i="3"/>
  <c r="R94" i="3"/>
  <c r="Q8" i="3"/>
  <c r="CO23" i="3"/>
  <c r="R5" i="3"/>
  <c r="R45" i="3"/>
  <c r="R7" i="3"/>
  <c r="Q40" i="3"/>
  <c r="R39" i="3"/>
  <c r="R41" i="3"/>
  <c r="Q93" i="3"/>
  <c r="R9" i="3"/>
  <c r="Q38" i="3"/>
  <c r="R95" i="3"/>
  <c r="CO47" i="3"/>
  <c r="Q97" i="3"/>
  <c r="R38" i="3"/>
  <c r="CP12" i="3"/>
  <c r="CP39" i="3"/>
  <c r="Q4" i="3"/>
  <c r="Q39" i="3"/>
  <c r="R37" i="3"/>
  <c r="CP53" i="3"/>
  <c r="CO53" i="3"/>
  <c r="Q21" i="3"/>
  <c r="R32" i="3"/>
  <c r="Q30" i="3"/>
  <c r="R17" i="3"/>
  <c r="R96" i="3"/>
  <c r="R8" i="3"/>
  <c r="CO26" i="3"/>
  <c r="CO27" i="3"/>
  <c r="R93" i="3"/>
  <c r="R23" i="3"/>
  <c r="R28" i="3"/>
  <c r="CP23" i="3"/>
  <c r="R31" i="3"/>
  <c r="Q12" i="3"/>
  <c r="R30" i="3"/>
  <c r="Q88" i="3"/>
  <c r="R84" i="3"/>
  <c r="CP47" i="3"/>
  <c r="R77" i="3"/>
  <c r="R16" i="3"/>
  <c r="Q29" i="3"/>
  <c r="R85" i="3"/>
  <c r="CO35" i="3"/>
  <c r="Q78" i="3"/>
  <c r="R81" i="3"/>
  <c r="R80" i="3"/>
  <c r="Q17" i="3"/>
  <c r="CO12" i="3"/>
  <c r="CP42" i="3"/>
  <c r="CP50" i="3"/>
  <c r="Q13" i="3"/>
  <c r="Q31" i="3"/>
  <c r="CO19" i="3" s="1"/>
  <c r="Q22" i="3"/>
  <c r="CO15" i="3" s="1"/>
  <c r="R29" i="3"/>
  <c r="R12" i="3"/>
  <c r="Q92" i="3"/>
  <c r="R21" i="3"/>
  <c r="CP33" i="3"/>
  <c r="R78" i="3"/>
  <c r="R24" i="3"/>
  <c r="Q23" i="3"/>
  <c r="R6" i="3"/>
  <c r="R87" i="3"/>
  <c r="Q9" i="3"/>
  <c r="Q14" i="3"/>
  <c r="R79" i="3"/>
  <c r="CO45" i="3" s="1"/>
  <c r="Q80" i="3"/>
  <c r="Q16" i="3"/>
  <c r="CP49" i="3"/>
  <c r="CP35" i="3"/>
  <c r="CP34" i="3"/>
  <c r="CP48" i="3"/>
  <c r="CP38" i="3"/>
  <c r="CP46" i="3"/>
  <c r="CO34" i="3"/>
  <c r="CO50" i="3"/>
  <c r="CP40" i="3"/>
  <c r="CO46" i="3"/>
  <c r="CO21" i="3"/>
  <c r="CO40" i="3"/>
  <c r="CO49" i="3"/>
  <c r="CO48" i="3"/>
  <c r="CO38" i="3"/>
  <c r="CP32" i="3"/>
  <c r="CP16" i="3"/>
  <c r="CO42" i="3"/>
  <c r="CQ42" i="3" s="1"/>
  <c r="CO32" i="3"/>
  <c r="CP28" i="3"/>
  <c r="CP17" i="3"/>
  <c r="CO28" i="3"/>
  <c r="CP26" i="3"/>
  <c r="CP13" i="3"/>
  <c r="CO17" i="3"/>
  <c r="CP21" i="3"/>
  <c r="CO16" i="3"/>
  <c r="CQ12" i="3"/>
  <c r="CO13" i="3"/>
  <c r="CO7" i="3"/>
  <c r="CO6" i="3"/>
  <c r="CP6" i="3"/>
  <c r="CP7" i="3"/>
  <c r="CP27" i="3"/>
  <c r="CQ27" i="3" s="1"/>
  <c r="CO41" i="3"/>
  <c r="CO29" i="3"/>
  <c r="CQ23" i="3"/>
  <c r="CP29" i="3"/>
  <c r="CO33" i="3"/>
  <c r="CO39" i="3"/>
  <c r="CO25" i="3"/>
  <c r="CP25" i="3"/>
  <c r="CP41" i="3"/>
  <c r="CQ45" i="3"/>
  <c r="CQ53" i="3"/>
  <c r="CQ47" i="3"/>
  <c r="CO20" i="3" l="1"/>
  <c r="CO44" i="3"/>
  <c r="CP37" i="3"/>
  <c r="CO37" i="3"/>
  <c r="CP31" i="3"/>
  <c r="CO31" i="3"/>
  <c r="CP36" i="3"/>
  <c r="CO36" i="3"/>
  <c r="CO30" i="3"/>
  <c r="CP30" i="3"/>
  <c r="CP43" i="3"/>
  <c r="CO43" i="3"/>
  <c r="CP44" i="3"/>
  <c r="CQ44" i="3" s="1"/>
  <c r="CP10" i="3"/>
  <c r="CP20" i="3"/>
  <c r="CO10" i="3"/>
  <c r="CO11" i="3"/>
  <c r="CP11" i="3"/>
  <c r="CP51" i="3"/>
  <c r="CO51" i="3"/>
  <c r="CQ51" i="3" s="1"/>
  <c r="CO52" i="3"/>
  <c r="CP52" i="3"/>
  <c r="CP14" i="3"/>
  <c r="CO8" i="3"/>
  <c r="CO24" i="3"/>
  <c r="CQ39" i="3"/>
  <c r="CP18" i="3"/>
  <c r="CP24" i="3"/>
  <c r="CP19" i="3"/>
  <c r="CQ19" i="3" s="1"/>
  <c r="CP15" i="3"/>
  <c r="CQ15" i="3" s="1"/>
  <c r="CP22" i="3"/>
  <c r="CO22" i="3"/>
  <c r="CO14" i="3"/>
  <c r="CO9" i="3"/>
  <c r="CO18" i="3"/>
  <c r="CQ35" i="3"/>
  <c r="CQ26" i="3"/>
  <c r="CQ33" i="3"/>
  <c r="CP8" i="3"/>
  <c r="CQ50" i="3"/>
  <c r="CP9" i="3"/>
  <c r="CQ49" i="3"/>
  <c r="CQ48" i="3"/>
  <c r="CQ34" i="3"/>
  <c r="CQ21" i="3"/>
  <c r="CQ46" i="3"/>
  <c r="CQ16" i="3"/>
  <c r="CQ40" i="3"/>
  <c r="CQ38" i="3"/>
  <c r="CQ32" i="3"/>
  <c r="CQ28" i="3"/>
  <c r="CQ13" i="3"/>
  <c r="CQ17" i="3"/>
  <c r="CQ7" i="3"/>
  <c r="CQ6" i="3"/>
  <c r="CQ41" i="3"/>
  <c r="CQ29" i="3"/>
  <c r="CQ25" i="3"/>
  <c r="CQ20" i="3" l="1"/>
  <c r="CQ37" i="3"/>
  <c r="CR37" i="3" s="1"/>
  <c r="CQ31" i="3"/>
  <c r="CQ36" i="3"/>
  <c r="CQ30" i="3"/>
  <c r="CQ43" i="3"/>
  <c r="CQ10" i="3"/>
  <c r="CQ11" i="3"/>
  <c r="CQ52" i="3"/>
  <c r="CQ8" i="3"/>
  <c r="CR26" i="3" s="1"/>
  <c r="CQ14" i="3"/>
  <c r="CQ18" i="3"/>
  <c r="CQ24" i="3"/>
  <c r="CQ22" i="3"/>
  <c r="CQ9" i="3"/>
  <c r="CR42" i="3" l="1"/>
  <c r="CR34" i="3"/>
  <c r="CR49" i="3"/>
  <c r="CR51" i="3"/>
  <c r="CR25" i="3"/>
  <c r="CR41" i="3"/>
  <c r="CR32" i="3"/>
  <c r="CR28" i="3"/>
  <c r="CR35" i="3"/>
  <c r="CR39" i="3"/>
  <c r="CR36" i="3"/>
  <c r="CR15" i="3"/>
  <c r="CR43" i="3"/>
  <c r="CR11" i="3"/>
  <c r="CR31" i="3"/>
  <c r="CR44" i="3"/>
  <c r="CR20" i="3"/>
  <c r="CR30" i="3"/>
  <c r="CR48" i="3"/>
  <c r="CR23" i="3"/>
  <c r="CR14" i="3"/>
  <c r="CR50" i="3"/>
  <c r="CR21" i="3"/>
  <c r="CR16" i="3"/>
  <c r="CR10" i="3"/>
  <c r="CR52" i="3"/>
  <c r="CR53" i="3"/>
  <c r="CR47" i="3"/>
  <c r="CR45" i="3"/>
  <c r="CR38" i="3"/>
  <c r="CR33" i="3"/>
  <c r="CR17" i="3"/>
  <c r="CR7" i="3"/>
  <c r="CR46" i="3"/>
  <c r="CR6" i="3"/>
  <c r="CR27" i="3"/>
  <c r="CR13" i="3"/>
  <c r="CR29" i="3"/>
  <c r="CR40" i="3"/>
  <c r="CR12" i="3"/>
  <c r="CR9" i="3"/>
  <c r="CR24" i="3"/>
  <c r="CR22" i="3"/>
  <c r="CR8" i="3"/>
  <c r="CR18" i="3"/>
  <c r="CR19" i="3"/>
  <c r="CS24" i="3" l="1"/>
  <c r="CS14" i="3"/>
  <c r="CS53" i="3"/>
  <c r="CS29" i="3"/>
  <c r="U45" i="3" s="1"/>
  <c r="CS50" i="3"/>
  <c r="T92" i="3" s="1"/>
  <c r="CS7" i="3"/>
  <c r="CS12" i="3"/>
  <c r="CS28" i="3"/>
  <c r="U48" i="3" s="1"/>
  <c r="CS52" i="3"/>
  <c r="T93" i="3" s="1"/>
  <c r="CS34" i="3"/>
  <c r="CS26" i="3"/>
  <c r="T46" i="3" s="1"/>
  <c r="CS15" i="3"/>
  <c r="U22" i="3" s="1"/>
  <c r="CS19" i="3"/>
  <c r="U31" i="3" s="1"/>
  <c r="CS43" i="3"/>
  <c r="T80" i="3" s="1"/>
  <c r="CS21" i="3"/>
  <c r="T31" i="3" s="1"/>
  <c r="CS27" i="3"/>
  <c r="U47" i="3" s="1"/>
  <c r="CS18" i="3"/>
  <c r="T30" i="3" s="1"/>
  <c r="CS38" i="3"/>
  <c r="T70" i="3" s="1"/>
  <c r="CS6" i="3"/>
  <c r="U8" i="3" s="1"/>
  <c r="CS44" i="3"/>
  <c r="U80" i="3" s="1"/>
  <c r="CS9" i="3"/>
  <c r="CS33" i="3"/>
  <c r="U53" i="3" s="1"/>
  <c r="CS23" i="3"/>
  <c r="T40" i="3" s="1"/>
  <c r="CS17" i="3"/>
  <c r="T22" i="3" s="1"/>
  <c r="CS41" i="3"/>
  <c r="T71" i="3" s="1"/>
  <c r="CS8" i="3"/>
  <c r="U9" i="3" s="1"/>
  <c r="CS37" i="3"/>
  <c r="T63" i="3" s="1"/>
  <c r="CS31" i="3"/>
  <c r="U55" i="3" s="1"/>
  <c r="CS40" i="3"/>
  <c r="U70" i="3" s="1"/>
  <c r="CS51" i="3"/>
  <c r="U92" i="3" s="1"/>
  <c r="CS42" i="3"/>
  <c r="T78" i="3" s="1"/>
  <c r="CS32" i="3"/>
  <c r="U56" i="3" s="1"/>
  <c r="CS20" i="3"/>
  <c r="U30" i="3" s="1"/>
  <c r="CS11" i="3"/>
  <c r="T17" i="3" s="1"/>
  <c r="CS45" i="3"/>
  <c r="T79" i="3" s="1"/>
  <c r="CS22" i="3"/>
  <c r="T38" i="3" s="1"/>
  <c r="CS25" i="3"/>
  <c r="T39" i="3" s="1"/>
  <c r="CS39" i="3"/>
  <c r="U71" i="3" s="1"/>
  <c r="CS49" i="3"/>
  <c r="U85" i="3" s="1"/>
  <c r="CS35" i="3"/>
  <c r="U63" i="3" s="1"/>
  <c r="CS13" i="3"/>
  <c r="T14" i="3" s="1"/>
  <c r="CS16" i="3"/>
  <c r="U23" i="3" s="1"/>
  <c r="CS30" i="3"/>
  <c r="T52" i="3" s="1"/>
  <c r="CS47" i="3"/>
  <c r="U84" i="3" s="1"/>
  <c r="CS46" i="3"/>
  <c r="U88" i="3" s="1"/>
  <c r="CS48" i="3"/>
  <c r="U89" i="3" s="1"/>
  <c r="CS36" i="3"/>
  <c r="U62" i="3" s="1"/>
  <c r="CS10" i="3"/>
  <c r="T15" i="3" s="1"/>
  <c r="T37" i="3" l="1"/>
  <c r="U40" i="3"/>
  <c r="U38" i="3"/>
  <c r="U24" i="3"/>
  <c r="T20" i="3"/>
  <c r="T23" i="3"/>
  <c r="U65" i="3"/>
  <c r="T62" i="3"/>
  <c r="U4" i="3"/>
  <c r="U6" i="3"/>
  <c r="T9" i="3"/>
  <c r="T95" i="3"/>
  <c r="U93" i="3"/>
  <c r="T13" i="3"/>
  <c r="U17" i="3"/>
  <c r="U5" i="3"/>
  <c r="T8" i="3"/>
  <c r="U29" i="3"/>
  <c r="T96" i="3"/>
  <c r="U49" i="3"/>
  <c r="U15" i="3"/>
  <c r="T44" i="3"/>
  <c r="T32" i="3"/>
  <c r="U20" i="3"/>
  <c r="T45" i="3"/>
  <c r="T56" i="3"/>
  <c r="CT32" i="3" s="1"/>
  <c r="T47" i="3"/>
  <c r="T64" i="3"/>
  <c r="T24" i="3"/>
  <c r="U79" i="3"/>
  <c r="CT34" i="3"/>
  <c r="T60" i="3"/>
  <c r="T49" i="3"/>
  <c r="U46" i="3"/>
  <c r="T25" i="3"/>
  <c r="U52" i="3"/>
  <c r="U78" i="3"/>
  <c r="T77" i="3"/>
  <c r="U44" i="3"/>
  <c r="CT35" i="3"/>
  <c r="U21" i="3"/>
  <c r="CT17" i="3"/>
  <c r="T48" i="3"/>
  <c r="CT28" i="3" s="1"/>
  <c r="U54" i="3"/>
  <c r="T53" i="3"/>
  <c r="T36" i="3"/>
  <c r="T84" i="3"/>
  <c r="U60" i="3"/>
  <c r="U41" i="3"/>
  <c r="U94" i="3"/>
  <c r="CT50" i="3" s="1"/>
  <c r="U97" i="3"/>
  <c r="CT51" i="3" s="1"/>
  <c r="T72" i="3"/>
  <c r="U73" i="3"/>
  <c r="CT40" i="3"/>
  <c r="U28" i="3"/>
  <c r="U96" i="3"/>
  <c r="CT53" i="3" s="1"/>
  <c r="T33" i="3"/>
  <c r="T94" i="3"/>
  <c r="T57" i="3"/>
  <c r="CT33" i="3"/>
  <c r="U64" i="3"/>
  <c r="U76" i="3"/>
  <c r="U72" i="3"/>
  <c r="T55" i="3"/>
  <c r="CT31" i="3" s="1"/>
  <c r="T68" i="3"/>
  <c r="T5" i="3"/>
  <c r="CT9" i="3" s="1"/>
  <c r="T69" i="3"/>
  <c r="T28" i="3"/>
  <c r="U32" i="3"/>
  <c r="U69" i="3"/>
  <c r="U13" i="3"/>
  <c r="CT12" i="3" s="1"/>
  <c r="T6" i="3"/>
  <c r="T7" i="3"/>
  <c r="CT8" i="3" s="1"/>
  <c r="CT23" i="3"/>
  <c r="U36" i="3"/>
  <c r="U39" i="3"/>
  <c r="T4" i="3"/>
  <c r="CT7" i="3" s="1"/>
  <c r="T65" i="3"/>
  <c r="T76" i="3"/>
  <c r="CT43" i="3" s="1"/>
  <c r="T97" i="3"/>
  <c r="U7" i="3"/>
  <c r="T81" i="3"/>
  <c r="CT42" i="3" s="1"/>
  <c r="U61" i="3"/>
  <c r="U12" i="3"/>
  <c r="U14" i="3"/>
  <c r="U81" i="3"/>
  <c r="U95" i="3"/>
  <c r="U68" i="3"/>
  <c r="CT38" i="3" s="1"/>
  <c r="T87" i="3"/>
  <c r="CT49" i="3"/>
  <c r="T88" i="3"/>
  <c r="U77" i="3"/>
  <c r="CT44" i="3" s="1"/>
  <c r="T21" i="3"/>
  <c r="CT47" i="3"/>
  <c r="T73" i="3"/>
  <c r="T61" i="3"/>
  <c r="U25" i="3"/>
  <c r="U37" i="3"/>
  <c r="CT24" i="3" s="1"/>
  <c r="CT25" i="3"/>
  <c r="T41" i="3"/>
  <c r="U86" i="3"/>
  <c r="T29" i="3"/>
  <c r="T16" i="3"/>
  <c r="T85" i="3"/>
  <c r="U33" i="3"/>
  <c r="U57" i="3"/>
  <c r="U87" i="3"/>
  <c r="U16" i="3"/>
  <c r="T12" i="3"/>
  <c r="T89" i="3"/>
  <c r="T54" i="3"/>
  <c r="T86" i="3"/>
  <c r="CT21" i="3"/>
  <c r="CT48" i="3"/>
  <c r="CT6" i="3"/>
  <c r="CT46" i="3"/>
  <c r="CT45" i="3"/>
  <c r="CT26" i="3"/>
  <c r="CT18" i="3"/>
  <c r="CT16" i="3"/>
  <c r="CT13" i="3"/>
  <c r="CT27" i="3"/>
  <c r="CT41" i="3"/>
  <c r="CT39" i="3"/>
  <c r="CT52" i="3"/>
  <c r="CT29" i="3"/>
  <c r="CT36" i="3" l="1"/>
  <c r="CT15" i="3"/>
  <c r="CT37" i="3"/>
  <c r="CT20" i="3"/>
  <c r="CT10" i="3"/>
  <c r="CT11" i="3"/>
  <c r="CT30" i="3"/>
  <c r="CT14" i="3"/>
  <c r="CT22" i="3"/>
  <c r="CU26" i="3" s="1"/>
  <c r="CT19" i="3"/>
  <c r="CU36" i="3" l="1"/>
  <c r="CU46" i="3"/>
  <c r="CU37" i="3"/>
  <c r="CU38" i="3"/>
  <c r="CU53" i="3"/>
  <c r="CU23" i="3"/>
  <c r="CU7" i="3"/>
  <c r="CU20" i="3"/>
  <c r="CU47" i="3"/>
  <c r="CU49" i="3"/>
  <c r="CU41" i="3"/>
  <c r="CU27" i="3"/>
  <c r="CU33" i="3"/>
  <c r="CU42" i="3"/>
  <c r="CU34" i="3"/>
  <c r="CU17" i="3"/>
  <c r="CU12" i="3"/>
  <c r="CU40" i="3"/>
  <c r="CU28" i="3"/>
  <c r="CU29" i="3"/>
  <c r="CU39" i="3"/>
  <c r="CU25" i="3"/>
  <c r="CU21" i="3"/>
  <c r="CU48" i="3"/>
  <c r="CU45" i="3"/>
  <c r="CU35" i="3"/>
  <c r="CU50" i="3"/>
  <c r="CU32" i="3"/>
  <c r="CU16" i="3"/>
  <c r="CU6" i="3"/>
  <c r="CU13" i="3"/>
  <c r="CU14" i="3"/>
  <c r="CU15" i="3"/>
  <c r="CU31" i="3"/>
  <c r="CU30" i="3"/>
  <c r="CU44" i="3"/>
  <c r="CU43" i="3"/>
  <c r="CU11" i="3"/>
  <c r="CU10" i="3"/>
  <c r="CU8" i="3"/>
  <c r="CU22" i="3"/>
  <c r="CU51" i="3"/>
  <c r="CU52" i="3"/>
  <c r="CU9" i="3"/>
  <c r="CU24" i="3"/>
  <c r="CU19" i="3"/>
  <c r="CU18" i="3"/>
  <c r="CV19" i="3" l="1"/>
  <c r="CW19" i="3" s="1"/>
  <c r="CV41" i="3"/>
  <c r="CW41" i="3" s="1"/>
  <c r="CV21" i="3"/>
  <c r="CW21" i="3" s="1"/>
  <c r="CV27" i="3"/>
  <c r="CW27" i="3" s="1"/>
  <c r="CV14" i="3"/>
  <c r="CW14" i="3" s="1"/>
  <c r="CV31" i="3"/>
  <c r="CW31" i="3" s="1"/>
  <c r="CV23" i="3"/>
  <c r="CW23" i="3" s="1"/>
  <c r="CV50" i="3"/>
  <c r="CW50" i="3" s="1"/>
  <c r="CV17" i="3"/>
  <c r="CW17" i="3" s="1"/>
  <c r="CV40" i="3"/>
  <c r="CW40" i="3" s="1"/>
  <c r="CV43" i="3"/>
  <c r="CW43" i="3" s="1"/>
  <c r="CV38" i="3"/>
  <c r="CW38" i="3" s="1"/>
  <c r="CV32" i="3"/>
  <c r="CW32" i="3" s="1"/>
  <c r="CV34" i="3"/>
  <c r="CW34" i="3" s="1"/>
  <c r="CV22" i="3"/>
  <c r="CW22" i="3" s="1"/>
  <c r="CV11" i="3"/>
  <c r="CW11" i="3" s="1"/>
  <c r="CV26" i="3"/>
  <c r="CW26" i="3" s="1"/>
  <c r="CV53" i="3"/>
  <c r="CW53" i="3" s="1"/>
  <c r="CV52" i="3"/>
  <c r="CW52" i="3" s="1"/>
  <c r="CV39" i="3"/>
  <c r="CW39" i="3" s="1"/>
  <c r="CV6" i="3"/>
  <c r="CW6" i="3" s="1"/>
  <c r="CV37" i="3"/>
  <c r="CW37" i="3" s="1"/>
  <c r="CV15" i="3"/>
  <c r="CW15" i="3" s="1"/>
  <c r="CV9" i="3"/>
  <c r="CW9" i="3" s="1"/>
  <c r="CV33" i="3"/>
  <c r="CW33" i="3" s="1"/>
  <c r="CV29" i="3"/>
  <c r="CW29" i="3" s="1"/>
  <c r="CV30" i="3"/>
  <c r="CW30" i="3" s="1"/>
  <c r="CV46" i="3"/>
  <c r="CW46" i="3" s="1"/>
  <c r="CV44" i="3"/>
  <c r="CW44" i="3" s="1"/>
  <c r="CV12" i="3"/>
  <c r="CW12" i="3" s="1"/>
  <c r="CV16" i="3"/>
  <c r="CW16" i="3" s="1"/>
  <c r="CV13" i="3"/>
  <c r="CW13" i="3" s="1"/>
  <c r="CV20" i="3"/>
  <c r="CW20" i="3" s="1"/>
  <c r="CV7" i="3"/>
  <c r="CW7" i="3" s="1"/>
  <c r="CV24" i="3"/>
  <c r="CW24" i="3" s="1"/>
  <c r="CV18" i="3"/>
  <c r="CW18" i="3" s="1"/>
  <c r="CV48" i="3"/>
  <c r="CW48" i="3" s="1"/>
  <c r="CV45" i="3"/>
  <c r="CW45" i="3" s="1"/>
  <c r="CV47" i="3"/>
  <c r="CW47" i="3" s="1"/>
  <c r="CV51" i="3"/>
  <c r="CW51" i="3" s="1"/>
  <c r="CV35" i="3"/>
  <c r="CW35" i="3" s="1"/>
  <c r="CV25" i="3"/>
  <c r="CW25" i="3" s="1"/>
  <c r="CV49" i="3"/>
  <c r="CW49" i="3" s="1"/>
  <c r="CV28" i="3"/>
  <c r="CW28" i="3" s="1"/>
  <c r="CV36" i="3"/>
  <c r="CW36" i="3" s="1"/>
  <c r="CV10" i="3"/>
  <c r="CW10" i="3" s="1"/>
  <c r="CV42" i="3"/>
  <c r="CW42" i="3" s="1"/>
  <c r="CV8" i="3"/>
  <c r="CW8" i="3" s="1"/>
  <c r="CX30" i="3" l="1"/>
  <c r="CX8" i="3"/>
  <c r="CX18" i="3"/>
  <c r="CX29" i="3"/>
  <c r="CX38" i="3"/>
  <c r="CX23" i="3"/>
  <c r="CX34" i="3"/>
  <c r="CX10" i="3"/>
  <c r="CX45" i="3"/>
  <c r="CX39" i="3"/>
  <c r="CX9" i="3"/>
  <c r="CX17" i="3"/>
  <c r="CX16" i="3"/>
  <c r="CX49" i="3"/>
  <c r="CX53" i="3"/>
  <c r="CX35" i="3"/>
  <c r="CX51" i="3"/>
  <c r="CX11" i="3"/>
  <c r="CX25" i="3"/>
  <c r="CX32" i="3"/>
  <c r="CX36" i="3"/>
  <c r="CX21" i="3"/>
  <c r="CX12" i="3"/>
  <c r="CX48" i="3"/>
  <c r="CX7" i="3"/>
  <c r="CX50" i="3"/>
  <c r="CX6" i="3"/>
  <c r="CX24" i="3"/>
  <c r="CX15" i="3"/>
  <c r="CX19" i="3"/>
  <c r="CX13" i="3"/>
  <c r="CX41" i="3"/>
  <c r="CX43" i="3"/>
  <c r="CX47" i="3"/>
  <c r="CX31" i="3"/>
  <c r="CX20" i="3"/>
  <c r="CX52" i="3"/>
  <c r="CX40" i="3"/>
  <c r="CX27" i="3"/>
  <c r="CX28" i="3"/>
  <c r="CX37" i="3"/>
  <c r="CX22" i="3"/>
  <c r="CX26" i="3"/>
  <c r="CX46" i="3"/>
  <c r="CX14" i="3"/>
  <c r="CX33" i="3"/>
  <c r="CX42" i="3"/>
  <c r="CX44" i="3"/>
  <c r="CY24" i="3" l="1"/>
  <c r="CZ24" i="3" s="1"/>
  <c r="CY32" i="3"/>
  <c r="CZ32" i="3" s="1"/>
  <c r="CY51" i="3"/>
  <c r="CZ51" i="3" s="1"/>
  <c r="CY14" i="3"/>
  <c r="CZ14" i="3" s="1"/>
  <c r="CY15" i="3"/>
  <c r="CZ15" i="3" s="1"/>
  <c r="CY46" i="3"/>
  <c r="CZ46" i="3" s="1"/>
  <c r="CY23" i="3"/>
  <c r="CZ23" i="3" s="1"/>
  <c r="CY12" i="3"/>
  <c r="CZ12" i="3" s="1"/>
  <c r="CY27" i="3"/>
  <c r="CZ27" i="3" s="1"/>
  <c r="CY50" i="3"/>
  <c r="CZ50" i="3" s="1"/>
  <c r="CY41" i="3"/>
  <c r="CZ41" i="3" s="1"/>
  <c r="CY9" i="3"/>
  <c r="CZ9" i="3" s="1"/>
  <c r="CY38" i="3"/>
  <c r="CZ38" i="3" s="1"/>
  <c r="CY18" i="3"/>
  <c r="CZ18" i="3" s="1"/>
  <c r="CY37" i="3"/>
  <c r="CZ37" i="3" s="1"/>
  <c r="CY53" i="3"/>
  <c r="CZ53" i="3" s="1"/>
  <c r="CY43" i="3"/>
  <c r="CZ43" i="3" s="1"/>
  <c r="CY26" i="3"/>
  <c r="CZ26" i="3" s="1"/>
  <c r="CY28" i="3"/>
  <c r="CZ28" i="3" s="1"/>
  <c r="CY40" i="3"/>
  <c r="CZ40" i="3" s="1"/>
  <c r="CY22" i="3"/>
  <c r="CZ22" i="3" s="1"/>
  <c r="CY31" i="3"/>
  <c r="CZ31" i="3" s="1"/>
  <c r="CY16" i="3"/>
  <c r="CZ16" i="3" s="1"/>
  <c r="CY10" i="3"/>
  <c r="CZ10" i="3" s="1"/>
  <c r="CY49" i="3"/>
  <c r="CZ49" i="3" s="1"/>
  <c r="CY17" i="3"/>
  <c r="CZ17" i="3" s="1"/>
  <c r="CY35" i="3"/>
  <c r="CZ35" i="3" s="1"/>
  <c r="CY52" i="3"/>
  <c r="CZ52" i="3" s="1"/>
  <c r="CY30" i="3"/>
  <c r="CZ30" i="3" s="1"/>
  <c r="CY7" i="3"/>
  <c r="CZ7" i="3" s="1"/>
  <c r="CY42" i="3"/>
  <c r="CZ42" i="3" s="1"/>
  <c r="CY29" i="3"/>
  <c r="CZ29" i="3" s="1"/>
  <c r="CY19" i="3"/>
  <c r="CZ19" i="3" s="1"/>
  <c r="CY36" i="3"/>
  <c r="CZ36" i="3" s="1"/>
  <c r="CY39" i="3"/>
  <c r="CZ39" i="3" s="1"/>
  <c r="CY34" i="3"/>
  <c r="CZ34" i="3" s="1"/>
  <c r="CY11" i="3"/>
  <c r="CZ11" i="3" s="1"/>
  <c r="CY21" i="3"/>
  <c r="CZ21" i="3" s="1"/>
  <c r="CY48" i="3"/>
  <c r="CZ48" i="3" s="1"/>
  <c r="CY8" i="3"/>
  <c r="CZ8" i="3" s="1"/>
  <c r="CY47" i="3"/>
  <c r="CZ47" i="3" s="1"/>
  <c r="CY20" i="3"/>
  <c r="CZ20" i="3" s="1"/>
  <c r="CY33" i="3"/>
  <c r="CZ33" i="3" s="1"/>
  <c r="CY25" i="3"/>
  <c r="CZ25" i="3" s="1"/>
  <c r="CY6" i="3"/>
  <c r="CZ6" i="3" s="1"/>
  <c r="CY45" i="3"/>
  <c r="CZ45" i="3" s="1"/>
  <c r="CY44" i="3"/>
  <c r="CZ44" i="3" s="1"/>
  <c r="CY13" i="3"/>
  <c r="CZ13" i="3" s="1"/>
  <c r="DA53" i="3" l="1"/>
  <c r="DA29" i="3"/>
  <c r="DA21" i="3"/>
  <c r="DA11" i="3"/>
  <c r="DA34" i="3"/>
  <c r="DA48" i="3"/>
  <c r="DA30" i="3"/>
  <c r="DA49" i="3"/>
  <c r="DA23" i="3"/>
  <c r="DA28" i="3"/>
  <c r="DA44" i="3"/>
  <c r="DA20" i="3"/>
  <c r="DA42" i="3"/>
  <c r="DA10" i="3"/>
  <c r="DA40" i="3"/>
  <c r="DA39" i="3"/>
  <c r="DA47" i="3"/>
  <c r="DA51" i="3"/>
  <c r="DA27" i="3"/>
  <c r="DA32" i="3"/>
  <c r="DA19" i="3"/>
  <c r="DA46" i="3"/>
  <c r="DA9" i="3"/>
  <c r="DA50" i="3"/>
  <c r="DA24" i="3"/>
  <c r="DA22" i="3"/>
  <c r="DA33" i="3"/>
  <c r="DA36" i="3"/>
  <c r="DA17" i="3"/>
  <c r="DA16" i="3"/>
  <c r="DA26" i="3"/>
  <c r="DA13" i="3"/>
  <c r="DA18" i="3"/>
  <c r="DA52" i="3"/>
  <c r="DA35" i="3"/>
  <c r="DA43" i="3"/>
  <c r="DA8" i="3"/>
  <c r="DA45" i="3"/>
  <c r="DA38" i="3"/>
  <c r="DA7" i="3"/>
  <c r="DA37" i="3"/>
  <c r="DA6" i="3"/>
  <c r="DA25" i="3"/>
  <c r="DA14" i="3"/>
  <c r="DA15" i="3"/>
  <c r="DA12" i="3"/>
  <c r="DA31" i="3"/>
  <c r="DA41" i="3"/>
  <c r="DB41" i="3" l="1"/>
  <c r="DC41" i="3" s="1"/>
  <c r="DB44" i="3"/>
  <c r="DC44" i="3" s="1"/>
  <c r="DB33" i="3"/>
  <c r="DC33" i="3" s="1"/>
  <c r="DB18" i="3"/>
  <c r="DC18" i="3" s="1"/>
  <c r="DB52" i="3"/>
  <c r="DC52" i="3" s="1"/>
  <c r="DB24" i="3"/>
  <c r="DC24" i="3" s="1"/>
  <c r="DB19" i="3"/>
  <c r="DC19" i="3" s="1"/>
  <c r="DB42" i="3"/>
  <c r="DC42" i="3" s="1"/>
  <c r="DB13" i="3"/>
  <c r="DC13" i="3" s="1"/>
  <c r="DB21" i="3"/>
  <c r="DC21" i="3" s="1"/>
  <c r="DB17" i="3"/>
  <c r="DC17" i="3" s="1"/>
  <c r="DB40" i="3"/>
  <c r="DC40" i="3" s="1"/>
  <c r="DB50" i="3"/>
  <c r="DC50" i="3" s="1"/>
  <c r="DB37" i="3"/>
  <c r="DC37" i="3" s="1"/>
  <c r="DB36" i="3"/>
  <c r="DC36" i="3" s="1"/>
  <c r="DB11" i="3"/>
  <c r="DC11" i="3" s="1"/>
  <c r="DB10" i="3"/>
  <c r="DC10" i="3" s="1"/>
  <c r="DB43" i="3"/>
  <c r="DC43" i="3" s="1"/>
  <c r="DB48" i="3"/>
  <c r="DC48" i="3" s="1"/>
  <c r="DB27" i="3"/>
  <c r="DC27" i="3" s="1"/>
  <c r="DB30" i="3"/>
  <c r="DC30" i="3" s="1"/>
  <c r="DB6" i="3"/>
  <c r="DC6" i="3" s="1"/>
  <c r="DB7" i="3"/>
  <c r="DC7" i="3" s="1"/>
  <c r="DB15" i="3"/>
  <c r="DC15" i="3" s="1"/>
  <c r="DB16" i="3"/>
  <c r="DC16" i="3" s="1"/>
  <c r="DB35" i="3"/>
  <c r="DC35" i="3" s="1"/>
  <c r="DB9" i="3"/>
  <c r="DC9" i="3" s="1"/>
  <c r="DB32" i="3"/>
  <c r="DC32" i="3" s="1"/>
  <c r="DB45" i="3"/>
  <c r="DC45" i="3" s="1"/>
  <c r="DB53" i="3"/>
  <c r="DC53" i="3" s="1"/>
  <c r="DB47" i="3"/>
  <c r="DC47" i="3" s="1"/>
  <c r="DB31" i="3"/>
  <c r="DC31" i="3" s="1"/>
  <c r="DB39" i="3"/>
  <c r="DC39" i="3" s="1"/>
  <c r="DB14" i="3"/>
  <c r="DC14" i="3" s="1"/>
  <c r="DB26" i="3"/>
  <c r="DC26" i="3" s="1"/>
  <c r="DB25" i="3"/>
  <c r="DC25" i="3" s="1"/>
  <c r="DB46" i="3"/>
  <c r="DC46" i="3" s="1"/>
  <c r="DB12" i="3"/>
  <c r="DC12" i="3" s="1"/>
  <c r="DB49" i="3"/>
  <c r="DC49" i="3" s="1"/>
  <c r="DB22" i="3"/>
  <c r="DC22" i="3" s="1"/>
  <c r="DB23" i="3"/>
  <c r="DC23" i="3" s="1"/>
  <c r="DB38" i="3"/>
  <c r="DC38" i="3" s="1"/>
  <c r="DB20" i="3"/>
  <c r="DC20" i="3" s="1"/>
  <c r="DB8" i="3"/>
  <c r="DC8" i="3" s="1"/>
  <c r="DB34" i="3"/>
  <c r="DC34" i="3" s="1"/>
  <c r="DB28" i="3"/>
  <c r="DC28" i="3" s="1"/>
  <c r="DB51" i="3"/>
  <c r="DC51" i="3" s="1"/>
  <c r="DB29" i="3"/>
  <c r="DC29" i="3" s="1"/>
  <c r="DD25" i="3" l="1"/>
  <c r="BM25" i="3" s="1"/>
  <c r="DD49" i="3"/>
  <c r="BM49" i="3" s="1"/>
  <c r="DD50" i="3"/>
  <c r="BM50" i="3" s="1"/>
  <c r="DD38" i="3"/>
  <c r="BM38" i="3" s="1"/>
  <c r="DD45" i="3"/>
  <c r="BM45" i="3" s="1"/>
  <c r="DD19" i="3"/>
  <c r="BM19" i="3" s="1"/>
  <c r="DD20" i="3"/>
  <c r="BM20" i="3" s="1"/>
  <c r="DD15" i="3"/>
  <c r="BM15" i="3" s="1"/>
  <c r="DD32" i="3"/>
  <c r="BM32" i="3" s="1"/>
  <c r="DD16" i="3"/>
  <c r="BM16" i="3" s="1"/>
  <c r="DD44" i="3"/>
  <c r="BM44" i="3" s="1"/>
  <c r="DD22" i="3"/>
  <c r="BM22" i="3" s="1"/>
  <c r="DD48" i="3"/>
  <c r="BM48" i="3" s="1"/>
  <c r="DD52" i="3"/>
  <c r="BM52" i="3" s="1"/>
  <c r="DD8" i="3"/>
  <c r="BM8" i="3" s="1"/>
  <c r="DD11" i="3"/>
  <c r="BM11" i="3" s="1"/>
  <c r="DD9" i="3"/>
  <c r="BM9" i="3" s="1"/>
  <c r="DD30" i="3"/>
  <c r="BM30" i="3" s="1"/>
  <c r="DD12" i="3"/>
  <c r="BM12" i="3" s="1"/>
  <c r="DD13" i="3"/>
  <c r="BM13" i="3" s="1"/>
  <c r="DD53" i="3"/>
  <c r="BM53" i="3" s="1"/>
  <c r="DD31" i="3"/>
  <c r="BM31" i="3" s="1"/>
  <c r="DD41" i="3"/>
  <c r="BM41" i="3" s="1"/>
  <c r="DD24" i="3"/>
  <c r="BM24" i="3" s="1"/>
  <c r="DD10" i="3"/>
  <c r="BM10"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43" i="3"/>
  <c r="BM43" i="3" s="1"/>
  <c r="DD46" i="3"/>
  <c r="BM46" i="3" s="1"/>
  <c r="DD23" i="3"/>
  <c r="BM23" i="3" s="1"/>
  <c r="DD29" i="3"/>
  <c r="BM29" i="3" s="1"/>
  <c r="DD37" i="3"/>
  <c r="BM37" i="3" s="1"/>
  <c r="DD39" i="3"/>
  <c r="BM39" i="3" s="1"/>
  <c r="DD17" i="3"/>
  <c r="BM17" i="3" s="1"/>
  <c r="DD6" i="3"/>
  <c r="BM6" i="3" s="1"/>
  <c r="DD28" i="3"/>
  <c r="BM28" i="3" s="1"/>
  <c r="DD51" i="3"/>
  <c r="BM51" i="3" s="1"/>
  <c r="DD35" i="3"/>
  <c r="BM35" i="3" s="1"/>
  <c r="DQ17" i="3" l="1"/>
  <c r="DJ17" i="3" s="1"/>
  <c r="AV6" i="3"/>
  <c r="DQ19" i="3"/>
  <c r="DJ19" i="3" s="1"/>
  <c r="AV80" i="3"/>
  <c r="DQ51" i="3"/>
  <c r="DJ51" i="3" s="1"/>
  <c r="AV97" i="3"/>
  <c r="AV31" i="3"/>
  <c r="DQ31" i="3"/>
  <c r="DJ31" i="3" s="1"/>
  <c r="DQ23" i="3"/>
  <c r="DJ23" i="3" s="1"/>
  <c r="DQ26" i="3"/>
  <c r="DJ26" i="3" s="1"/>
  <c r="DQ15" i="3"/>
  <c r="DJ15" i="3" s="1"/>
  <c r="DQ45" i="3"/>
  <c r="DJ45" i="3" s="1"/>
  <c r="DQ35" i="3"/>
  <c r="DJ35" i="3" s="1"/>
  <c r="DQ42" i="3"/>
  <c r="DJ42" i="3" s="1"/>
  <c r="AV7" i="3"/>
  <c r="AV63" i="3"/>
  <c r="DQ34" i="3"/>
  <c r="DJ34" i="3" s="1"/>
  <c r="AV39" i="3"/>
  <c r="AV55" i="3"/>
  <c r="AV8" i="3"/>
  <c r="DQ44" i="3"/>
  <c r="DJ44" i="3" s="1"/>
  <c r="DQ38" i="3"/>
  <c r="DJ38" i="3" s="1"/>
  <c r="DQ25" i="3"/>
  <c r="DJ25" i="3" s="1"/>
  <c r="AV86" i="3"/>
  <c r="AV72" i="3"/>
  <c r="DQ30" i="3"/>
  <c r="DJ30" i="3" s="1"/>
  <c r="AV79" i="3"/>
  <c r="AV56" i="3"/>
  <c r="DQ11" i="3"/>
  <c r="DJ11" i="3" s="1"/>
  <c r="AV15" i="3"/>
  <c r="DQ14" i="3"/>
  <c r="DJ14" i="3" s="1"/>
  <c r="AV54" i="3"/>
  <c r="AV49" i="3"/>
  <c r="DQ18" i="3"/>
  <c r="DJ18" i="3" s="1"/>
  <c r="AV24" i="3"/>
  <c r="DQ8" i="3"/>
  <c r="DJ8" i="3" s="1"/>
  <c r="AV94" i="3"/>
  <c r="AV81" i="3"/>
  <c r="DQ24" i="3"/>
  <c r="DJ24" i="3" s="1"/>
  <c r="AV33" i="3"/>
  <c r="AV38" i="3"/>
  <c r="DQ22" i="3"/>
  <c r="DJ22" i="3" s="1"/>
  <c r="AV32" i="3"/>
  <c r="DQ48" i="3"/>
  <c r="DJ48" i="3" s="1"/>
  <c r="DQ53" i="3"/>
  <c r="DJ53" i="3" s="1"/>
  <c r="AV62" i="3"/>
  <c r="DQ27" i="3"/>
  <c r="DJ27" i="3" s="1"/>
  <c r="DQ12" i="3"/>
  <c r="DJ12" i="3" s="1"/>
  <c r="AV46" i="3"/>
  <c r="AV14" i="3"/>
  <c r="AV23" i="3"/>
  <c r="AV96" i="3"/>
  <c r="DQ37" i="3"/>
  <c r="DJ37" i="3" s="1"/>
  <c r="DQ36" i="3"/>
  <c r="DJ36" i="3" s="1"/>
  <c r="DQ20" i="3"/>
  <c r="DJ20" i="3" s="1"/>
  <c r="DQ47" i="3"/>
  <c r="DJ47" i="3" s="1"/>
  <c r="DQ49" i="3"/>
  <c r="DJ49" i="3" s="1"/>
  <c r="AV65" i="3"/>
  <c r="AV47" i="3"/>
  <c r="DQ50" i="3"/>
  <c r="DJ50" i="3" s="1"/>
  <c r="DQ32" i="3"/>
  <c r="DJ32" i="3" s="1"/>
  <c r="DQ16" i="3"/>
  <c r="DJ16" i="3" s="1"/>
  <c r="AV95" i="3"/>
  <c r="AV57" i="3"/>
  <c r="DQ33" i="3"/>
  <c r="DJ33" i="3" s="1"/>
  <c r="AV89" i="3"/>
  <c r="AV78" i="3"/>
  <c r="AV25" i="3"/>
  <c r="DQ7" i="3"/>
  <c r="DJ7" i="3" s="1"/>
  <c r="DQ52" i="3"/>
  <c r="DJ52" i="3" s="1"/>
  <c r="AV48" i="3"/>
  <c r="AV30" i="3"/>
  <c r="DQ43" i="3"/>
  <c r="DJ43" i="3" s="1"/>
  <c r="AV41" i="3"/>
  <c r="DQ13" i="3"/>
  <c r="DJ13" i="3" s="1"/>
  <c r="AV73" i="3"/>
  <c r="DQ10" i="3"/>
  <c r="DJ10" i="3" s="1"/>
  <c r="DQ46" i="3"/>
  <c r="DJ46" i="3" s="1"/>
  <c r="DQ29" i="3"/>
  <c r="DJ29" i="3" s="1"/>
  <c r="AV9" i="3"/>
  <c r="AV16" i="3"/>
  <c r="DQ39" i="3"/>
  <c r="DJ39" i="3" s="1"/>
  <c r="AV64" i="3"/>
  <c r="AV71" i="3"/>
  <c r="DQ21" i="3"/>
  <c r="DJ21" i="3" s="1"/>
  <c r="DQ40" i="3"/>
  <c r="DJ40" i="3" s="1"/>
  <c r="DQ28" i="3"/>
  <c r="DJ28" i="3" s="1"/>
  <c r="DQ41" i="3"/>
  <c r="DJ41" i="3" s="1"/>
  <c r="AV87" i="3"/>
  <c r="AV17" i="3"/>
  <c r="AV88" i="3"/>
  <c r="AV70" i="3"/>
  <c r="AV40" i="3"/>
  <c r="DQ9" i="3"/>
  <c r="DJ9" i="3" s="1"/>
  <c r="AV22" i="3"/>
  <c r="DQ6" i="3"/>
  <c r="DJ6" i="3" s="1"/>
  <c r="DF8" i="3" l="1"/>
  <c r="DF7" i="3"/>
  <c r="DL40" i="3"/>
  <c r="DL39" i="3"/>
  <c r="DN39" i="3" s="1" a="1"/>
  <c r="DL46" i="3"/>
  <c r="DN46" i="3" s="1" a="1"/>
  <c r="DL52" i="3"/>
  <c r="DL16" i="3"/>
  <c r="DL22" i="3"/>
  <c r="DN22" i="3" s="1" a="1"/>
  <c r="DL18" i="3"/>
  <c r="DL30" i="3"/>
  <c r="AU54" i="3" s="1"/>
  <c r="DL31" i="3"/>
  <c r="DL35" i="3"/>
  <c r="DM35" i="3" s="1"/>
  <c r="DL32" i="3"/>
  <c r="DL14" i="3"/>
  <c r="DM14" i="3" s="1"/>
  <c r="DL34" i="3"/>
  <c r="AU62" i="3" s="1"/>
  <c r="DL53" i="3"/>
  <c r="DN53" i="3" s="1" a="1"/>
  <c r="DL6" i="3"/>
  <c r="DL11" i="3"/>
  <c r="DM11" i="3" s="1"/>
  <c r="DL42" i="3"/>
  <c r="AU78" i="3" s="1"/>
  <c r="DL15" i="3"/>
  <c r="DL13" i="3"/>
  <c r="DM13" i="3" s="1"/>
  <c r="DL25" i="3"/>
  <c r="AU41" i="3" s="1"/>
  <c r="DL33" i="3"/>
  <c r="DN33" i="3" s="1" a="1"/>
  <c r="DL23" i="3"/>
  <c r="DL20" i="3"/>
  <c r="DL7" i="3"/>
  <c r="DN7" i="3" s="1" a="1"/>
  <c r="DL27" i="3"/>
  <c r="DL29" i="3"/>
  <c r="DL48" i="3"/>
  <c r="AU88" i="3" s="1"/>
  <c r="DL10" i="3"/>
  <c r="AU14" i="3" s="1"/>
  <c r="DL38" i="3"/>
  <c r="DL41" i="3"/>
  <c r="DL8" i="3"/>
  <c r="AU8" i="3" s="1"/>
  <c r="DL49" i="3"/>
  <c r="AU89" i="3" s="1"/>
  <c r="DL26" i="3"/>
  <c r="AU46" i="3" s="1"/>
  <c r="DL28" i="3"/>
  <c r="DL50" i="3"/>
  <c r="DN50" i="3" s="1" a="1"/>
  <c r="DL37" i="3"/>
  <c r="AU65" i="3" s="1"/>
  <c r="DL44" i="3"/>
  <c r="AU80" i="3" s="1"/>
  <c r="DL24" i="3"/>
  <c r="DL19" i="3"/>
  <c r="AU31" i="3" s="1"/>
  <c r="DL12" i="3"/>
  <c r="AU16" i="3" s="1"/>
  <c r="DL51" i="3"/>
  <c r="AU95" i="3" s="1"/>
  <c r="DL47" i="3"/>
  <c r="AU87" i="3" s="1"/>
  <c r="DL45" i="3"/>
  <c r="DN45" i="3" s="1" a="1"/>
  <c r="DL9" i="3"/>
  <c r="AU9" i="3" s="1"/>
  <c r="DL17" i="3"/>
  <c r="AU25" i="3" s="1"/>
  <c r="DL36" i="3"/>
  <c r="AU64" i="3" s="1"/>
  <c r="DL21" i="3"/>
  <c r="AU33" i="3" s="1"/>
  <c r="DL43" i="3"/>
  <c r="AU79" i="3" s="1"/>
  <c r="AU72" i="3" l="1"/>
  <c r="DM40" i="3"/>
  <c r="DN40" i="3" a="1"/>
  <c r="AU96" i="3"/>
  <c r="DN52" i="3" a="1"/>
  <c r="AU55" i="3"/>
  <c r="DN31" i="3" a="1"/>
  <c r="AU56" i="3"/>
  <c r="DN32" i="3" a="1"/>
  <c r="DM32" i="3"/>
  <c r="AU47" i="3"/>
  <c r="DN27" i="3" a="1"/>
  <c r="AU71" i="3"/>
  <c r="DM39" i="3"/>
  <c r="AU86" i="3"/>
  <c r="AU85" i="3" s="1"/>
  <c r="AV84" i="3" s="1"/>
  <c r="DM46" i="3"/>
  <c r="AU24" i="3"/>
  <c r="DN16" i="3" a="1"/>
  <c r="AU38" i="3"/>
  <c r="DM22" i="3"/>
  <c r="AU30" i="3"/>
  <c r="DN18" i="3" a="1"/>
  <c r="DM18" i="3"/>
  <c r="AU63" i="3"/>
  <c r="AU61" i="3" s="1"/>
  <c r="AV60" i="3" s="1"/>
  <c r="DN35" i="3" a="1"/>
  <c r="AU97" i="3"/>
  <c r="DM53" i="3"/>
  <c r="AU6" i="3"/>
  <c r="DM6" i="3"/>
  <c r="DN6" i="3" a="1"/>
  <c r="AU23" i="3"/>
  <c r="DM15" i="3"/>
  <c r="DN15" i="3" a="1"/>
  <c r="AU17" i="3"/>
  <c r="DN13" i="3" a="1"/>
  <c r="AU39" i="3"/>
  <c r="DM23" i="3"/>
  <c r="DN23" i="3" a="1"/>
  <c r="DN20" i="3" a="1"/>
  <c r="DM20" i="3"/>
  <c r="AU32" i="3"/>
  <c r="DN29" i="3" a="1"/>
  <c r="AU49" i="3"/>
  <c r="AU70" i="3"/>
  <c r="DM38" i="3"/>
  <c r="AU73" i="3"/>
  <c r="DM41" i="3"/>
  <c r="DN41" i="3" a="1"/>
  <c r="AU48" i="3"/>
  <c r="DM28" i="3"/>
  <c r="AU40" i="3"/>
  <c r="DM24" i="3"/>
  <c r="DM25" i="3"/>
  <c r="DM47" i="3"/>
  <c r="DM42" i="3"/>
  <c r="DM26" i="3"/>
  <c r="DN38" i="3" a="1"/>
  <c r="DM16" i="3"/>
  <c r="DN44" i="3" a="1"/>
  <c r="DN26" i="3" a="1"/>
  <c r="DM44" i="3"/>
  <c r="DM27" i="3"/>
  <c r="DN42" i="3" a="1"/>
  <c r="DN34" i="3" a="1"/>
  <c r="DM34" i="3"/>
  <c r="DM31" i="3"/>
  <c r="DN28" i="3" a="1"/>
  <c r="DN24" i="3" a="1"/>
  <c r="DM29" i="3"/>
  <c r="DN47" i="3" a="1"/>
  <c r="DM50" i="3"/>
  <c r="AU22" i="3"/>
  <c r="DM30" i="3"/>
  <c r="DN12" i="3" a="1"/>
  <c r="DN10" i="3" a="1"/>
  <c r="AU15" i="3"/>
  <c r="DM52" i="3"/>
  <c r="DN9" i="3" a="1"/>
  <c r="DM9" i="3"/>
  <c r="AU7" i="3"/>
  <c r="DM7" i="3"/>
  <c r="DM43" i="3"/>
  <c r="DN14" i="3" a="1"/>
  <c r="DN37" i="3" a="1"/>
  <c r="DN11" i="3" a="1"/>
  <c r="DN25" i="3" a="1"/>
  <c r="DN30" i="3" a="1"/>
  <c r="DN48" i="3" a="1"/>
  <c r="AU94" i="3"/>
  <c r="AU81" i="3"/>
  <c r="AU77" i="3" s="1"/>
  <c r="AV76" i="3" s="1"/>
  <c r="DM8" i="3"/>
  <c r="DN8" i="3" a="1"/>
  <c r="DN19" i="3" a="1"/>
  <c r="DM21" i="3"/>
  <c r="DM19" i="3"/>
  <c r="DM45" i="3"/>
  <c r="DM48" i="3"/>
  <c r="DN21" i="3" a="1"/>
  <c r="DN43" i="3" a="1"/>
  <c r="DN36" i="3" a="1"/>
  <c r="DM36" i="3"/>
  <c r="DN17" i="3" a="1"/>
  <c r="DN51" i="3" a="1"/>
  <c r="DM51" i="3"/>
  <c r="DM12" i="3"/>
  <c r="DM49" i="3"/>
  <c r="DM37" i="3"/>
  <c r="DM10" i="3"/>
  <c r="DN49" i="3" a="1"/>
  <c r="DM17" i="3"/>
  <c r="AU57" i="3"/>
  <c r="DM33" i="3"/>
  <c r="DF9" i="3"/>
  <c r="AU53" i="3" l="1"/>
  <c r="AV52" i="3" s="1"/>
  <c r="AU69" i="3"/>
  <c r="AV68" i="3" s="1"/>
  <c r="AU21" i="3"/>
  <c r="AV20" i="3" s="1"/>
  <c r="AU93" i="3"/>
  <c r="AV92" i="3" s="1"/>
  <c r="AU45" i="3"/>
  <c r="AV44" i="3" s="1"/>
  <c r="AU29" i="3"/>
  <c r="AV28" i="3" s="1"/>
  <c r="AU13" i="3"/>
  <c r="AV12" i="3" s="1"/>
  <c r="AU5" i="3"/>
  <c r="AV4" i="3" s="1"/>
  <c r="AU37" i="3"/>
  <c r="AV36" i="3" s="1"/>
  <c r="DF6" i="3"/>
  <c r="DF43" i="3" l="1"/>
  <c r="DF27" i="3"/>
  <c r="DF23" i="3"/>
  <c r="DF20" i="3"/>
  <c r="DF39" i="3"/>
  <c r="DF53" i="3"/>
  <c r="DF36" i="3"/>
  <c r="DF45" i="3"/>
  <c r="DF46" i="3"/>
  <c r="DF31" i="3"/>
  <c r="DF34" i="3"/>
  <c r="DF29" i="3"/>
  <c r="DF47" i="3"/>
  <c r="DF21" i="3"/>
  <c r="DF50" i="3"/>
  <c r="DF33" i="3"/>
  <c r="DF42" i="3"/>
  <c r="DF25" i="3"/>
  <c r="DF16" i="3"/>
  <c r="DF37" i="3"/>
  <c r="DF28" i="3"/>
  <c r="DF41" i="3"/>
  <c r="DF44" i="3"/>
  <c r="DF40" i="3"/>
  <c r="DF51" i="3"/>
  <c r="DF22" i="3"/>
  <c r="DF12" i="3"/>
  <c r="DF18" i="3"/>
  <c r="DF24" i="3"/>
  <c r="DF32" i="3"/>
  <c r="DF10" i="3"/>
  <c r="DF19" i="3"/>
  <c r="DF14" i="3"/>
  <c r="DF15" i="3"/>
  <c r="DF11" i="3"/>
  <c r="DF17" i="3"/>
  <c r="DF13" i="3"/>
  <c r="DF26" i="3"/>
  <c r="DF48" i="3"/>
  <c r="DF30" i="3"/>
  <c r="DF49" i="3"/>
  <c r="DF52" i="3"/>
  <c r="DF35" i="3"/>
  <c r="DF38"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I67" i="3"/>
  <c r="M107" i="3"/>
  <c r="AA107" i="3" s="1"/>
  <c r="AA33" i="45" s="1"/>
  <c r="H4" i="45"/>
  <c r="AO6" i="3"/>
  <c r="AM6" i="3"/>
  <c r="I4" i="45" s="1"/>
  <c r="AN6" i="3"/>
  <c r="AR6" i="3"/>
  <c r="AA9" i="45"/>
  <c r="AP14" i="3"/>
  <c r="AQ14" i="3"/>
  <c r="AQ6" i="3"/>
  <c r="AP6" i="3"/>
  <c r="AS6" i="3"/>
  <c r="AT6" i="3"/>
  <c r="J4" i="45" s="1"/>
  <c r="H12" i="45"/>
  <c r="AK14" i="3" a="1"/>
  <c r="M113" i="3"/>
  <c r="AA113" i="3" s="1"/>
  <c r="D113" i="3" s="1"/>
  <c r="AK8" i="3" a="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M7" i="3"/>
  <c r="I5" i="45" s="1"/>
  <c r="AS7" i="3"/>
  <c r="AQ7" i="3"/>
  <c r="AN7" i="3"/>
  <c r="AP7" i="3"/>
  <c r="AR9" i="3"/>
  <c r="AT9" i="3"/>
  <c r="J7" i="45" s="1"/>
  <c r="AM9" i="3"/>
  <c r="I7" i="45" s="1"/>
  <c r="AK9" i="3" a="1"/>
  <c r="AO9" i="3"/>
  <c r="H7" i="45"/>
  <c r="AQ9" i="3"/>
  <c r="AN9" i="3"/>
  <c r="AP9" i="3"/>
  <c r="AS9" i="3"/>
  <c r="AK15" i="3" a="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S17" i="3"/>
  <c r="AP54" i="3"/>
  <c r="AQ54" i="3"/>
  <c r="T4" i="45"/>
  <c r="AS54" i="3"/>
  <c r="M110" i="3"/>
  <c r="AA109" i="3" s="1"/>
  <c r="D109" i="3" s="1"/>
  <c r="AN54" i="3"/>
  <c r="AM54" i="3"/>
  <c r="U4" i="45" s="1"/>
  <c r="AT54" i="3"/>
  <c r="V4" i="45" s="1"/>
  <c r="AK54" i="3" a="1"/>
  <c r="AR54" i="3"/>
  <c r="AO54" i="3"/>
  <c r="AM71" i="3"/>
  <c r="U21" i="45" s="1"/>
  <c r="AS71" i="3"/>
  <c r="AN71" i="3"/>
  <c r="AP71" i="3"/>
  <c r="AR71" i="3"/>
  <c r="AO71" i="3"/>
  <c r="N106" i="3"/>
  <c r="AF105" i="3" s="1"/>
  <c r="AQ71" i="3"/>
  <c r="AT71" i="3"/>
  <c r="V21" i="45" s="1"/>
  <c r="T21" i="45"/>
  <c r="AK71" i="3" a="1"/>
  <c r="AN63" i="3"/>
  <c r="AO63" i="3"/>
  <c r="AT63" i="3"/>
  <c r="V13" i="45" s="1"/>
  <c r="T13" i="45"/>
  <c r="N114" i="3"/>
  <c r="AF115" i="3" s="1"/>
  <c r="AM63" i="3"/>
  <c r="U13" i="45" s="1"/>
  <c r="AK63" i="3" a="1"/>
  <c r="AP63" i="3"/>
  <c r="AQ63" i="3"/>
  <c r="AS63" i="3"/>
  <c r="AR63" i="3"/>
  <c r="AK56" i="3" a="1"/>
  <c r="AS56" i="3"/>
  <c r="AR56" i="3"/>
  <c r="AP56" i="3"/>
  <c r="T6" i="45"/>
  <c r="AN56" i="3"/>
  <c r="AM56" i="3"/>
  <c r="U6" i="45" s="1"/>
  <c r="AQ56" i="3"/>
  <c r="AO56" i="3"/>
  <c r="AT56" i="3"/>
  <c r="V6" i="45" s="1"/>
  <c r="AS65" i="3"/>
  <c r="AN65" i="3"/>
  <c r="T15" i="45"/>
  <c r="AT65" i="3"/>
  <c r="V15" i="45" s="1"/>
  <c r="AR65" i="3"/>
  <c r="AM65" i="3"/>
  <c r="U15" i="45" s="1"/>
  <c r="AO65" i="3"/>
  <c r="AP65" i="3"/>
  <c r="AK65" i="3" a="1"/>
  <c r="AQ65" i="3"/>
  <c r="AO78" i="3"/>
  <c r="AM78" i="3"/>
  <c r="U28" i="45" s="1"/>
  <c r="AN78" i="3"/>
  <c r="T28" i="45"/>
  <c r="AK78" i="3" a="1"/>
  <c r="AQ78" i="3"/>
  <c r="AR78" i="3"/>
  <c r="AS78" i="3"/>
  <c r="AP78" i="3"/>
  <c r="AT78" i="3"/>
  <c r="V28" i="45" s="1"/>
  <c r="M114" i="3"/>
  <c r="AA115" i="3" s="1"/>
  <c r="D115" i="3" s="1"/>
  <c r="AT72" i="3"/>
  <c r="V22" i="45" s="1"/>
  <c r="AS72" i="3"/>
  <c r="AP72" i="3"/>
  <c r="AK72" i="3" a="1"/>
  <c r="AN72" i="3"/>
  <c r="T22" i="45"/>
  <c r="AM72" i="3"/>
  <c r="U22" i="45" s="1"/>
  <c r="AR72" i="3"/>
  <c r="AO72" i="3"/>
  <c r="AQ72" i="3"/>
  <c r="AS73" i="3"/>
  <c r="AN73" i="3"/>
  <c r="AP73" i="3"/>
  <c r="T23" i="45"/>
  <c r="AT73" i="3"/>
  <c r="V23" i="45" s="1"/>
  <c r="AR73" i="3"/>
  <c r="AM73" i="3"/>
  <c r="U23" i="45" s="1"/>
  <c r="AO73" i="3"/>
  <c r="AQ73" i="3"/>
  <c r="AK73" i="3" a="1"/>
  <c r="AT96" i="3"/>
  <c r="V46" i="45" s="1"/>
  <c r="AR96" i="3"/>
  <c r="AP96" i="3"/>
  <c r="AQ96" i="3"/>
  <c r="AM96" i="3"/>
  <c r="U46" i="45" s="1"/>
  <c r="AN96" i="3"/>
  <c r="T46" i="45"/>
  <c r="AK96" i="3" a="1"/>
  <c r="AS96" i="3"/>
  <c r="AO96" i="3"/>
  <c r="AP25" i="3"/>
  <c r="AO25" i="3"/>
  <c r="AS25" i="3"/>
  <c r="AQ25" i="3"/>
  <c r="AT25" i="3"/>
  <c r="J23" i="45" s="1"/>
  <c r="AN25" i="3"/>
  <c r="H23" i="45"/>
  <c r="AR25" i="3"/>
  <c r="AK25" i="3" a="1"/>
  <c r="AM25" i="3"/>
  <c r="I23" i="45" s="1"/>
  <c r="BF60" i="3"/>
  <c r="BE60" i="3" s="1"/>
  <c r="BR60" i="3" s="1"/>
  <c r="AR48" i="3"/>
  <c r="AO48" i="3"/>
  <c r="AN48" i="3"/>
  <c r="AK48" i="3" a="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P40" i="3"/>
  <c r="H38" i="45"/>
  <c r="AT40" i="3"/>
  <c r="J38" i="45" s="1"/>
  <c r="AS40" i="3"/>
  <c r="AN40" i="3"/>
  <c r="AR40" i="3"/>
  <c r="AS87" i="3"/>
  <c r="AN87" i="3"/>
  <c r="M111" i="3"/>
  <c r="AA112" i="3" s="1"/>
  <c r="D112" i="3" s="1"/>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R32" i="3"/>
  <c r="AM32" i="3"/>
  <c r="I30" i="45" s="1"/>
  <c r="AT32" i="3"/>
  <c r="J30" i="45" s="1"/>
  <c r="AT16" i="3"/>
  <c r="J14" i="45" s="1"/>
  <c r="AP16" i="3"/>
  <c r="AN16" i="3"/>
  <c r="AK16" i="3" a="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O22" i="3"/>
  <c r="AT22" i="3"/>
  <c r="J20" i="45" s="1"/>
  <c r="AS22" i="3"/>
  <c r="AR22" i="3"/>
  <c r="AK33" i="3" a="1"/>
  <c r="AT33" i="3"/>
  <c r="J31" i="45" s="1"/>
  <c r="AP33" i="3"/>
  <c r="AM33" i="3"/>
  <c r="I31" i="45" s="1"/>
  <c r="H31" i="45"/>
  <c r="AO33" i="3"/>
  <c r="AR33" i="3"/>
  <c r="AN33" i="3"/>
  <c r="AQ33" i="3"/>
  <c r="AS33" i="3"/>
  <c r="AP62" i="3"/>
  <c r="AR62" i="3"/>
  <c r="T12" i="45"/>
  <c r="M112" i="3"/>
  <c r="AA111" i="3" s="1"/>
  <c r="D111" i="3" s="1"/>
  <c r="AK62" i="3" a="1"/>
  <c r="AQ62" i="3"/>
  <c r="AO62" i="3"/>
  <c r="AT62" i="3"/>
  <c r="V12" i="45" s="1"/>
  <c r="AS62" i="3"/>
  <c r="AN62" i="3"/>
  <c r="AM62" i="3"/>
  <c r="U12" i="45" s="1"/>
  <c r="AT86" i="3"/>
  <c r="V36" i="45" s="1"/>
  <c r="AO86" i="3"/>
  <c r="AP86" i="3"/>
  <c r="T36" i="45"/>
  <c r="AQ86" i="3"/>
  <c r="AN86" i="3"/>
  <c r="AK86" i="3" a="1"/>
  <c r="AM86" i="3"/>
  <c r="U36" i="45" s="1"/>
  <c r="AS86" i="3"/>
  <c r="M115" i="3"/>
  <c r="AA116" i="3" s="1"/>
  <c r="D116" i="3" s="1"/>
  <c r="AR86" i="3"/>
  <c r="H28" i="45"/>
  <c r="AN30" i="3"/>
  <c r="AK30" i="3" a="1"/>
  <c r="AP30" i="3"/>
  <c r="AQ30" i="3"/>
  <c r="AT30" i="3"/>
  <c r="J28" i="45" s="1"/>
  <c r="AM30" i="3"/>
  <c r="I28" i="45" s="1"/>
  <c r="AO30" i="3"/>
  <c r="AS30" i="3"/>
  <c r="AR30" i="3"/>
  <c r="M109" i="3"/>
  <c r="AA110" i="3" s="1"/>
  <c r="AT47" i="3"/>
  <c r="J45" i="45" s="1"/>
  <c r="N104" i="3"/>
  <c r="AF102" i="3" s="1"/>
  <c r="H45" i="45"/>
  <c r="AK47" i="3" a="1"/>
  <c r="AR47" i="3"/>
  <c r="AO47" i="3"/>
  <c r="AQ47" i="3"/>
  <c r="AS47" i="3"/>
  <c r="AP47" i="3"/>
  <c r="AN47" i="3"/>
  <c r="AM47" i="3"/>
  <c r="I45" i="45" s="1"/>
  <c r="AQ31" i="3"/>
  <c r="AR31" i="3"/>
  <c r="AT31" i="3"/>
  <c r="J29" i="45" s="1"/>
  <c r="H29" i="45"/>
  <c r="AN31" i="3"/>
  <c r="AP31" i="3"/>
  <c r="AM31" i="3"/>
  <c r="I29" i="45" s="1"/>
  <c r="AO31" i="3"/>
  <c r="M116" i="3"/>
  <c r="AA114" i="3" s="1"/>
  <c r="AK31" i="3" a="1"/>
  <c r="AS31" i="3"/>
  <c r="AM24" i="3"/>
  <c r="I22" i="45" s="1"/>
  <c r="AT24" i="3"/>
  <c r="J22" i="45" s="1"/>
  <c r="AO24" i="3"/>
  <c r="AQ24" i="3"/>
  <c r="AR24" i="3"/>
  <c r="AP24" i="3"/>
  <c r="AK24" i="3" a="1"/>
  <c r="H22" i="45"/>
  <c r="AS24" i="3"/>
  <c r="AN24" i="3"/>
  <c r="AR57" i="3"/>
  <c r="AK57" i="3" a="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Q49" i="3"/>
  <c r="AN49" i="3"/>
  <c r="AS49" i="3"/>
  <c r="AM49" i="3"/>
  <c r="I47" i="45" s="1"/>
  <c r="AN41" i="3"/>
  <c r="H39" i="45"/>
  <c r="AT41" i="3"/>
  <c r="J39" i="45" s="1"/>
  <c r="AP41" i="3"/>
  <c r="AQ41" i="3"/>
  <c r="AS41" i="3"/>
  <c r="AO41" i="3"/>
  <c r="AM41" i="3"/>
  <c r="I39" i="45" s="1"/>
  <c r="AK41" i="3" a="1"/>
  <c r="AR41" i="3"/>
  <c r="AK23" i="3" a="1"/>
  <c r="AT23" i="3"/>
  <c r="J21" i="45" s="1"/>
  <c r="H21" i="45"/>
  <c r="AO23" i="3"/>
  <c r="N103" i="3"/>
  <c r="AF104" i="3" s="1"/>
  <c r="AP23" i="3"/>
  <c r="AS23" i="3"/>
  <c r="AQ23" i="3"/>
  <c r="AN23" i="3"/>
  <c r="AR23" i="3"/>
  <c r="AM23" i="3"/>
  <c r="I21" i="45" s="1"/>
  <c r="N116" i="3"/>
  <c r="AF114" i="3" s="1"/>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M108" i="3"/>
  <c r="AA108" i="3" s="1"/>
  <c r="D108" i="3" s="1"/>
  <c r="AK97" i="3" a="1"/>
  <c r="AN97" i="3"/>
  <c r="AS97" i="3"/>
  <c r="AR97" i="3"/>
  <c r="AM97" i="3"/>
  <c r="U47" i="45" s="1"/>
  <c r="AP97" i="3"/>
  <c r="AQ97" i="3"/>
  <c r="AO97" i="3"/>
  <c r="AT97" i="3"/>
  <c r="V47" i="45" s="1"/>
  <c r="T47" i="45"/>
  <c r="AP95" i="3"/>
  <c r="AR95" i="3"/>
  <c r="AM95" i="3"/>
  <c r="U45" i="45" s="1"/>
  <c r="AO95" i="3"/>
  <c r="N111" i="3"/>
  <c r="AF112" i="3" s="1"/>
  <c r="AS95" i="3"/>
  <c r="AN95" i="3"/>
  <c r="AQ95" i="3"/>
  <c r="AK95" i="3" a="1"/>
  <c r="AT95" i="3"/>
  <c r="V45" i="45" s="1"/>
  <c r="T45" i="45"/>
  <c r="AR39" i="3"/>
  <c r="AM39" i="3"/>
  <c r="I37" i="45" s="1"/>
  <c r="M106" i="3"/>
  <c r="AA105" i="3" s="1"/>
  <c r="AQ39" i="3"/>
  <c r="AS39" i="3"/>
  <c r="AN39" i="3"/>
  <c r="AT39" i="3"/>
  <c r="J37" i="45" s="1"/>
  <c r="H37" i="45"/>
  <c r="AP39" i="3"/>
  <c r="AO39" i="3"/>
  <c r="AK39" i="3" a="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S46" i="3"/>
  <c r="AQ46" i="3"/>
  <c r="AN46" i="3"/>
  <c r="H44" i="45"/>
  <c r="M103" i="3"/>
  <c r="AA104" i="3" s="1"/>
  <c r="AP46" i="3"/>
  <c r="AR46" i="3"/>
  <c r="AO46" i="3"/>
  <c r="AK46" i="3" a="1"/>
  <c r="AM46" i="3"/>
  <c r="I44" i="45" s="1"/>
  <c r="AT46" i="3"/>
  <c r="J44" i="45" s="1"/>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S38" i="3"/>
  <c r="AO38" i="3"/>
  <c r="AQ38" i="3"/>
  <c r="AN38" i="3"/>
  <c r="AR38" i="3"/>
  <c r="AP38" i="3"/>
  <c r="BF59" i="3" l="1"/>
  <c r="BJ59" i="3" s="1"/>
  <c r="D105" i="3"/>
  <c r="AG105" i="3" s="1"/>
  <c r="D114" i="3"/>
  <c r="AG114"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3" i="3"/>
  <c r="M127" i="3"/>
  <c r="AA127" i="3" s="1"/>
  <c r="AG112" i="3"/>
  <c r="M124" i="3"/>
  <c r="AA124" i="3" s="1"/>
  <c r="AG111" i="3"/>
  <c r="N124" i="3"/>
  <c r="AF124" i="3" s="1"/>
  <c r="N125" i="3"/>
  <c r="AF125" i="3" s="1"/>
  <c r="AG109" i="3"/>
  <c r="N120" i="3"/>
  <c r="AF121" i="3" s="1"/>
  <c r="AG106" i="3"/>
  <c r="N123" i="3"/>
  <c r="AF123" i="3" s="1"/>
  <c r="AG108"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N122" i="3" l="1"/>
  <c r="AF122" i="3" s="1"/>
  <c r="D121" i="3"/>
  <c r="BL65" i="3"/>
  <c r="D122" i="3"/>
  <c r="N126" i="3"/>
  <c r="AF126" i="3" s="1"/>
  <c r="C196" i="31" s="1"/>
  <c r="D127" i="3"/>
  <c r="D124" i="3"/>
  <c r="AG124"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M131" i="3"/>
  <c r="AA131" i="3" s="1"/>
  <c r="AG121" i="3"/>
  <c r="C197" i="31"/>
  <c r="AE47" i="45"/>
  <c r="AE40" i="45"/>
  <c r="C188"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2" i="3" l="1"/>
  <c r="M133" i="3"/>
  <c r="AA133" i="3" s="1"/>
  <c r="N134" i="3"/>
  <c r="AF134" i="3" s="1"/>
  <c r="D134" i="3" s="1"/>
  <c r="AG134" i="3" s="1"/>
  <c r="AG127" i="3"/>
  <c r="B206" i="31"/>
  <c r="C206" i="31"/>
  <c r="AE41" i="45"/>
  <c r="M132" i="3"/>
  <c r="AA132" i="3" s="1"/>
  <c r="C211" i="31" s="1"/>
  <c r="D120" i="3"/>
  <c r="BS63" i="3"/>
  <c r="BS68" i="3"/>
  <c r="BS66" i="3"/>
  <c r="BS65" i="3"/>
  <c r="BS58" i="3"/>
  <c r="BS69" i="3"/>
  <c r="BS60" i="3"/>
  <c r="BS64" i="3"/>
  <c r="BS67" i="3"/>
  <c r="BS62" i="3"/>
  <c r="BS61" i="3"/>
  <c r="BS59" i="3"/>
  <c r="C190" i="31"/>
  <c r="AE11" i="45"/>
  <c r="B200" i="31"/>
  <c r="AG126" i="3"/>
  <c r="AI43" i="45"/>
  <c r="C213" i="31"/>
  <c r="AI7" i="45"/>
  <c r="C210" i="31"/>
  <c r="C212" i="31" l="1"/>
  <c r="AI31" i="45"/>
  <c r="AI44" i="45"/>
  <c r="C217" i="31"/>
  <c r="B223" i="31"/>
  <c r="C223" i="31"/>
  <c r="D132" i="3"/>
  <c r="AI19" i="45"/>
  <c r="N139" i="3"/>
  <c r="AF139" i="3" s="1"/>
  <c r="AG120" i="3"/>
  <c r="N131" i="3"/>
  <c r="AF131" i="3" s="1"/>
  <c r="D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C229" i="31" l="1"/>
  <c r="AM38" i="45" a="1"/>
  <c r="N138" i="3"/>
  <c r="AF138" i="3" s="1"/>
  <c r="AG132" i="3"/>
  <c r="M138" i="3"/>
  <c r="AA138" i="3" s="1"/>
  <c r="AG131" i="3"/>
  <c r="AI8" i="45"/>
  <c r="C214" i="31"/>
  <c r="B220" i="31"/>
  <c r="C220" i="31"/>
  <c r="BV61" i="3"/>
  <c r="BV60" i="3"/>
  <c r="BV66" i="3"/>
  <c r="BV69" i="3"/>
  <c r="BV65" i="3"/>
  <c r="BV68" i="3"/>
  <c r="BV62" i="3"/>
  <c r="BV59" i="3"/>
  <c r="BV64" i="3"/>
  <c r="BV58" i="3"/>
  <c r="BV67" i="3"/>
  <c r="BV63" i="3"/>
  <c r="C237" i="31"/>
  <c r="AQ32" i="45"/>
  <c r="D138" i="3" l="1"/>
  <c r="C228" i="31"/>
  <c r="AA147" i="3"/>
  <c r="AM14" i="45"/>
  <c r="AA143" i="3"/>
  <c r="H138" i="3"/>
  <c r="C226" i="31"/>
  <c r="C232" i="31"/>
  <c r="AM13" i="45"/>
  <c r="B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D143" i="3" l="1"/>
  <c r="AG143" i="3" s="1"/>
  <c r="AA152" i="3"/>
  <c r="M143" i="3"/>
  <c r="M147" i="3"/>
  <c r="AG138" i="3"/>
  <c r="D147" i="3"/>
  <c r="AG147" i="3" s="1"/>
  <c r="AA150" i="3"/>
  <c r="AU25" i="45"/>
  <c r="C240" i="31"/>
  <c r="B244" i="31"/>
  <c r="C244" i="31"/>
  <c r="AQ31" i="45"/>
  <c r="C236" i="31"/>
  <c r="BY59" i="3"/>
  <c r="BY63" i="3"/>
  <c r="BY60" i="3"/>
  <c r="BY61" i="3"/>
  <c r="BY68" i="3"/>
  <c r="BY66" i="3"/>
  <c r="BY69" i="3"/>
  <c r="BY64" i="3"/>
  <c r="BY62" i="3"/>
  <c r="BY67" i="3"/>
  <c r="BY58" i="3"/>
  <c r="BY65" i="3"/>
  <c r="AG152" i="3" l="1"/>
  <c r="C252" i="31"/>
  <c r="AZ25" i="45"/>
  <c r="AG150" i="3"/>
  <c r="BA21" i="45"/>
  <c r="C250" i="31"/>
  <c r="BZ65" i="3"/>
  <c r="CA65" i="3" s="1"/>
  <c r="BZ60" i="3"/>
  <c r="BZ64" i="3"/>
  <c r="BZ58" i="3"/>
  <c r="BZ59" i="3"/>
  <c r="CA59" i="3" s="1"/>
  <c r="BZ61" i="3"/>
  <c r="BZ68" i="3"/>
  <c r="BZ69" i="3"/>
  <c r="BZ67" i="3"/>
  <c r="BZ62" i="3"/>
  <c r="BZ63" i="3"/>
  <c r="BZ66" i="3"/>
  <c r="BM8" i="45" l="1"/>
  <c r="BM42" i="45"/>
  <c r="BM44" i="45"/>
  <c r="BM26" i="45"/>
  <c r="BM41" i="45"/>
  <c r="BM35" i="45"/>
  <c r="BM29" i="45"/>
  <c r="BM12" i="45"/>
  <c r="BM49" i="45"/>
  <c r="BM50" i="45"/>
  <c r="BM32" i="45"/>
  <c r="BM40" i="45"/>
  <c r="BM10" i="45"/>
  <c r="BM17" i="45"/>
  <c r="BM51" i="45"/>
  <c r="BM28" i="45"/>
  <c r="BM39" i="45"/>
  <c r="BM38" i="45"/>
  <c r="BM13" i="45"/>
  <c r="BM21" i="45"/>
  <c r="BM46" i="45"/>
  <c r="BM47" i="45"/>
  <c r="BM33" i="45"/>
  <c r="BM9" i="45"/>
  <c r="BM20" i="45"/>
  <c r="BM19" i="45"/>
  <c r="BM31" i="45"/>
  <c r="BM22" i="45"/>
  <c r="BM34" i="45"/>
  <c r="BM30" i="45"/>
  <c r="BM11" i="45"/>
  <c r="BM18" i="45"/>
  <c r="BM16" i="45"/>
  <c r="BM7" i="45"/>
  <c r="BM36" i="45"/>
  <c r="BM24" i="45"/>
  <c r="BM14" i="45"/>
  <c r="BM27" i="45"/>
  <c r="BM37" i="45"/>
  <c r="BM5" i="45"/>
  <c r="BM15" i="45"/>
  <c r="BM25" i="45"/>
  <c r="BM43" i="45"/>
  <c r="BM45" i="45"/>
  <c r="BM4" i="45"/>
  <c r="BM23" i="45"/>
  <c r="BM48" i="45"/>
  <c r="BM6" i="45"/>
  <c r="BO38" i="45"/>
  <c r="BO17" i="45"/>
  <c r="BO22" i="45"/>
  <c r="BO47" i="45"/>
  <c r="BO39" i="45"/>
  <c r="BO45" i="45"/>
  <c r="BO46" i="45"/>
  <c r="BO41" i="45"/>
  <c r="BO31" i="45"/>
  <c r="BO37" i="45"/>
  <c r="BO12" i="45"/>
  <c r="BO14" i="45"/>
  <c r="BO10" i="45"/>
  <c r="BO26" i="45"/>
  <c r="BO30" i="45"/>
  <c r="BO16" i="45"/>
  <c r="BO34" i="45"/>
  <c r="BO24" i="45"/>
  <c r="BO40" i="45"/>
  <c r="BO8" i="45"/>
  <c r="BO20" i="45"/>
  <c r="BO51" i="45"/>
  <c r="BO28" i="45"/>
  <c r="BO7" i="45"/>
  <c r="BO49" i="45"/>
  <c r="BO25" i="45"/>
  <c r="BO19" i="45"/>
  <c r="BO21" i="45"/>
  <c r="BO35" i="45"/>
  <c r="BO43" i="45"/>
  <c r="BO48" i="45"/>
  <c r="BO32" i="45"/>
  <c r="BO50" i="45"/>
  <c r="BO36" i="45"/>
  <c r="BO33" i="45"/>
  <c r="BO15" i="45"/>
  <c r="BO29" i="45"/>
  <c r="BO44" i="45"/>
  <c r="BO13" i="45"/>
  <c r="BO18" i="45"/>
  <c r="BO6" i="45"/>
  <c r="BO9" i="45"/>
  <c r="BO23" i="45"/>
  <c r="BO4" i="45"/>
  <c r="BO5" i="45"/>
  <c r="BO42" i="45"/>
  <c r="BO11" i="45"/>
  <c r="BO27"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M139" i="3" l="1"/>
  <c r="AA139" i="3" s="1"/>
  <c r="AG133" i="3"/>
  <c r="C221" i="31"/>
  <c r="C215" i="31"/>
  <c r="B221" i="31"/>
  <c r="AI20" i="45"/>
  <c r="B222" i="31"/>
  <c r="C222" i="31"/>
  <c r="AI32" i="45"/>
  <c r="C216" i="31"/>
  <c r="D139" i="3" l="1"/>
  <c r="AF147" i="3"/>
  <c r="C233" i="31"/>
  <c r="B233" i="31"/>
  <c r="C227" i="31"/>
  <c r="AM37" i="45"/>
  <c r="AM38" i="45"/>
  <c r="AK113" i="3"/>
  <c r="AK112" i="3"/>
  <c r="AK111" i="3"/>
  <c r="AK110" i="3"/>
  <c r="AK109" i="3"/>
  <c r="AK108" i="3"/>
  <c r="AK107" i="3"/>
  <c r="AK106" i="3"/>
  <c r="AK105" i="3"/>
  <c r="AK104" i="3"/>
  <c r="AK103" i="3"/>
  <c r="AK102" i="3"/>
  <c r="AK97" i="3"/>
  <c r="AE97" i="3"/>
  <c r="AB97" i="3"/>
  <c r="AK96" i="3"/>
  <c r="AE96" i="3"/>
  <c r="AB96" i="3"/>
  <c r="AK95" i="3"/>
  <c r="AE95" i="3"/>
  <c r="AB95" i="3"/>
  <c r="AK94" i="3"/>
  <c r="AE94" i="3"/>
  <c r="AB94" i="3"/>
  <c r="AE93" i="3"/>
  <c r="AB93" i="3"/>
  <c r="AE92" i="3"/>
  <c r="AB92" i="3"/>
  <c r="AK89" i="3"/>
  <c r="AE89" i="3"/>
  <c r="AB89" i="3"/>
  <c r="AK88" i="3"/>
  <c r="AE88" i="3"/>
  <c r="AB88" i="3"/>
  <c r="AK87" i="3"/>
  <c r="AE87" i="3"/>
  <c r="AB87" i="3"/>
  <c r="AK86" i="3"/>
  <c r="AE86" i="3"/>
  <c r="AB86" i="3"/>
  <c r="AE85" i="3"/>
  <c r="AB85" i="3"/>
  <c r="AE84" i="3"/>
  <c r="AB84" i="3"/>
  <c r="AK81" i="3"/>
  <c r="AE81" i="3"/>
  <c r="AB81" i="3"/>
  <c r="AK80" i="3"/>
  <c r="AE80" i="3"/>
  <c r="AB80" i="3"/>
  <c r="AK79" i="3"/>
  <c r="AE79" i="3"/>
  <c r="AB79" i="3"/>
  <c r="AK78" i="3"/>
  <c r="AE78" i="3"/>
  <c r="AB78" i="3"/>
  <c r="AE77" i="3"/>
  <c r="AB77" i="3"/>
  <c r="AE76" i="3"/>
  <c r="AB76" i="3"/>
  <c r="AK73" i="3"/>
  <c r="AE73" i="3"/>
  <c r="AB73" i="3"/>
  <c r="AK72" i="3"/>
  <c r="AE72" i="3"/>
  <c r="AB72" i="3"/>
  <c r="AK71" i="3"/>
  <c r="AE71" i="3"/>
  <c r="AB71" i="3"/>
  <c r="AK70" i="3"/>
  <c r="AE70" i="3"/>
  <c r="AB70" i="3"/>
  <c r="DN69" i="3"/>
  <c r="AE69" i="3"/>
  <c r="AB69" i="3"/>
  <c r="DN68" i="3"/>
  <c r="AE68" i="3"/>
  <c r="AB68" i="3"/>
  <c r="DN67" i="3"/>
  <c r="DN66" i="3"/>
  <c r="DN65" i="3"/>
  <c r="AK65" i="3"/>
  <c r="AE65" i="3"/>
  <c r="AB65" i="3"/>
  <c r="DN64" i="3"/>
  <c r="AK64" i="3"/>
  <c r="AE64" i="3"/>
  <c r="AB64" i="3"/>
  <c r="DN63" i="3"/>
  <c r="AK63" i="3"/>
  <c r="AE63" i="3"/>
  <c r="AB63" i="3"/>
  <c r="DN62" i="3"/>
  <c r="AK62" i="3"/>
  <c r="AE62" i="3"/>
  <c r="AB62" i="3"/>
  <c r="DN61" i="3"/>
  <c r="AE61" i="3"/>
  <c r="AB61" i="3"/>
  <c r="DN60" i="3"/>
  <c r="AE60" i="3"/>
  <c r="AB60" i="3"/>
  <c r="DN59" i="3"/>
  <c r="DN58" i="3"/>
  <c r="AK57" i="3"/>
  <c r="AE57" i="3"/>
  <c r="AB57" i="3"/>
  <c r="AK56" i="3"/>
  <c r="AE56" i="3"/>
  <c r="AB56" i="3"/>
  <c r="AK55" i="3"/>
  <c r="AE55" i="3"/>
  <c r="AB55" i="3"/>
  <c r="AK54" i="3"/>
  <c r="AE54" i="3"/>
  <c r="AB54" i="3"/>
  <c r="DN53" i="3"/>
  <c r="AE53" i="3"/>
  <c r="AB53" i="3"/>
  <c r="DN52" i="3"/>
  <c r="AE52" i="3"/>
  <c r="AB52" i="3"/>
  <c r="DN51" i="3"/>
  <c r="DN50" i="3"/>
  <c r="DN49" i="3"/>
  <c r="AK49" i="3"/>
  <c r="AE49" i="3"/>
  <c r="AB49" i="3"/>
  <c r="DN48" i="3"/>
  <c r="AK48" i="3"/>
  <c r="AE48" i="3"/>
  <c r="AB48" i="3"/>
  <c r="DN47" i="3"/>
  <c r="AK47" i="3"/>
  <c r="AE47" i="3"/>
  <c r="AB47" i="3"/>
  <c r="DN46" i="3"/>
  <c r="AK46" i="3"/>
  <c r="AE46" i="3"/>
  <c r="AB46" i="3"/>
  <c r="DN45" i="3"/>
  <c r="AE45" i="3"/>
  <c r="AB45" i="3"/>
  <c r="DN44" i="3"/>
  <c r="AE44" i="3"/>
  <c r="AB44" i="3"/>
  <c r="DN43" i="3"/>
  <c r="DN42" i="3"/>
  <c r="DN41" i="3"/>
  <c r="AK41" i="3"/>
  <c r="AE41" i="3"/>
  <c r="AB41" i="3"/>
  <c r="DN40" i="3"/>
  <c r="AK40" i="3"/>
  <c r="AE40" i="3"/>
  <c r="AB40" i="3"/>
  <c r="DN39" i="3"/>
  <c r="AK39" i="3"/>
  <c r="AE39" i="3"/>
  <c r="AB39" i="3"/>
  <c r="DN38" i="3"/>
  <c r="AK38" i="3"/>
  <c r="AE38" i="3"/>
  <c r="AB38" i="3"/>
  <c r="DN37" i="3"/>
  <c r="AE37" i="3"/>
  <c r="AB37" i="3"/>
  <c r="DN36" i="3"/>
  <c r="AE36" i="3"/>
  <c r="AB36" i="3"/>
  <c r="DN35" i="3"/>
  <c r="DN34" i="3"/>
  <c r="DN33" i="3"/>
  <c r="AK33" i="3"/>
  <c r="AE33" i="3"/>
  <c r="AB33" i="3"/>
  <c r="DN32" i="3"/>
  <c r="AK32" i="3"/>
  <c r="AE32" i="3"/>
  <c r="AB32" i="3"/>
  <c r="DN31" i="3"/>
  <c r="AK31" i="3"/>
  <c r="AE31" i="3"/>
  <c r="AB31" i="3"/>
  <c r="DN30" i="3"/>
  <c r="AK30" i="3"/>
  <c r="AE30" i="3"/>
  <c r="AB30" i="3"/>
  <c r="DN29" i="3"/>
  <c r="AE29" i="3"/>
  <c r="AB29" i="3"/>
  <c r="DN28" i="3"/>
  <c r="AE28" i="3"/>
  <c r="AB28" i="3"/>
  <c r="DN27" i="3"/>
  <c r="DN26" i="3"/>
  <c r="DN25" i="3"/>
  <c r="AK25" i="3"/>
  <c r="AE25" i="3"/>
  <c r="AB25" i="3"/>
  <c r="DN24" i="3"/>
  <c r="AK24" i="3"/>
  <c r="AE24" i="3"/>
  <c r="AB24" i="3"/>
  <c r="DN23" i="3"/>
  <c r="AK23" i="3"/>
  <c r="AE23" i="3"/>
  <c r="AB23" i="3"/>
  <c r="DN22" i="3"/>
  <c r="AK22" i="3"/>
  <c r="AE22" i="3"/>
  <c r="AB22" i="3"/>
  <c r="DN21" i="3"/>
  <c r="AE21" i="3"/>
  <c r="AB21" i="3"/>
  <c r="DN20" i="3"/>
  <c r="AE20" i="3"/>
  <c r="AB20" i="3"/>
  <c r="DN19" i="3"/>
  <c r="DN18" i="3"/>
  <c r="DN17" i="3"/>
  <c r="AK17" i="3"/>
  <c r="AE17" i="3"/>
  <c r="AB17" i="3"/>
  <c r="DN16" i="3"/>
  <c r="AK16" i="3"/>
  <c r="AE16" i="3"/>
  <c r="AB16" i="3"/>
  <c r="DN15" i="3"/>
  <c r="AK15" i="3"/>
  <c r="AE15" i="3"/>
  <c r="AB15" i="3"/>
  <c r="DN14" i="3"/>
  <c r="AK14" i="3"/>
  <c r="AE14" i="3"/>
  <c r="AB14" i="3"/>
  <c r="DN13" i="3"/>
  <c r="AE13" i="3"/>
  <c r="AB13" i="3"/>
  <c r="DN12" i="3"/>
  <c r="AE12" i="3"/>
  <c r="AB12" i="3"/>
  <c r="DN11" i="3"/>
  <c r="DN10" i="3"/>
  <c r="DN9" i="3"/>
  <c r="AK9" i="3"/>
  <c r="AE9" i="3"/>
  <c r="AB9" i="3"/>
  <c r="DN8" i="3"/>
  <c r="AK8" i="3"/>
  <c r="AE8" i="3"/>
  <c r="AB8" i="3"/>
  <c r="DN7" i="3"/>
  <c r="AK7" i="3"/>
  <c r="AE7" i="3"/>
  <c r="AB7" i="3"/>
  <c r="DN6" i="3"/>
  <c r="AK6" i="3"/>
  <c r="AE6" i="3"/>
  <c r="AB6" i="3"/>
  <c r="AE5" i="3"/>
  <c r="AB5" i="3"/>
  <c r="AE4" i="3"/>
  <c r="AB4" i="3"/>
  <c r="AA151" i="3" l="1"/>
  <c r="H147" i="3"/>
  <c r="C241" i="31"/>
  <c r="AU26" i="45"/>
  <c r="C247" i="31"/>
  <c r="B247" i="31"/>
  <c r="AG139" i="3"/>
  <c r="N143" i="3"/>
  <c r="N147" i="3"/>
  <c r="BB23" i="45" l="1"/>
  <c r="AG151" i="3"/>
  <c r="C251" i="31"/>
  <c r="AJ151" i="3"/>
  <c r="AJ155" i="3"/>
  <c r="BN20" i="45" l="1"/>
  <c r="BL20" i="45" s="1"/>
  <c r="BK20" i="45" s="1"/>
  <c r="BJ20" i="45" s="1"/>
  <c r="BI20" i="45" s="1"/>
  <c r="BH20" i="45" s="1"/>
  <c r="BN9" i="45"/>
  <c r="BL9" i="45" s="1"/>
  <c r="BK9" i="45" s="1"/>
  <c r="BJ9" i="45" s="1"/>
  <c r="BI9" i="45" s="1"/>
  <c r="BH9" i="45" s="1"/>
  <c r="BN46" i="45"/>
  <c r="BL46" i="45" s="1"/>
  <c r="BK46" i="45" s="1"/>
  <c r="BJ46" i="45" s="1"/>
  <c r="BI46" i="45" s="1"/>
  <c r="BH46" i="45" s="1"/>
  <c r="BN30" i="45"/>
  <c r="BL30" i="45" s="1"/>
  <c r="BK30" i="45" s="1"/>
  <c r="BJ30" i="45" s="1"/>
  <c r="BI30" i="45" s="1"/>
  <c r="BH30" i="45" s="1"/>
  <c r="BN10" i="45"/>
  <c r="BL10" i="45" s="1"/>
  <c r="BK10" i="45" s="1"/>
  <c r="BJ10" i="45" s="1"/>
  <c r="BI10" i="45" s="1"/>
  <c r="BH10" i="45" s="1"/>
  <c r="BN12" i="45"/>
  <c r="BL12" i="45" s="1"/>
  <c r="BK12" i="45" s="1"/>
  <c r="BJ12" i="45" s="1"/>
  <c r="BI12" i="45" s="1"/>
  <c r="BH12" i="45" s="1"/>
  <c r="BN43" i="45"/>
  <c r="BL43" i="45" s="1"/>
  <c r="BK43" i="45" s="1"/>
  <c r="BJ43" i="45" s="1"/>
  <c r="BI43" i="45" s="1"/>
  <c r="BH43" i="45" s="1"/>
  <c r="BN34" i="45"/>
  <c r="BL34" i="45" s="1"/>
  <c r="BK34" i="45" s="1"/>
  <c r="BJ34" i="45" s="1"/>
  <c r="BI34" i="45" s="1"/>
  <c r="BH34" i="45" s="1"/>
  <c r="BN15" i="45"/>
  <c r="BL15" i="45" s="1"/>
  <c r="BK15" i="45" s="1"/>
  <c r="BJ15" i="45" s="1"/>
  <c r="BI15" i="45" s="1"/>
  <c r="BH15" i="45" s="1"/>
  <c r="BN33" i="45"/>
  <c r="BL33" i="45" s="1"/>
  <c r="BK33" i="45" s="1"/>
  <c r="BJ33" i="45" s="1"/>
  <c r="BI33" i="45" s="1"/>
  <c r="BH33" i="45" s="1"/>
  <c r="BN4" i="45"/>
  <c r="BL4" i="45" s="1"/>
  <c r="BK4" i="45" s="1"/>
  <c r="BJ4" i="45" s="1"/>
  <c r="BI4" i="45" s="1"/>
  <c r="BH4" i="45" s="1"/>
  <c r="BN25" i="45"/>
  <c r="BL25" i="45" s="1"/>
  <c r="BK25" i="45" s="1"/>
  <c r="BJ25" i="45" s="1"/>
  <c r="BI25" i="45" s="1"/>
  <c r="BH25" i="45" s="1"/>
  <c r="BN13" i="45"/>
  <c r="BL13" i="45" s="1"/>
  <c r="BK13" i="45" s="1"/>
  <c r="BJ13" i="45" s="1"/>
  <c r="BI13" i="45" s="1"/>
  <c r="BH13" i="45" s="1"/>
  <c r="BN16" i="45"/>
  <c r="BL16" i="45" s="1"/>
  <c r="BK16" i="45" s="1"/>
  <c r="BJ16" i="45" s="1"/>
  <c r="BI16" i="45" s="1"/>
  <c r="BH16" i="45" s="1"/>
  <c r="BN29" i="45"/>
  <c r="BL29" i="45" s="1"/>
  <c r="BK29" i="45" s="1"/>
  <c r="BJ29" i="45" s="1"/>
  <c r="BI29" i="45" s="1"/>
  <c r="BH29" i="45" s="1"/>
  <c r="BN50" i="45"/>
  <c r="BL50" i="45" s="1"/>
  <c r="BK50" i="45" s="1"/>
  <c r="BJ50" i="45" s="1"/>
  <c r="BI50" i="45" s="1"/>
  <c r="BH50" i="45" s="1"/>
  <c r="BN24" i="45"/>
  <c r="BL24" i="45" s="1"/>
  <c r="BK24" i="45" s="1"/>
  <c r="BJ24" i="45" s="1"/>
  <c r="BI24" i="45" s="1"/>
  <c r="BH24" i="45" s="1"/>
  <c r="BN51" i="45"/>
  <c r="BL51" i="45" s="1"/>
  <c r="BK51" i="45" s="1"/>
  <c r="BJ51" i="45" s="1"/>
  <c r="BI51" i="45" s="1"/>
  <c r="BH51" i="45" s="1"/>
  <c r="BN23" i="45"/>
  <c r="BL23" i="45" s="1"/>
  <c r="BK23" i="45" s="1"/>
  <c r="BJ23" i="45" s="1"/>
  <c r="BI23" i="45" s="1"/>
  <c r="BH23" i="45" s="1"/>
  <c r="BN6" i="45"/>
  <c r="BL6" i="45" s="1"/>
  <c r="BK6" i="45" s="1"/>
  <c r="BJ6" i="45" s="1"/>
  <c r="BI6" i="45" s="1"/>
  <c r="BH6" i="45" s="1"/>
  <c r="BN14" i="45"/>
  <c r="BL14" i="45" s="1"/>
  <c r="BK14" i="45" s="1"/>
  <c r="BJ14" i="45" s="1"/>
  <c r="BI14" i="45" s="1"/>
  <c r="BH14" i="45" s="1"/>
  <c r="BN39" i="45"/>
  <c r="BL39" i="45" s="1"/>
  <c r="BK39" i="45" s="1"/>
  <c r="BJ39" i="45" s="1"/>
  <c r="BI39" i="45" s="1"/>
  <c r="BH39" i="45" s="1"/>
  <c r="BN38" i="45"/>
  <c r="BL38" i="45" s="1"/>
  <c r="BK38" i="45" s="1"/>
  <c r="BJ38" i="45" s="1"/>
  <c r="BI38" i="45" s="1"/>
  <c r="BH38" i="45" s="1"/>
  <c r="BN31" i="45"/>
  <c r="BL31" i="45" s="1"/>
  <c r="BK31" i="45" s="1"/>
  <c r="BJ31" i="45" s="1"/>
  <c r="BI31" i="45" s="1"/>
  <c r="BH31" i="45" s="1"/>
  <c r="BN45" i="45"/>
  <c r="BL45" i="45" s="1"/>
  <c r="BK45" i="45" s="1"/>
  <c r="BJ45" i="45" s="1"/>
  <c r="BI45" i="45" s="1"/>
  <c r="BH45" i="45" s="1"/>
  <c r="BN22" i="45"/>
  <c r="BL22" i="45" s="1"/>
  <c r="BK22" i="45" s="1"/>
  <c r="BJ22" i="45" s="1"/>
  <c r="BI22" i="45" s="1"/>
  <c r="BH22" i="45" s="1"/>
  <c r="BN48" i="45"/>
  <c r="BL48" i="45" s="1"/>
  <c r="BK48" i="45" s="1"/>
  <c r="BJ48" i="45" s="1"/>
  <c r="BI48" i="45" s="1"/>
  <c r="BH48" i="45" s="1"/>
  <c r="BN18" i="45"/>
  <c r="BL18" i="45" s="1"/>
  <c r="BK18" i="45" s="1"/>
  <c r="BJ18" i="45" s="1"/>
  <c r="BI18" i="45" s="1"/>
  <c r="BH18" i="45" s="1"/>
  <c r="BN8" i="45"/>
  <c r="BL8" i="45" s="1"/>
  <c r="BK8" i="45" s="1"/>
  <c r="BJ8" i="45" s="1"/>
  <c r="BI8" i="45" s="1"/>
  <c r="BH8" i="45" s="1"/>
  <c r="BN41" i="45"/>
  <c r="BL41" i="45" s="1"/>
  <c r="BK41" i="45" s="1"/>
  <c r="BJ41" i="45" s="1"/>
  <c r="BI41" i="45" s="1"/>
  <c r="BH41" i="45" s="1"/>
  <c r="BN32" i="45"/>
  <c r="BL32" i="45" s="1"/>
  <c r="BK32" i="45" s="1"/>
  <c r="BJ32" i="45" s="1"/>
  <c r="BI32" i="45" s="1"/>
  <c r="BH32" i="45" s="1"/>
  <c r="BN47" i="45"/>
  <c r="BL47" i="45" s="1"/>
  <c r="BK47" i="45" s="1"/>
  <c r="BJ47" i="45" s="1"/>
  <c r="BI47" i="45" s="1"/>
  <c r="BH47" i="45" s="1"/>
  <c r="BN5" i="45"/>
  <c r="BL5" i="45" s="1"/>
  <c r="BK5" i="45" s="1"/>
  <c r="BJ5" i="45" s="1"/>
  <c r="BI5" i="45" s="1"/>
  <c r="BH5" i="45" s="1"/>
  <c r="BN26" i="45"/>
  <c r="BL26" i="45" s="1"/>
  <c r="BK26" i="45" s="1"/>
  <c r="BJ26" i="45" s="1"/>
  <c r="BI26" i="45" s="1"/>
  <c r="BH26" i="45" s="1"/>
  <c r="BN35" i="45"/>
  <c r="BL35" i="45" s="1"/>
  <c r="BK35" i="45" s="1"/>
  <c r="BJ35" i="45" s="1"/>
  <c r="BI35" i="45" s="1"/>
  <c r="BH35" i="45" s="1"/>
  <c r="BN42" i="45"/>
  <c r="BL42" i="45" s="1"/>
  <c r="BK42" i="45" s="1"/>
  <c r="BJ42" i="45" s="1"/>
  <c r="BI42" i="45" s="1"/>
  <c r="BH42" i="45" s="1"/>
  <c r="BN49" i="45"/>
  <c r="BL49" i="45" s="1"/>
  <c r="BK49" i="45" s="1"/>
  <c r="BJ49" i="45" s="1"/>
  <c r="BI49" i="45" s="1"/>
  <c r="BH49" i="45" s="1"/>
  <c r="BN37" i="45"/>
  <c r="BL37" i="45" s="1"/>
  <c r="BK37" i="45" s="1"/>
  <c r="BJ37" i="45" s="1"/>
  <c r="BI37" i="45" s="1"/>
  <c r="BH37" i="45" s="1"/>
  <c r="BN17" i="45"/>
  <c r="BL17" i="45" s="1"/>
  <c r="BK17" i="45" s="1"/>
  <c r="BJ17" i="45" s="1"/>
  <c r="BI17" i="45" s="1"/>
  <c r="BH17" i="45" s="1"/>
  <c r="BN28" i="45"/>
  <c r="BL28" i="45" s="1"/>
  <c r="BK28" i="45" s="1"/>
  <c r="BJ28" i="45" s="1"/>
  <c r="BI28" i="45" s="1"/>
  <c r="BH28" i="45" s="1"/>
  <c r="BN40" i="45"/>
  <c r="BL40" i="45" s="1"/>
  <c r="BK40" i="45" s="1"/>
  <c r="BJ40" i="45" s="1"/>
  <c r="BI40" i="45" s="1"/>
  <c r="BH40" i="45" s="1"/>
  <c r="BN11" i="45"/>
  <c r="BL11" i="45" s="1"/>
  <c r="BK11" i="45" s="1"/>
  <c r="BJ11" i="45" s="1"/>
  <c r="BI11" i="45" s="1"/>
  <c r="BH11" i="45" s="1"/>
  <c r="BN21" i="45"/>
  <c r="BL21" i="45" s="1"/>
  <c r="BK21" i="45" s="1"/>
  <c r="BJ21" i="45" s="1"/>
  <c r="BI21" i="45" s="1"/>
  <c r="BH21" i="45" s="1"/>
  <c r="BN19" i="45"/>
  <c r="BL19" i="45" s="1"/>
  <c r="BK19" i="45" s="1"/>
  <c r="BJ19" i="45" s="1"/>
  <c r="BI19" i="45" s="1"/>
  <c r="BH19" i="45" s="1"/>
  <c r="BN44" i="45"/>
  <c r="BL44" i="45" s="1"/>
  <c r="BK44" i="45" s="1"/>
  <c r="BJ44" i="45" s="1"/>
  <c r="BI44" i="45" s="1"/>
  <c r="BH44" i="45" s="1"/>
  <c r="BN7" i="45"/>
  <c r="BL7" i="45" s="1"/>
  <c r="BK7" i="45" s="1"/>
  <c r="BJ7" i="45" s="1"/>
  <c r="BI7" i="45" s="1"/>
  <c r="BH7" i="45" s="1"/>
  <c r="BN27" i="45"/>
  <c r="BL27" i="45" s="1"/>
  <c r="BK27" i="45" s="1"/>
  <c r="BJ27" i="45" s="1"/>
  <c r="BI27" i="45" s="1"/>
  <c r="BH27" i="45" s="1"/>
  <c r="BN36" i="45"/>
  <c r="BL36" i="45" s="1"/>
  <c r="BK36" i="45" s="1"/>
  <c r="BJ36" i="45" s="1"/>
  <c r="BI36" i="45" s="1"/>
  <c r="BH36"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<sst xmlns="http://schemas.openxmlformats.org/spreadsheetml/2006/main" count="6764" uniqueCount="1518">
  <si>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</si>
  <si>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</si>
  <si>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</si>
  <si>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</si>
  <si>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</si>
  <si>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</si>
  <si>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</si>
  <si>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</si>
  <si>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</si>
  <si>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</si>
  <si>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</si>
  <si>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</si>
  <si>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</si>
  <si>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</si>
  <si>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</si>
  <si>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</si>
  <si>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</si>
  <si>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</si>
  <si>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</si>
  <si>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</si>
  <si>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</si>
  <si>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</si>
  <si>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</si>
  <si>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</si>
  <si>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</si>
  <si>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</si>
  <si>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</si>
  <si>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</si>
  <si>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</si>
  <si>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</si>
  <si>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</si>
  <si>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</si>
  <si>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</si>
  <si>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</si>
  <si>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</si>
  <si>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</si>
  <si>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</si>
  <si>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</si>
  <si>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</si>
  <si>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</si>
  <si>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</si>
  <si>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</si>
  <si>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</si>
  <si>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</si>
  <si>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</si>
  <si>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</si>
  <si>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</si>
  <si>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</si>
  <si>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</si>
  <si>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</si>
  <si>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</si>
  <si>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</si>
  <si>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</si>
  <si>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</si>
  <si>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</si>
  <si>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</si>
  <si>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</si>
  <si>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</si>
  <si>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</si>
  <si>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</si>
  <si>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</si>
  <si>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</si>
  <si>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</si>
  <si>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</si>
  <si>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</si>
  <si>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</si>
  <si>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</si>
  <si>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</si>
  <si>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</si>
  <si>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</si>
  <si>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</si>
  <si>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</si>
  <si>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</si>
  <si>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</si>
  <si>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</si>
  <si>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</si>
  <si>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</si>
  <si>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</si>
  <si>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</si>
  <si>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</si>
  <si>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</si>
  <si>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</si>
  <si>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</si>
  <si>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</si>
  <si>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</si>
  <si>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</si>
  <si>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</si>
  <si>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</si>
  <si>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</si>
  <si>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</si>
  <si>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</si>
  <si>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</si>
  <si>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</si>
  <si>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</si>
  <si>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</si>
  <si>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</si>
  <si>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</si>
  <si>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</si>
  <si>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</si>
  <si>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</si>
  <si>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</si>
  <si>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</si>
  <si>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</si>
  <si>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</si>
  <si>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</si>
  <si>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</si>
  <si>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</si>
  <si>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</si>
  <si>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</si>
  <si>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</si>
  <si>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</si>
  <si>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</si>
  <si>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</si>
  <si>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</si>
  <si>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</si>
  <si>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</si>
  <si>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</si>
  <si>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</si>
  <si>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</si>
  <si>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</si>
  <si>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</si>
  <si>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</si>
  <si>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</si>
  <si>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</si>
  <si>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</si>
  <si>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</si>
  <si>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</si>
  <si>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</si>
  <si>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</si>
  <si>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</si>
  <si>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</si>
  <si>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</si>
  <si>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</si>
  <si>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</si>
  <si>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</si>
  <si>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</si>
  <si>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</si>
  <si>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</si>
  <si>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</si>
  <si>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</si>
  <si>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</si>
  <si>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</si>
  <si>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</si>
  <si>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</si>
  <si>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</si>
  <si>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</si>
  <si>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</si>
  <si>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</si>
  <si>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</si>
  <si>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</si>
  <si>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</si>
  <si>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</si>
  <si>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</si>
  <si>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</si>
  <si>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</si>
  <si>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</si>
  <si>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</si>
  <si>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</si>
  <si>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</si>
  <si>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</si>
  <si>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</si>
  <si>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</si>
  <si>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</si>
  <si>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</si>
  <si>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</si>
  <si>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</si>
  <si>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</si>
  <si>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</si>
  <si>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</si>
  <si>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</si>
  <si>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</si>
  <si>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</si>
  <si>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</si>
  <si>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</si>
  <si>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</si>
  <si>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</si>
  <si>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</si>
  <si>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</si>
  <si>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</si>
  <si>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</si>
  <si>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</si>
  <si>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</si>
  <si>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</si>
  <si>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</si>
  <si>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</si>
  <si>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</si>
  <si>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</si>
  <si>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</si>
  <si>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</si>
  <si>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</si>
  <si>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</si>
  <si>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</si>
  <si>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</si>
  <si>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</si>
  <si>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</si>
  <si>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</si>
  <si>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</si>
  <si>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</si>
  <si>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</si>
  <si>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</si>
  <si>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</si>
  <si>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</si>
  <si>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</si>
  <si>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</si>
  <si>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</si>
  <si>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</si>
  <si>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</si>
  <si>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</si>
  <si>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</si>
  <si>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</si>
  <si>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</si>
  <si>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</si>
  <si>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</si>
  <si>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</si>
  <si>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</si>
  <si>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</si>
  <si>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</si>
  <si>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</si>
  <si>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</si>
  <si>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</si>
  <si>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</si>
  <si>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</si>
  <si>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</si>
  <si>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</si>
  <si>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</si>
  <si>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</si>
  <si>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</si>
  <si>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</si>
  <si>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</si>
  <si>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</si>
  <si>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</si>
  <si>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</si>
  <si>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</si>
  <si>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</si>
  <si>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</si>
  <si>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</si>
  <si>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</si>
  <si>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</si>
  <si>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</si>
  <si>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</si>
  <si>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</si>
  <si>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</si>
  <si>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</si>
  <si>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</si>
  <si>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</si>
  <si>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</si>
  <si>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</si>
  <si>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</si>
  <si>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</si>
  <si>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</si>
  <si>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</si>
  <si>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</si>
  <si>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</si>
  <si>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</si>
  <si>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</si>
  <si>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</si>
  <si>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</si>
  <si>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</si>
  <si>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</si>
  <si>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</si>
  <si>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</si>
  <si>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</si>
  <si>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</si>
  <si>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</si>
  <si>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</si>
  <si>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</si>
  <si>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</si>
  <si>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</si>
  <si>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</si>
  <si>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</si>
  <si>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</si>
  <si>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</si>
  <si>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</si>
  <si>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</si>
  <si>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</si>
  <si>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</si>
  <si>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</si>
  <si>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</si>
  <si>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</si>
  <si>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</si>
  <si>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</si>
  <si>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</si>
  <si>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</si>
  <si>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</si>
  <si>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</si>
  <si>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</si>
  <si>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</si>
  <si>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</si>
  <si>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</si>
  <si>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</si>
  <si>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</si>
  <si>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</si>
  <si>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</si>
  <si>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</si>
  <si>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</si>
  <si>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</si>
  <si>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</si>
  <si>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</si>
  <si>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</si>
  <si>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</si>
  <si>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</si>
  <si>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</si>
  <si>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</si>
  <si>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</si>
  <si>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</si>
  <si>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</si>
  <si>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</si>
  <si>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</si>
  <si>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</si>
  <si>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</si>
  <si>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</si>
  <si>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</si>
  <si>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</si>
  <si>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</si>
  <si>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</si>
  <si>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</si>
  <si>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</si>
  <si>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</si>
  <si>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</si>
  <si>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</si>
  <si>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</si>
  <si>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</si>
  <si>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</si>
  <si>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</si>
  <si>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</si>
  <si>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</si>
  <si>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</si>
  <si>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</si>
  <si>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</si>
  <si>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</si>
  <si>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</si>
  <si>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</si>
  <si>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</si>
  <si>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</si>
  <si>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</si>
  <si>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</si>
  <si>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</si>
  <si>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</si>
  <si>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</si>
  <si>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</si>
  <si>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</si>
  <si>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</si>
  <si>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</si>
  <si>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</si>
  <si>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</si>
  <si>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</si>
  <si>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</si>
  <si>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</si>
  <si>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</si>
  <si>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</si>
  <si>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</si>
  <si>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</si>
  <si>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</si>
  <si>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</si>
  <si>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</si>
  <si>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</si>
  <si>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</si>
  <si>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</si>
  <si>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</si>
  <si>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</si>
  <si>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</si>
  <si>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</si>
  <si>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</si>
  <si>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</si>
  <si>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</si>
  <si>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</si>
  <si>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</si>
  <si>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</si>
  <si>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</si>
  <si>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</si>
  <si>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</si>
  <si>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</si>
  <si>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</si>
  <si>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</si>
  <si>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</si>
  <si>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</si>
  <si>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</si>
  <si>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</si>
  <si>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</si>
  <si>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</si>
  <si>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</si>
  <si>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</si>
  <si>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</si>
  <si>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</si>
  <si>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</si>
  <si>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</si>
  <si>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</si>
  <si>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</si>
  <si>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</si>
  <si>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</si>
  <si>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</si>
  <si>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</si>
  <si>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</si>
  <si>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</si>
  <si>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</si>
  <si>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</si>
  <si>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</si>
  <si>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</si>
  <si>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</si>
  <si>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</si>
  <si>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</si>
  <si>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</si>
  <si>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</si>
  <si>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</si>
  <si>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</si>
  <si>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</si>
  <si>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</si>
  <si>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</si>
  <si>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</si>
  <si>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</si>
  <si>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</si>
  <si>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</si>
  <si>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</si>
  <si>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</si>
  <si>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</si>
  <si>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</si>
  <si>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</si>
  <si>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</si>
  <si>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</si>
  <si>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</si>
  <si>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</si>
  <si>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</si>
  <si>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</si>
  <si>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</si>
  <si>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</si>
  <si>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</si>
  <si>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</si>
  <si>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</si>
  <si>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</si>
  <si>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</si>
  <si>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</si>
  <si>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</si>
  <si>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</si>
  <si>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</si>
  <si>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</si>
  <si>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</si>
  <si>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</si>
  <si>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</si>
  <si>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</si>
  <si>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</si>
  <si>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</si>
  <si>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</si>
  <si>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</si>
  <si>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</si>
  <si>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</si>
  <si>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</si>
  <si>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</si>
  <si>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</si>
  <si>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</si>
  <si>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</si>
  <si>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</si>
  <si>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</si>
  <si>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</si>
  <si>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</si>
  <si>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</si>
  <si>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</si>
  <si>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</si>
  <si>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</si>
  <si>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</si>
  <si>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</si>
  <si>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</si>
  <si>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</si>
  <si>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</si>
  <si>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</si>
  <si>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</si>
  <si>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</si>
  <si>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</si>
  <si>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</si>
  <si>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</si>
  <si>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</si>
  <si>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</si>
  <si>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</si>
  <si>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</si>
  <si>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</si>
  <si>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</si>
  <si>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</si>
  <si>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</si>
  <si>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</si>
  <si>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</si>
  <si>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</si>
  <si>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</si>
  <si>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</si>
  <si>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</si>
  <si>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</si>
  <si>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</si>
  <si>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</si>
  <si>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</si>
  <si>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</si>
  <si>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</si>
  <si>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</si>
  <si>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</si>
  <si>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</si>
  <si>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</si>
  <si>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</si>
  <si>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</si>
  <si>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</si>
  <si>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</si>
  <si>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</si>
  <si>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</si>
  <si>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</si>
  <si>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</si>
  <si>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</si>
  <si>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</si>
  <si>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</si>
  <si>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</si>
  <si>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</si>
  <si>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</si>
  <si>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</si>
  <si>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</si>
  <si>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</si>
  <si>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</si>
  <si>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</si>
  <si>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</si>
  <si>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</si>
  <si>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</si>
  <si>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</si>
  <si>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</si>
  <si>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</si>
  <si>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</si>
  <si>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</si>
  <si>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</si>
  <si>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</si>
  <si>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</si>
  <si>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</si>
  <si>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</si>
  <si>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</si>
  <si>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</si>
  <si>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</si>
  <si>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</si>
  <si>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</si>
  <si>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</si>
  <si>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</si>
  <si>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</si>
  <si>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</si>
  <si>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</si>
  <si>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</si>
  <si>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</si>
  <si>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</si>
  <si>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</si>
  <si>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</si>
  <si>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</si>
  <si>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</si>
  <si>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</si>
  <si>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</si>
  <si>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</si>
  <si>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</si>
  <si>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</si>
  <si>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</si>
  <si>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</si>
  <si>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</si>
  <si>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</si>
  <si>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</si>
  <si>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</si>
  <si>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</si>
  <si>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</si>
  <si>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</si>
  <si>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</si>
  <si>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</si>
  <si>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</si>
  <si>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</si>
  <si>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</si>
  <si>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</si>
  <si>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</si>
  <si>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</si>
  <si>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</si>
  <si>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</si>
  <si>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</si>
  <si>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</si>
  <si>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</si>
  <si>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</si>
  <si>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</si>
  <si>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</si>
  <si>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</si>
  <si>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</si>
  <si>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</si>
  <si>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</si>
  <si>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</si>
  <si>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</si>
  <si>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</si>
  <si>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</si>
  <si>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</si>
  <si>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</si>
  <si>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</si>
  <si>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</si>
  <si>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</si>
  <si>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</si>
  <si>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</si>
  <si>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</si>
  <si>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</si>
  <si>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</si>
  <si>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</si>
  <si>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</si>
  <si>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</si>
  <si>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</si>
  <si>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</si>
  <si>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</si>
  <si>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</si>
  <si>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</si>
  <si>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</si>
  <si>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</si>
  <si>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</si>
  <si>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</si>
  <si>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</si>
  <si>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</si>
  <si>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</si>
  <si>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</si>
  <si>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</si>
  <si>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</si>
  <si>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</si>
  <si>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</si>
  <si>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</si>
  <si>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</si>
  <si>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</si>
  <si>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</si>
  <si>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</si>
  <si>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</si>
  <si>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</si>
  <si>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</si>
  <si>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</si>
  <si>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</si>
  <si>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</si>
  <si>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</si>
  <si>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</si>
  <si>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</si>
  <si>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</si>
  <si>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</si>
  <si>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</si>
  <si>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</si>
  <si>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</si>
  <si>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</si>
  <si>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</si>
  <si>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</si>
  <si>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</si>
  <si>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</si>
  <si>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</si>
  <si>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</si>
  <si>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</si>
  <si>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</si>
  <si>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</si>
  <si>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</si>
  <si>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</si>
  <si>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</si>
  <si>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</si>
  <si>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</si>
  <si>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</si>
  <si>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</si>
  <si>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</si>
  <si>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</si>
  <si>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</si>
  <si>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</si>
  <si>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</si>
  <si>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</si>
  <si>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</si>
  <si>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</si>
  <si>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</si>
  <si>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</si>
  <si>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</si>
  <si>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</si>
  <si>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</si>
  <si>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</si>
  <si>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</si>
  <si>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</si>
  <si>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</si>
  <si>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</si>
  <si>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</si>
  <si>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</si>
  <si>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</si>
  <si>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</si>
  <si>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</si>
  <si>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</si>
  <si>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</si>
  <si>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</si>
  <si>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</si>
  <si>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</si>
  <si>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</si>
  <si>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</si>
  <si>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</si>
  <si>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</si>
  <si>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</si>
  <si>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</si>
  <si>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</si>
  <si>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</si>
  <si>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</si>
  <si>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</si>
  <si>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</si>
  <si>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</si>
  <si>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</si>
  <si>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</si>
  <si>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</si>
  <si>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</si>
  <si>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</si>
  <si>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</si>
  <si>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</si>
  <si>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</si>
  <si>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</si>
  <si>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</si>
  <si>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</si>
  <si>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</si>
  <si>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</si>
  <si>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</si>
  <si>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</si>
  <si>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</si>
  <si>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</si>
  <si>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</si>
  <si>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</si>
  <si>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</si>
  <si>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</si>
  <si>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</si>
  <si>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</si>
  <si>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</si>
  <si>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</si>
  <si>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</si>
  <si>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</si>
  <si>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</si>
  <si>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</si>
  <si>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</si>
  <si>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</si>
  <si>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</si>
  <si>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</si>
  <si>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</si>
  <si>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</si>
  <si>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</si>
  <si>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</si>
  <si>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</si>
  <si>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</si>
  <si>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</si>
  <si>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</si>
  <si>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</si>
  <si>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</si>
  <si>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</si>
  <si>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</si>
  <si>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</si>
  <si>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</si>
  <si>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</si>
  <si>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</si>
  <si>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</si>
  <si>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</si>
  <si>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</si>
  <si>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</si>
  <si>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</si>
  <si>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</si>
  <si>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</si>
  <si>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</si>
  <si>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</si>
  <si>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</si>
  <si>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</si>
  <si>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</si>
  <si>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</si>
  <si>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</si>
  <si>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</si>
  <si>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</si>
  <si>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</si>
  <si>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</si>
  <si>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</si>
  <si>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</si>
  <si>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</si>
  <si>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</si>
  <si>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</si>
  <si>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</si>
  <si>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</si>
  <si>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</si>
  <si>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</si>
  <si>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</si>
  <si>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</si>
  <si>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</si>
  <si>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</si>
  <si>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</si>
  <si>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</si>
  <si>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</si>
  <si>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</si>
  <si>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</si>
  <si>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</si>
  <si>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</si>
  <si>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</si>
  <si>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</si>
  <si>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</si>
  <si>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</si>
  <si>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</si>
  <si>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</si>
  <si>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</si>
  <si>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</si>
  <si>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</si>
  <si>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</si>
  <si>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</si>
  <si>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</si>
  <si>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</si>
  <si>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</si>
  <si>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</si>
  <si>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</si>
  <si>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</si>
  <si>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</si>
  <si>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</si>
  <si>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</si>
  <si>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</si>
  <si>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</si>
  <si>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</si>
  <si>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</si>
  <si>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</si>
  <si>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</si>
  <si>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</si>
  <si>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</si>
  <si>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</si>
  <si>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</si>
  <si>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</si>
  <si>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</si>
  <si>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</si>
  <si>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</si>
  <si>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</si>
  <si>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</si>
  <si>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</si>
  <si>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</si>
  <si>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</si>
  <si>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</si>
  <si>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</si>
  <si>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</si>
  <si>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</si>
  <si>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</si>
  <si>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</si>
  <si>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</si>
  <si>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</si>
  <si>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</si>
  <si>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</si>
  <si>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</si>
  <si>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</si>
  <si>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</si>
  <si>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</si>
  <si>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</si>
  <si>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</si>
  <si>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</si>
  <si>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</si>
  <si>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</si>
  <si>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</si>
  <si>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</si>
  <si>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</si>
  <si>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</si>
  <si>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</si>
  <si>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</si>
  <si>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</si>
  <si>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</si>
  <si>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</si>
  <si>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</si>
  <si>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</si>
  <si>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</si>
  <si>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</si>
  <si>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</si>
  <si>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</si>
  <si>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</si>
  <si>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</si>
  <si>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</si>
  <si>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</si>
  <si>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</si>
  <si>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</si>
  <si>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</si>
  <si>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</si>
  <si>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</si>
  <si>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</si>
  <si>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</si>
  <si>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</si>
  <si>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</si>
  <si>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</si>
  <si>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</si>
  <si>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</si>
  <si>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</si>
  <si>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</si>
  <si>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</si>
  <si>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</si>
  <si>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</si>
  <si>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</si>
  <si>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</si>
  <si>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</si>
  <si>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</si>
  <si>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</si>
  <si>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</si>
  <si>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</si>
  <si>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</si>
  <si>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</si>
  <si>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</si>
  <si>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</si>
  <si>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</si>
  <si>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</si>
  <si>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</si>
  <si>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</si>
  <si>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</si>
  <si>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</si>
  <si>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</si>
  <si>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</si>
  <si>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</si>
  <si>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</si>
  <si>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</si>
  <si>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</si>
  <si>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</si>
  <si>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</si>
  <si>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</si>
  <si>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</si>
  <si>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</si>
  <si>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</si>
  <si>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</si>
  <si>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</si>
  <si>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</si>
  <si>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</si>
  <si>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</si>
  <si>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</si>
  <si>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</si>
  <si>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</si>
  <si>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</si>
  <si>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</si>
  <si>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</si>
  <si>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</si>
  <si>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</si>
  <si>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</si>
  <si>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</si>
  <si>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</si>
  <si>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</si>
  <si>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</si>
  <si>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</si>
  <si>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</si>
  <si>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</si>
  <si>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</si>
  <si>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</si>
  <si>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</si>
  <si>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</si>
  <si>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</si>
  <si>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</si>
  <si>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</si>
  <si>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</si>
  <si>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</si>
  <si>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</si>
  <si>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</si>
  <si>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</si>
  <si>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</si>
  <si>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</si>
  <si>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</si>
  <si>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</si>
  <si>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</si>
  <si>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</si>
  <si>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</si>
  <si>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</si>
  <si>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</si>
  <si>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</si>
  <si>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</si>
  <si>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</si>
  <si>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</si>
  <si>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</si>
  <si>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</si>
  <si>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</si>
  <si>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</si>
  <si>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</si>
  <si>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</si>
  <si>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</si>
  <si>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</si>
  <si>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</si>
  <si>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</si>
  <si>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</si>
  <si>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</si>
  <si>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</si>
  <si>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</si>
  <si>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</si>
  <si>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</si>
  <si>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</si>
  <si>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</si>
  <si>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</si>
  <si>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</si>
  <si>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</si>
  <si>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</si>
  <si>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</si>
  <si>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</si>
  <si>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</si>
  <si>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</si>
  <si>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</si>
  <si>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</si>
  <si>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</si>
  <si>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</si>
  <si>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</si>
  <si>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</si>
  <si>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</si>
  <si>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</si>
  <si>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</si>
  <si>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</si>
  <si>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</si>
  <si>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</si>
  <si>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</si>
  <si>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</si>
  <si>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</si>
  <si>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</si>
  <si>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</si>
  <si>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</si>
  <si>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</si>
  <si>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</si>
  <si>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</si>
  <si>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</si>
  <si>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</si>
  <si>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</si>
  <si>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</si>
  <si>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</si>
  <si>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</si>
  <si>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</si>
  <si>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</si>
  <si>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</si>
  <si>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</si>
  <si>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</si>
  <si>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</si>
  <si>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</si>
  <si>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</si>
  <si>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</si>
  <si>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</si>
  <si>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</si>
  <si>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</si>
  <si>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</si>
  <si>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</si>
  <si>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</si>
  <si>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</si>
  <si>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</si>
  <si>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</si>
  <si>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</si>
  <si>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</si>
  <si>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</si>
  <si>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</si>
  <si>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</si>
  <si>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</si>
  <si>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</si>
  <si>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</si>
  <si>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</si>
  <si>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</si>
  <si>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</si>
  <si>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</si>
  <si>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</si>
  <si>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</si>
  <si>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</si>
  <si>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</si>
  <si>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</si>
  <si>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</si>
  <si>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</si>
  <si>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</si>
  <si>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</si>
  <si>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</si>
  <si>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</si>
  <si>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</si>
  <si>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</si>
  <si>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</si>
  <si>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</si>
  <si>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</si>
  <si>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</si>
  <si>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</si>
  <si>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</si>
  <si>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</si>
  <si>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</si>
  <si>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</si>
  <si>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</si>
  <si>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</si>
  <si>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</si>
  <si>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</si>
  <si>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</si>
  <si>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</si>
  <si>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</si>
  <si>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</si>
  <si>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</si>
  <si>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</si>
  <si>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</si>
  <si>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</si>
  <si>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</si>
  <si>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</si>
  <si>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</si>
  <si>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</si>
  <si>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</si>
  <si>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</si>
  <si>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</si>
  <si>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</si>
  <si>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</si>
  <si>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</si>
  <si>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</si>
  <si>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</si>
  <si>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</si>
  <si>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</si>
  <si>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</si>
  <si>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</si>
  <si>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</si>
  <si>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</si>
  <si>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</si>
  <si>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</si>
  <si>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</si>
  <si>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</si>
  <si>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</si>
  <si>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</si>
  <si>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</si>
  <si>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</si>
  <si>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</si>
  <si>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</si>
  <si>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</si>
  <si>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</si>
  <si>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</si>
  <si>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</si>
  <si>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</si>
  <si>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</si>
  <si>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</si>
  <si>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</si>
  <si>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</si>
  <si>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</si>
  <si>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</si>
  <si>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</si>
  <si>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</si>
  <si>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</si>
  <si>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</si>
  <si>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</si>
  <si>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</si>
  <si>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</si>
  <si>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</si>
  <si>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</si>
  <si>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</si>
  <si>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</si>
  <si>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</si>
  <si>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</si>
  <si>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</si>
  <si>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</si>
  <si>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</si>
  <si>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</si>
  <si>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</si>
  <si>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</si>
  <si>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</si>
  <si>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</si>
  <si>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</si>
  <si>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</si>
  <si>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</si>
  <si>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</si>
  <si>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</si>
  <si>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</si>
  <si>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</si>
  <si>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</si>
  <si>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</si>
  <si>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</si>
  <si>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</si>
  <si>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</si>
  <si>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</si>
  <si>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</si>
  <si>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</si>
  <si>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</si>
  <si>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</si>
  <si>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</si>
  <si>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</si>
  <si>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</si>
  <si>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</si>
  <si>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</si>
  <si>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</si>
  <si>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</si>
  <si>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</si>
  <si>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</si>
  <si>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</si>
  <si>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</si>
  <si>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</si>
  <si>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</si>
  <si>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</si>
  <si>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</si>
  <si>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</si>
  <si>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</si>
  <si>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</si>
  <si>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</si>
  <si>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</si>
  <si>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</si>
  <si>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</si>
  <si>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</si>
  <si>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</si>
  <si>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</si>
  <si>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</si>
  <si>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</si>
  <si>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</si>
  <si>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</si>
  <si>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</si>
  <si>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</si>
  <si>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</si>
  <si>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</si>
  <si>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</si>
  <si>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</si>
  <si>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</si>
  <si>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</si>
  <si>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</si>
  <si>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</si>
  <si>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</si>
  <si>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</si>
  <si>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</si>
  <si>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</si>
  <si>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</si>
  <si>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</si>
  <si>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</si>
  <si>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</si>
  <si>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</si>
  <si>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</si>
  <si>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</si>
  <si>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</si>
  <si>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</si>
  <si>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</si>
  <si>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</si>
  <si>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</si>
  <si>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</si>
  <si>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</si>
  <si>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</si>
  <si>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</si>
  <si>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</si>
  <si>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</si>
  <si>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</si>
  <si>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</si>
  <si>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</si>
  <si>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</si>
  <si>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</si>
  <si>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</si>
  <si>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</si>
  <si>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</si>
  <si>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</si>
  <si>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</si>
  <si>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</si>
  <si>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</si>
  <si>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</si>
  <si>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</si>
  <si>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</si>
  <si>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</si>
  <si>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</si>
  <si>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</si>
  <si>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</si>
  <si>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</si>
  <si>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</si>
  <si>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</si>
  <si>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</si>
  <si>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</si>
  <si>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</si>
  <si>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</si>
  <si>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</si>
  <si>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</si>
  <si>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</si>
  <si>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</si>
  <si>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</si>
  <si>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</si>
  <si>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</si>
  <si>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</si>
  <si>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</si>
  <si>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</si>
  <si>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</si>
  <si>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</si>
  <si>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</si>
  <si>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</si>
  <si>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</si>
  <si>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</si>
  <si>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</si>
  <si>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</si>
  <si>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</si>
  <si>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</si>
  <si>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</si>
  <si>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</si>
  <si>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</si>
  <si>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</si>
  <si>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</si>
  <si>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</si>
  <si>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</si>
  <si>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</si>
  <si>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</si>
  <si>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</si>
  <si>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</si>
  <si>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</si>
  <si>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</si>
  <si>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</si>
  <si>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</si>
  <si>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</si>
  <si>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</si>
  <si>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</si>
  <si>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</si>
  <si>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</si>
  <si>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</si>
  <si>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</si>
  <si>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</si>
  <si>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</si>
  <si>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</si>
  <si>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</si>
  <si>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</si>
  <si>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</si>
  <si>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</si>
  <si>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</si>
  <si>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</si>
  <si>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</si>
  <si>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</si>
  <si>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</si>
  <si>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</si>
  <si>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</si>
  <si>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</si>
  <si>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</si>
  <si>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</si>
  <si>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</si>
  <si>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</si>
  <si>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</si>
  <si>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</si>
  <si>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</si>
  <si>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</si>
  <si>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</si>
  <si>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</si>
  <si>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</si>
  <si>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</si>
  <si>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</si>
  <si>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</si>
  <si>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</si>
  <si>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</si>
  <si>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</si>
  <si>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</si>
  <si>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</si>
  <si>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</si>
  <si>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</si>
  <si>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</si>
  <si>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</si>
  <si>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</si>
  <si>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</si>
  <si>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</si>
  <si>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</si>
  <si>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</si>
  <si>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</si>
  <si>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</si>
  <si>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</si>
  <si>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</si>
  <si>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</si>
  <si>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</si>
  <si>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</si>
  <si>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</si>
  <si>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</si>
  <si>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</si>
  <si>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</si>
  <si>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</si>
  <si>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</si>
  <si>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</si>
  <si>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</si>
  <si>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</si>
  <si>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</si>
  <si>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</si>
  <si>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</si>
  <si>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</si>
  <si>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</si>
  <si>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</si>
  <si>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</si>
  <si>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</si>
  <si>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</si>
  <si>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</si>
  <si>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</si>
  <si>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</si>
  <si>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</si>
  <si>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</si>
  <si>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</si>
  <si>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</si>
  <si>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</si>
  <si>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</si>
  <si>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</si>
  <si>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</si>
  <si>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</si>
  <si>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</si>
  <si>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</si>
  <si>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</si>
  <si>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</si>
  <si>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</si>
  <si>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</si>
  <si>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</si>
  <si>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</si>
  <si>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</si>
  <si>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</si>
  <si>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</si>
  <si>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</si>
  <si>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</si>
  <si>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</si>
  <si>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</si>
  <si>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</si>
  <si>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</si>
  <si>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</si>
  <si>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</si>
  <si>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</si>
  <si>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</si>
  <si>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</si>
  <si>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</si>
  <si>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</si>
  <si>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</si>
  <si>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</si>
  <si>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</si>
  <si>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</si>
  <si>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</si>
  <si>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</si>
  <si>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</si>
  <si>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</si>
  <si>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</si>
  <si>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</si>
  <si>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</si>
  <si>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</si>
  <si>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</si>
  <si>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</si>
  <si>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</si>
  <si>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</si>
  <si>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</si>
  <si>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</si>
  <si>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</si>
  <si>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</si>
  <si>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</si>
  <si>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</si>
  <si>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</si>
  <si>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</si>
  <si>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</si>
  <si>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</si>
  <si>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</si>
  <si>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</si>
  <si>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</si>
  <si>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</si>
  <si>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</si>
  <si>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</si>
  <si>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</si>
  <si>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</si>
  <si>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</si>
  <si>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</si>
  <si>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</si>
  <si>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</si>
  <si>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</si>
  <si>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</si>
  <si>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</si>
  <si>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</si>
  <si>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</si>
  <si>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</si>
  <si>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</si>
  <si>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</si>
  <si>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</si>
  <si>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</si>
  <si>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</si>
  <si>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</si>
  <si>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</si>
  <si>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</si>
  <si>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</si>
  <si>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</si>
  <si>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</si>
  <si>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</si>
  <si>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</si>
  <si>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</si>
  <si>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</si>
  <si>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</si>
  <si>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</si>
  <si>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</si>
  <si>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</si>
  <si>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</si>
  <si>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</si>
  <si>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</si>
  <si>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</si>
  <si>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</si>
  <si>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</si>
  <si>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</si>
  <si>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</si>
  <si>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</si>
  <si>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</si>
  <si>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</si>
  <si>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</si>
  <si>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</si>
  <si>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</si>
  <si>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</si>
  <si>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</si>
  <si>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</si>
  <si>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</si>
  <si>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</si>
  <si>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</si>
  <si>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</si>
  <si>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</si>
  <si>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</si>
  <si>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</si>
  <si>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</si>
  <si>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</si>
  <si>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</si>
  <si>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</si>
  <si>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</si>
  <si>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</si>
  <si>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</si>
  <si>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</si>
  <si>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</si>
  <si>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</si>
  <si>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</si>
  <si>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</si>
  <si>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</si>
  <si>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</si>
  <si>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</si>
  <si>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</si>
  <si>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</si>
  <si>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</si>
  <si>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</si>
  <si>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</si>
  <si>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</si>
  <si>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</si>
  <si>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</si>
  <si>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</si>
  <si>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</si>
  <si>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</si>
  <si>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</si>
  <si>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</si>
  <si>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</si>
  <si>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</si>
  <si>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</si>
  <si>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</si>
  <si>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</si>
  <si>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</si>
  <si>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</si>
  <si>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</si>
  <si>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</si>
  <si>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</si>
  <si>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</si>
  <si>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</si>
  <si>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</si>
  <si>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</si>
  <si>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</si>
  <si>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</si>
  <si>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</si>
  <si>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</si>
  <si>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</si>
  <si>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</si>
  <si>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</si>
  <si>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</si>
  <si>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</si>
  <si>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</si>
  <si>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</si>
  <si>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</si>
  <si>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</si>
  <si>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</si>
  <si>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</si>
  <si>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</si>
  <si>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</si>
  <si>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</si>
  <si>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Larry</t>
  </si>
  <si>
    <t>No rellenar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</si>
</sst>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cellStyle name="Normal 3" xfId="91"/>
    <cellStyle name="Normal 3 2" xfId="92"/>
    <cellStyle name="Normal 4" xfId="93"/>
  </cellStyles>
  <dxfs count="34">
    <dxf>
      <font>
        <color rgb="FF9C0006"/>
      </font>
      <fill>
        <patternFill>
          <bgColor rgb="FFFFC7CE"/>
        </patternFill>
      </fill>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0</v>
    <v>4</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headerRowDxfId="6" dataDxfId="5">
  <sortState ref="A2:D13">
    <sortCondition ref="D2:D13"/>
  </sortState>
  <tableColumns count="4">
    <tableColumn id="1" name="Num" dataDxfId="4">
      <calculatedColumnFormula>NOT(ISERROR(VLOOKUP(Equipos!$B2,#REF!,1,FALSE)))</calculatedColumnFormula>
    </tableColumn>
    <tableColumn id="2" name="NombreEquipo" dataDxfId="3">
      <calculatedColumnFormula>+INDEX(Idiomas!$D$202:$D$249,MATCH(T_Equipos[[#This Row],[Num]],Idiomas!$C$202:$C$249,0))</calculatedColumnFormula>
    </tableColumn>
    <tableColumn id="4" name="Grupo" dataDxfId="2"/>
    <tableColumn id="3"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hyperlink ref="H22" r:id="rId2"/>
    <hyperlink ref="E22" r:id="rId3"/>
    <hyperlink ref="I22" r:id="rId4"/>
    <hyperlink ref="G22" r:id="rId5"/>
    <hyperlink ref="K6" location="WORLDCUP!AC4" display="WORLDCUP!AC4"/>
    <hyperlink ref="K8" location="Fixture!A1" display="Fixture"/>
    <hyperlink ref="L23" r:id="rId6" display="https://www.paypal.com/donate?business=PJ2B6ZBH7ZHR4&amp;currency_code=EUR"/>
    <hyperlink ref="K17" r:id="rId7"/>
    <hyperlink ref="K10" location="Credits!L2" display="Help"/>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14:formula1>
            <xm:f>Idiomas!$A$2:$A$3</xm:f>
          </x14:formula1>
          <xm:sqref>C6</xm:sqref>
        </x14:dataValidation>
        <x14:dataValidation type="list" allowBlank="1" showInputMessage="1" showErrorMessage="1">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T192"/>
  <sheetViews>
    <sheetView showGridLines="0" showRowColHeaders="0" tabSelected="1" topLeftCell="V129" zoomScaleNormal="100" workbookViewId="0">
      <selection activeCell="AD139" sqref="AD139"/>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
      </c>
      <c r="AC4" s="50">
        <v>2</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str" cm="1">
        <f t="array" aca="1" ref="AB5" ca="1">Ver_flag_local</f>
        <v/>
      </c>
      <c r="AC5" s="50">
        <v>2</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
      </c>
      <c r="AC6" s="50">
        <v>1</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str" cm="1">
        <f t="array" aca="1" ref="AB7" ca="1">Ver_flag_local</f>
        <v/>
      </c>
      <c r="AC7" s="50">
        <v>1</v>
      </c>
      <c r="AD7" s="51">
        <v>0</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str" cm="1">
        <f t="array" aca="1" ref="AB8" ca="1">Ver_flag_local</f>
        <v/>
      </c>
      <c r="AC8" s="50">
        <v>0</v>
      </c>
      <c r="AD8" s="51">
        <v>3</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05"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str" cm="1">
        <f t="array" aca="1" ref="AB9" ca="1">Ver_flag_local</f>
        <v/>
      </c>
      <c r="AC9" s="53">
        <v>1</v>
      </c>
      <c r="AD9" s="54">
        <v>0</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70" t="s">
        <v>1</v>
      </c>
      <c r="X12" s="24">
        <f ca="1">Horarios!C12</f>
        <v>46185.875</v>
      </c>
      <c r="Y12" s="25">
        <f ca="1">Horarios!C12</f>
        <v>46185.875</v>
      </c>
      <c r="Z12" s="26" t="str">
        <f>$Z$4</f>
        <v>J1</v>
      </c>
      <c r="AA12" s="27" t="str">
        <f ca="1">A13</f>
        <v>Canadá</v>
      </c>
      <c r="AB12" s="49" t="str" cm="1">
        <f t="array" aca="1" ref="AB12" ca="1">Ver_flag_local</f>
        <v/>
      </c>
      <c r="AC12" s="50">
        <v>1</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
      </c>
      <c r="AC13" s="50">
        <v>1</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70"/>
      <c r="X14" s="24">
        <f ca="1">Horarios!C14</f>
        <v>46191.875</v>
      </c>
      <c r="Y14" s="25">
        <f ca="1">Horarios!C14</f>
        <v>46191.875</v>
      </c>
      <c r="Z14" s="26" t="str">
        <f>$Z$6</f>
        <v>J2</v>
      </c>
      <c r="AA14" s="27" t="str">
        <f ca="1">A16</f>
        <v>Suiza</v>
      </c>
      <c r="AB14" s="49" t="str" cm="1">
        <f t="array" aca="1" ref="AB14" ca="1">Ver_flag_local</f>
        <v/>
      </c>
      <c r="AC14" s="50">
        <v>4</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6</v>
      </c>
      <c r="AD15" s="51">
        <v>0</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70"/>
      <c r="X16" s="24">
        <f ca="1">Horarios!C16</f>
        <v>46197.875</v>
      </c>
      <c r="Y16" s="25">
        <f ca="1">Horarios!C16</f>
        <v>46197.875</v>
      </c>
      <c r="Z16" s="26" t="str">
        <f>$Z$8</f>
        <v>J3</v>
      </c>
      <c r="AA16" s="27" t="str">
        <f ca="1">A16</f>
        <v>Suiza</v>
      </c>
      <c r="AB16" s="49" t="str" cm="1">
        <f t="array" aca="1" ref="AB16" ca="1">Ver_flag_local</f>
        <v/>
      </c>
      <c r="AC16" s="50">
        <v>2</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3</v>
      </c>
      <c r="AD17" s="54">
        <v>1</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6.0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str" cm="1">
        <f t="array" aca="1" ref="AB22" ca="1">Ver_flag_local</f>
        <v/>
      </c>
      <c r="AC22" s="50">
        <v>0</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3</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0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str" cm="1">
        <f t="array" aca="1" ref="AB24" ca="1">Ver_flag_local</f>
        <v/>
      </c>
      <c r="AC24" s="50">
        <v>0</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0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4</v>
      </c>
      <c r="AD25" s="54">
        <v>2</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0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81" t="s">
        <v>74</v>
      </c>
      <c r="X28" s="24">
        <f ca="1">Horarios!C28</f>
        <v>46186.125</v>
      </c>
      <c r="Y28" s="25">
        <f ca="1">Horarios!C28</f>
        <v>46186.125</v>
      </c>
      <c r="Z28" s="26" t="str">
        <f>$Z$4</f>
        <v>J1</v>
      </c>
      <c r="AA28" s="27" t="str">
        <f ca="1">A29</f>
        <v>Estados Unidos</v>
      </c>
      <c r="AB28" s="49" t="str" cm="1">
        <f t="array" aca="1" ref="AB28" ca="1">Ver_flag_local</f>
        <v/>
      </c>
      <c r="AC28" s="50">
        <v>4</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2</v>
      </c>
      <c r="AD29" s="51">
        <v>0</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05" customHeight="1">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81"/>
      <c r="X30" s="24">
        <f ca="1">Horarios!C30</f>
        <v>46192.875</v>
      </c>
      <c r="Y30" s="25">
        <f ca="1">Horarios!C30</f>
        <v>46192.875</v>
      </c>
      <c r="Z30" s="26" t="str">
        <f>$Z$6</f>
        <v>J2</v>
      </c>
      <c r="AA30" s="27" t="str">
        <f ca="1">A29</f>
        <v>Estados Unidos</v>
      </c>
      <c r="AB30" s="49" t="str" cm="1">
        <f t="array" aca="1" ref="AB30" ca="1">Ver_flag_local</f>
        <v/>
      </c>
      <c r="AC30" s="50">
        <v>2</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81"/>
      <c r="X31" s="24">
        <f ca="1">Horarios!C31</f>
        <v>46193.208333333336</v>
      </c>
      <c r="Y31" s="25">
        <f ca="1">Horarios!C31</f>
        <v>46193.208333333336</v>
      </c>
      <c r="Z31" s="26" t="str">
        <f>$Z$6</f>
        <v>J2</v>
      </c>
      <c r="AA31" s="27" t="str">
        <f ca="1">A32</f>
        <v>Turquía</v>
      </c>
      <c r="AB31" s="49" t="str" cm="1">
        <f t="array" aca="1" ref="AB31" ca="1">Ver_flag_local</f>
        <v/>
      </c>
      <c r="AC31" s="50">
        <v>0</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3</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82"/>
      <c r="X33" s="28">
        <f ca="1">Horarios!C33</f>
        <v>46199.166666666664</v>
      </c>
      <c r="Y33" s="29">
        <f ca="1">Horarios!C33</f>
        <v>46199.166666666664</v>
      </c>
      <c r="Z33" s="30" t="str">
        <f>$Z$8</f>
        <v>J3</v>
      </c>
      <c r="AA33" s="31" t="str">
        <f ca="1">A30</f>
        <v>Paraguay</v>
      </c>
      <c r="AB33" s="52" t="str" cm="1">
        <f t="array" aca="1" ref="AB33" ca="1">Ver_flag_local</f>
        <v/>
      </c>
      <c r="AC33" s="53">
        <v>0</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7</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05" customHeight="1">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1</v>
      </c>
      <c r="AD37" s="51">
        <v>0</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05" customHeight="1">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0</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str" cm="1">
        <f t="array" aca="1" ref="AB40" ca="1">Ver_flag_local</f>
        <v/>
      </c>
      <c r="AC40" s="50">
        <v>0</v>
      </c>
      <c r="AD40" s="51">
        <v>2</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2</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2</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5</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5</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0</v>
      </c>
      <c r="AD47" s="51">
        <v>4</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1</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6</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66" t="s">
        <v>6</v>
      </c>
      <c r="X52" s="24">
        <f ca="1">Horarios!C52</f>
        <v>46188.875</v>
      </c>
      <c r="Y52" s="25">
        <f ca="1">Horarios!C52</f>
        <v>46188.875</v>
      </c>
      <c r="Z52" s="26" t="str">
        <f>$Z$4</f>
        <v>J1</v>
      </c>
      <c r="AA52" s="27" t="str">
        <f ca="1">A53</f>
        <v>Bélgica</v>
      </c>
      <c r="AB52" s="49" t="str" cm="1">
        <f t="array" aca="1" ref="AB52" ca="1">Ver_flag_local</f>
        <v/>
      </c>
      <c r="AC52" s="50">
        <v>1</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
      </c>
      <c r="AC53" s="50">
        <v>2</v>
      </c>
      <c r="AD53" s="51">
        <v>2</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05" customHeight="1">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66"/>
      <c r="X54" s="24">
        <f ca="1">Horarios!C54</f>
        <v>46194.875</v>
      </c>
      <c r="Y54" s="25">
        <f ca="1">Horarios!C54</f>
        <v>46194.875</v>
      </c>
      <c r="Z54" s="26" t="str">
        <f>$Z$6</f>
        <v>J2</v>
      </c>
      <c r="AA54" s="27" t="str">
        <f ca="1">A53</f>
        <v>Bélgica</v>
      </c>
      <c r="AB54" s="49" t="str" cm="1">
        <f t="array" aca="1" ref="AB54" ca="1">Ver_flag_local</f>
        <v/>
      </c>
      <c r="AC54" s="50">
        <v>0</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66"/>
      <c r="X55" s="24">
        <f ca="1">Horarios!C55</f>
        <v>46195.125</v>
      </c>
      <c r="Y55" s="25">
        <f ca="1">Horarios!C55</f>
        <v>46195.125</v>
      </c>
      <c r="Z55" s="26" t="str">
        <f>$Z$6</f>
        <v>J2</v>
      </c>
      <c r="AA55" s="27" t="str">
        <f ca="1">A56</f>
        <v>Nueva Zelanda</v>
      </c>
      <c r="AB55" s="49" t="str" cm="1">
        <f t="array" aca="1" ref="AB55" ca="1">Ver_flag_local</f>
        <v/>
      </c>
      <c r="AC55" s="50">
        <v>1</v>
      </c>
      <c r="AD55" s="51">
        <v>3</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66"/>
      <c r="X56" s="24">
        <f ca="1">Horarios!C56</f>
        <v>46200.208333333336</v>
      </c>
      <c r="Y56" s="25">
        <f ca="1">Horarios!C56</f>
        <v>46200.208333333336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1</v>
      </c>
      <c r="AD57" s="54">
        <v>5</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05" customHeight="1" thickBot="1">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0</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cm="1">
        <f t="array" aca="1" ref="DN60" ca="1">OFFSET(Horarios!$P$3,DJ60-1,0,DL60,1)</f>
        <v>3</v>
      </c>
      <c r="DO60" s="16"/>
      <c r="DP60" s="16">
        <v>3</v>
      </c>
      <c r="DQ60" s="16" t="str">
        <f t="shared" ca="1" si="198"/>
        <v>Ecuador</v>
      </c>
    </row>
    <row r="61" spans="1:121" ht="16.05" customHeight="1">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48"/>
      <c r="X61" s="24">
        <f ca="1">Horarios!C61</f>
        <v>46189</v>
      </c>
      <c r="Y61" s="25">
        <f ca="1">Horarios!C61</f>
        <v>46189</v>
      </c>
      <c r="Z61" s="26" t="str">
        <f>$Z$4</f>
        <v>J1</v>
      </c>
      <c r="AA61" s="27" t="str">
        <f ca="1">A63</f>
        <v>Arabia Saudita</v>
      </c>
      <c r="AB61" s="49" t="str" cm="1">
        <f t="array" aca="1" ref="AB61" ca="1">Ver_flag_local</f>
        <v/>
      </c>
      <c r="AC61" s="50">
        <v>1</v>
      </c>
      <c r="AD61" s="51">
        <v>1</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cm="1">
        <f t="array" aca="1" ref="DN61" ca="1">OFFSET(Horarios!$P$3,DJ61-1,0,DL61,1)</f>
        <v>3</v>
      </c>
      <c r="DO61" s="16"/>
      <c r="DP61" s="16">
        <v>4</v>
      </c>
      <c r="DQ61" s="16" t="str">
        <f t="shared" ca="1" si="198"/>
        <v>Ghana</v>
      </c>
    </row>
    <row r="62" spans="1:121" ht="16.0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8"/>
      <c r="X62" s="24">
        <f ca="1">Horarios!C62</f>
        <v>46194.75</v>
      </c>
      <c r="Y62" s="25">
        <f ca="1">Horarios!C62</f>
        <v>46194.75</v>
      </c>
      <c r="Z62" s="26" t="str">
        <f>$Z$6</f>
        <v>J2</v>
      </c>
      <c r="AA62" s="27" t="str">
        <f ca="1">A61</f>
        <v>España</v>
      </c>
      <c r="AB62" s="49" t="str" cm="1">
        <f t="array" aca="1" ref="AB62" ca="1">Ver_flag_local</f>
        <v/>
      </c>
      <c r="AC62" s="50">
        <v>4</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05" customHeight="1">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2</v>
      </c>
      <c r="AD63" s="51">
        <v>2</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05" customHeight="1">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48"/>
      <c r="X64" s="24">
        <f ca="1">Horarios!C64</f>
        <v>46200.083333333336</v>
      </c>
      <c r="Y64" s="25">
        <f ca="1">Horarios!C64</f>
        <v>46200.083333333336</v>
      </c>
      <c r="Z64" s="26" t="str">
        <f>$Z$8</f>
        <v>J3</v>
      </c>
      <c r="AA64" s="27" t="str">
        <f ca="1">A62</f>
        <v>Cabo Verde</v>
      </c>
      <c r="AB64" s="49" t="str" cm="1">
        <f t="array" aca="1" ref="AB64" ca="1">Ver_flag_local</f>
        <v/>
      </c>
      <c r="AC64" s="50">
        <v>0</v>
      </c>
      <c r="AD64" s="51">
        <v>0</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05" customHeight="1" thickBot="1">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0</v>
      </c>
      <c r="AD65" s="54">
        <v>1</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str" cm="1">
        <f t="array" aca="1" ref="AB68" ca="1">Ver_flag_local</f>
        <v/>
      </c>
      <c r="AC68" s="50">
        <v>3</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str" cm="1">
        <f t="array" aca="1" ref="AB69" ca="1">Ver_flag_local</f>
        <v/>
      </c>
      <c r="AC69" s="50">
        <v>1</v>
      </c>
      <c r="AD69" s="51">
        <v>4</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str" cm="1">
        <f t="array" aca="1" ref="AB71" ca="1">Ver_flag_local</f>
        <v/>
      </c>
      <c r="AC71" s="50">
        <v>3</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1</v>
      </c>
      <c r="AD72" s="51">
        <v>4</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5</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str" cm="1">
        <f t="array" aca="1" ref="AB76" ca="1">Ver_flag_local</f>
        <v/>
      </c>
      <c r="AC76" s="50">
        <v>3</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3</v>
      </c>
      <c r="AD77" s="51">
        <v>1</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str" cm="1">
        <f t="array" aca="1" ref="AB79" ca="1">Ver_flag_local</f>
        <v/>
      </c>
      <c r="AC79" s="50">
        <v>1</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0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str" cm="1">
        <f t="array" aca="1" ref="AB80" ca="1">Ver_flag_local</f>
        <v/>
      </c>
      <c r="AC80" s="50">
        <v>3</v>
      </c>
      <c r="AD80" s="51">
        <v>3</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1</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1</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1</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5</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str" cm="1">
        <f t="array" aca="1" ref="AB87" ca="1">Ver_flag_local</f>
        <v/>
      </c>
      <c r="AC87" s="50">
        <v>1</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6.05"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0</v>
      </c>
      <c r="AD88" s="51">
        <v>0</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0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3</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4</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1</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0</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
      </c>
      <c r="AC95" s="50">
        <v>1</v>
      </c>
      <c r="AD95" s="51">
        <v>2</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6</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0</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2</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Sudáfrica</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Paraguay</v>
      </c>
      <c r="AG103" s="327">
        <f t="shared" ca="1" si="294"/>
        <v>1</v>
      </c>
      <c r="AH103" s="195">
        <v>74</v>
      </c>
      <c r="AI103" s="182">
        <v>2</v>
      </c>
      <c r="AJ103" s="42">
        <v>2</v>
      </c>
      <c r="AK103" s="602" t="str" cm="1">
        <f t="array" aca="1" ref="AK103" ca="1">Ver_flag_visit</f>
        <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0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str" cm="1">
        <f t="array" aca="1" ref="AK104" ca="1">Ver_flag_visit</f>
        <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c r="AX104" s="170"/>
      <c r="AY104" s="276"/>
      <c r="AZ104" s="279" t="str">
        <f t="shared" ca="1" si="303"/>
        <v>1B - 3J</v>
      </c>
      <c r="BA104" s="176"/>
      <c r="BF104" t="str">
        <f t="shared" ca="1" si="304"/>
        <v>F</v>
      </c>
      <c r="BG104">
        <f t="shared" ca="1" si="305"/>
        <v>4</v>
      </c>
      <c r="BI104">
        <v>2</v>
      </c>
      <c r="BJ104" t="str">
        <f t="shared" ca="1" si="306"/>
        <v>D</v>
      </c>
    </row>
    <row r="105" spans="1:62" ht="16.0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c r="AC105" s="92">
        <v>1</v>
      </c>
      <c r="AD105" s="92">
        <v>3</v>
      </c>
      <c r="AE105" s="89"/>
      <c r="AF105" s="91" t="str">
        <f t="shared" ca="1" si="293"/>
        <v>Noruega</v>
      </c>
      <c r="AG105" s="327">
        <f t="shared" ca="1" si="294"/>
        <v>1</v>
      </c>
      <c r="AH105" s="195">
        <v>78</v>
      </c>
      <c r="AI105" s="182">
        <v>4</v>
      </c>
      <c r="AJ105" s="42">
        <v>4</v>
      </c>
      <c r="AK105" s="602" t="str" cm="1">
        <f t="array" aca="1" ref="AK105" ca="1">Ver_flag_visit</f>
        <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c r="AX105" s="170"/>
      <c r="AY105" s="276"/>
      <c r="AZ105" s="279" t="str">
        <f t="shared" ca="1" si="303"/>
        <v>1D - 3B</v>
      </c>
      <c r="BA105" s="176"/>
      <c r="BF105" t="str">
        <f t="shared" ca="1" si="304"/>
        <v>E</v>
      </c>
      <c r="BG105">
        <f t="shared" ca="1" si="305"/>
        <v>3</v>
      </c>
      <c r="BI105">
        <v>3</v>
      </c>
      <c r="BJ105" t="str">
        <f t="shared" ca="1" si="306"/>
        <v>E</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Suecia</v>
      </c>
      <c r="AG106" s="327">
        <f t="shared" ca="1" si="294"/>
        <v>1</v>
      </c>
      <c r="AH106" s="195">
        <v>77</v>
      </c>
      <c r="AI106" s="182">
        <v>5</v>
      </c>
      <c r="AJ106" s="42">
        <v>5</v>
      </c>
      <c r="AK106" s="602" t="str" cm="1">
        <f t="array" aca="1" ref="AK106" ca="1">Ver_flag_visit</f>
        <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6.05" customHeight="1">
      <c r="A107" s="16" t="s">
        <v>656</v>
      </c>
      <c r="B107" s="16" t="s">
        <v>735</v>
      </c>
      <c r="C107" s="16"/>
      <c r="D107" s="16" t="str">
        <f t="shared" ca="1" si="289"/>
        <v>Ecuador</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0</v>
      </c>
      <c r="AD107" s="92">
        <v>1</v>
      </c>
      <c r="AE107" s="89"/>
      <c r="AF107" s="91" t="str">
        <f t="shared" ca="1" si="293"/>
        <v>Ecuador</v>
      </c>
      <c r="AG107" s="327">
        <f t="shared" ca="1" si="294"/>
        <v>1</v>
      </c>
      <c r="AH107" s="195">
        <v>79</v>
      </c>
      <c r="AI107" s="182">
        <v>6</v>
      </c>
      <c r="AJ107" s="42">
        <v>6</v>
      </c>
      <c r="AK107" s="602" t="str" cm="1">
        <f t="array" aca="1" ref="AK107" ca="1">Ver_flag_visit</f>
        <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Senegal</v>
      </c>
      <c r="AG109" s="327">
        <f t="shared" ca="1" si="294"/>
        <v>1</v>
      </c>
      <c r="AH109" s="195">
        <v>82</v>
      </c>
      <c r="AI109" s="182">
        <v>8</v>
      </c>
      <c r="AJ109" s="42">
        <v>8</v>
      </c>
      <c r="AK109" s="602" t="str" cm="1">
        <f t="array" aca="1" ref="AK109" ca="1">Ver_flag_visit</f>
        <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6.0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2</v>
      </c>
      <c r="AD110" s="92">
        <v>0</v>
      </c>
      <c r="AE110" s="89"/>
      <c r="AF110" s="91" t="str">
        <f t="shared" ca="1" si="293"/>
        <v>Bosnia y Herzegovina</v>
      </c>
      <c r="AG110" s="327">
        <f t="shared" ca="1" si="294"/>
        <v>1</v>
      </c>
      <c r="AH110" s="195">
        <v>81</v>
      </c>
      <c r="AI110" s="182">
        <v>9</v>
      </c>
      <c r="AJ110" s="42">
        <v>9</v>
      </c>
      <c r="AK110" s="602" t="str" cm="1">
        <f t="array" aca="1" ref="AK110" ca="1">Ver_flag_visit</f>
        <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6.05" customHeight="1">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Portugal</v>
      </c>
      <c r="AB112" s="89"/>
      <c r="AC112" s="92">
        <v>1</v>
      </c>
      <c r="AD112" s="92">
        <v>0</v>
      </c>
      <c r="AE112" s="89"/>
      <c r="AF112" s="91" t="str">
        <f t="shared" ca="1" si="293"/>
        <v>Croacia</v>
      </c>
      <c r="AG112" s="327">
        <f t="shared" ca="1" si="294"/>
        <v>1</v>
      </c>
      <c r="AH112" s="195">
        <v>83</v>
      </c>
      <c r="AI112" s="182">
        <v>11</v>
      </c>
      <c r="AJ112" s="42">
        <v>11</v>
      </c>
      <c r="AK112" s="602" t="str" cm="1">
        <f t="array" aca="1" ref="AK112" ca="1">Ver_flag_visit</f>
        <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6.0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2</v>
      </c>
      <c r="AD113" s="92">
        <v>0</v>
      </c>
      <c r="AE113" s="90"/>
      <c r="AF113" s="91" t="str">
        <f t="shared" ca="1" si="293"/>
        <v>Argelia</v>
      </c>
      <c r="AG113" s="327">
        <f t="shared" ca="1" si="294"/>
        <v>1</v>
      </c>
      <c r="AH113" s="195">
        <v>85</v>
      </c>
      <c r="AI113" s="182">
        <v>12</v>
      </c>
      <c r="AJ113" s="44">
        <v>12</v>
      </c>
      <c r="AK113" s="604" t="str" cm="1">
        <f t="array" aca="1" ref="AK113" ca="1">Ver_flag_visit</f>
        <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6.05"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Australia</v>
      </c>
      <c r="AB114" s="89">
        <v>2</v>
      </c>
      <c r="AC114" s="92">
        <v>1</v>
      </c>
      <c r="AD114" s="92">
        <v>1</v>
      </c>
      <c r="AE114" s="89">
        <v>3</v>
      </c>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3</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Colombia</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1</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6.0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Ecuador</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Ecuador</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Portugal</v>
      </c>
      <c r="AB124" s="98">
        <v>2</v>
      </c>
      <c r="AC124" s="97">
        <v>1</v>
      </c>
      <c r="AD124" s="97">
        <v>1</v>
      </c>
      <c r="AE124" s="90">
        <v>3</v>
      </c>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0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2</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Suiza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2</v>
      </c>
      <c r="AD127" s="100">
        <v>1</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Suiza</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Suiza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0</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c r="AC139" s="100">
        <v>2</v>
      </c>
      <c r="AD139" s="100">
        <v>1</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Francia</v>
      </c>
      <c r="N143" s="16" t="str">
        <f ca="1">+INDEX($D$101:$D$147,MATCH(F143,$AH$101:$AH$147,0))</f>
        <v>Inglaterra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2</v>
      </c>
      <c r="AD143" s="105">
        <v>1</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Inglaterra</v>
      </c>
      <c r="I147" s="16"/>
      <c r="J147" s="16">
        <v>104</v>
      </c>
      <c r="K147" s="16">
        <v>46222.875</v>
      </c>
      <c r="L147" s="16" t="s">
        <v>727</v>
      </c>
      <c r="M147" s="16" t="str">
        <f ca="1">+INDEX($D$101:$D$147,MATCH(E147,$AH$101:$AH$147,0))</f>
        <v>Francia</v>
      </c>
      <c r="N147" s="16" t="str">
        <f ca="1">+INDEX($D$101:$D$147,MATCH(F147,$AH$101:$AH$147,0))</f>
        <v>Inglaterra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1</v>
      </c>
      <c r="AD147" s="105">
        <v>0</v>
      </c>
      <c r="AE147" s="216"/>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Inglaterra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1517</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1517</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formula1>0</formula1>
      <formula2>500</formula2>
    </dataValidation>
  </dataValidations>
  <hyperlinks>
    <hyperlink ref="AL162" r:id="rId1" display="© Miguel Angel Tejero. 2025"/>
    <hyperlink ref="AO162" r:id="rId2" display="https://www.paypal.com/donate?business=PJ2B6ZBH7ZHR4&amp;currency_code=EUR"/>
    <hyperlink ref="AV1" r:id="rId3"/>
    <hyperlink ref="AF162" location="Fixture!A1" display="Fixture"/>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14:formula1>
            <xm:f>Equipos!$F$2:$F$13</xm:f>
          </x14:formula1>
          <xm:sqref>B4 B12 B20 B28 B36 B44 B52 B60 B68 B76 B84 B92</xm:sqref>
        </x14:dataValidation>
        <x14:dataValidation type="list" allowBlank="1" showInputMessage="1" showErrorMessage="1">
          <x14:formula1>
            <xm:f>OFFSET(Horarios!$P$3,DJ50-1,0,DL50,1)</xm:f>
          </x14:formula1>
          <xm:sqref>AW102:AW113 AW94:AW97</xm:sqref>
        </x14:dataValidation>
        <x14:dataValidation type="list" allowBlank="1" showInputMessage="1" showErrorMessage="1" error="Introduce un puesto que corresponda_x000a_">
          <x14:formula1>
            <xm:f>OFFSET(Horarios!$P$3,DJ6-1,0,DL6,1)</xm:f>
          </x14:formula1>
          <xm:sqref>AW6:AW9</xm:sqref>
        </x14:dataValidation>
        <x14:dataValidation type="list" allowBlank="1" showInputMessage="1" showErrorMessage="1" error="Introduce un puesto que corresponda_x000a_">
          <x14:formula1>
            <xm:f>OFFSET(Horarios!$P$3,DJ10-1,0,DL10,1)</xm:f>
          </x14:formula1>
          <xm:sqref>AW14:AW17</xm:sqref>
        </x14:dataValidation>
        <x14:dataValidation type="list" allowBlank="1" showInputMessage="1" showErrorMessage="1" error="Introduce un puesto que corresponda_x000a_">
          <x14:formula1>
            <xm:f>OFFSET(Horarios!$P$3,DJ14-1,0,DL14,1)</xm:f>
          </x14:formula1>
          <xm:sqref>AW22:AW25</xm:sqref>
        </x14:dataValidation>
        <x14:dataValidation type="list" allowBlank="1" showInputMessage="1" showErrorMessage="1">
          <x14:formula1>
            <xm:f>OFFSET(Horarios!$P$3,DJ18-1,0,DL18,1)</xm:f>
          </x14:formula1>
          <xm:sqref>AW30:AW33</xm:sqref>
        </x14:dataValidation>
        <x14:dataValidation type="list" allowBlank="1" showInputMessage="1" showErrorMessage="1">
          <x14:formula1>
            <xm:f>OFFSET(Horarios!$P$3,DJ22-1,0,DL22,1)</xm:f>
          </x14:formula1>
          <xm:sqref>AW38:AW41</xm:sqref>
        </x14:dataValidation>
        <x14:dataValidation type="list" allowBlank="1" showInputMessage="1" showErrorMessage="1">
          <x14:formula1>
            <xm:f>OFFSET(Horarios!$P$3,DJ26-1,0,DL26,1)</xm:f>
          </x14:formula1>
          <xm:sqref>AW46:AW49</xm:sqref>
        </x14:dataValidation>
        <x14:dataValidation type="list" allowBlank="1" showInputMessage="1" showErrorMessage="1">
          <x14:formula1>
            <xm:f>OFFSET(Horarios!$P$3,DJ30-1,0,DL30,1)</xm:f>
          </x14:formula1>
          <xm:sqref>AW54:AW57</xm:sqref>
        </x14:dataValidation>
        <x14:dataValidation type="list" allowBlank="1" showInputMessage="1" showErrorMessage="1">
          <x14:formula1>
            <xm:f>OFFSET(Horarios!$P$3,DJ34-1,0,DL34,1)</xm:f>
          </x14:formula1>
          <xm:sqref>AW62:AW65</xm:sqref>
        </x14:dataValidation>
        <x14:dataValidation type="list" allowBlank="1" showInputMessage="1" showErrorMessage="1">
          <x14:formula1>
            <xm:f>OFFSET(Horarios!$P$3,DJ38-1,0,DL38,1)</xm:f>
          </x14:formula1>
          <xm:sqref>AW70:AW73</xm:sqref>
        </x14:dataValidation>
        <x14:dataValidation type="list" allowBlank="1" showInputMessage="1" showErrorMessage="1">
          <x14:formula1>
            <xm:f>OFFSET(Horarios!$P$3,DJ42-1,0,DL42,1)</xm:f>
          </x14:formula1>
          <xm:sqref>AW78:AW81</xm:sqref>
        </x14:dataValidation>
        <x14:dataValidation type="list" allowBlank="1" showInputMessage="1" showErrorMessage="1">
          <x14:formula1>
            <xm:f>OFFSET(Horarios!$P$3,DJ46-1,0,DL46,1)</xm:f>
          </x14:formula1>
          <xm:sqref>AW86:AW89</xm:sqref>
        </x14:dataValidation>
        <x14:dataValidation type="list" allowBlank="1" showInputMessage="1" showErrorMessage="1">
          <x14:formula1>
            <xm:f>Idiomas!$D$70:$D$71</xm:f>
          </x14:formula1>
          <xm:sqref>AZ3</xm:sqref>
        </x14:dataValidation>
        <x14:dataValidation type="list" allowBlank="1" showInputMessage="1" showErrorMessage="1">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258"/>
  <sheetViews>
    <sheetView showGridLines="0" zoomScaleNormal="100" workbookViewId="0">
      <selection activeCell="C5" sqref="C5:C258"/>
    </sheetView>
  </sheetViews>
  <sheetFormatPr baseColWidth="10"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95" customHeight="1" thickBot="1">
      <c r="A2" s="290"/>
      <c r="B2" s="291"/>
      <c r="C2" s="291"/>
      <c r="D2" s="368"/>
      <c r="E2" s="701"/>
      <c r="F2" s="701"/>
      <c r="G2" s="701"/>
      <c r="H2" s="701"/>
      <c r="I2" s="701"/>
      <c r="J2" s="701"/>
      <c r="K2" s="701"/>
      <c r="L2" s="701"/>
      <c r="M2" s="701"/>
      <c r="N2" s="701"/>
    </row>
    <row r="3" spans="1:14" ht="34.950000000000003"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05" customHeight="1">
      <c r="A5" s="353"/>
      <c r="B5" s="354" t="str">
        <f>Idiomas!D125</f>
        <v>FASE DE GRUPOS</v>
      </c>
      <c r="C5" s="346" t="str">
        <f>Home!C10</f>
        <v>Larry</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0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Sudáfrica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República Checa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Australia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Turquía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Cabo Verde</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Uruguay</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Colombia</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Portugal</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0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Sudáfrica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Portugal</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Australia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Colombia</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Senegal</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Cabo Verde</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19.95"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5"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Sudáfrica-Canadá·2|1-2</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Brasil-Japón·1|2-0</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692"/>
      <c r="E167" s="711"/>
      <c r="F167" s="711"/>
      <c r="G167" s="711"/>
      <c r="H167" s="711"/>
      <c r="I167" s="352"/>
      <c r="J167" s="370"/>
      <c r="K167" s="370"/>
      <c r="L167" s="370"/>
      <c r="M167" s="386"/>
      <c r="N167" s="377"/>
    </row>
    <row r="168" spans="1:14" ht="15" customHeight="1">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Marfil-Noruega·2|1-3</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Francia-Suecia·1|2-0</v>
      </c>
      <c r="D169" s="692"/>
      <c r="E169" s="370"/>
      <c r="F169" s="370"/>
      <c r="G169" s="370"/>
      <c r="H169" s="370"/>
      <c r="I169" s="352"/>
      <c r="J169" s="370"/>
      <c r="K169" s="370"/>
      <c r="L169" s="370"/>
      <c r="M169" s="386"/>
      <c r="N169" s="377"/>
    </row>
    <row r="170" spans="1:14" ht="15" customHeight="1">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México-Ecuador·2|0-1</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Congo·1|2-0</v>
      </c>
      <c r="D171" s="692"/>
      <c r="E171" s="370"/>
      <c r="F171" s="370"/>
      <c r="G171" s="370"/>
      <c r="H171" s="370"/>
      <c r="I171" s="352"/>
      <c r="J171" s="370"/>
      <c r="K171" s="370"/>
      <c r="L171" s="370"/>
      <c r="M171" s="386"/>
      <c r="N171" s="377"/>
    </row>
    <row r="172" spans="1:14" ht="15" customHeight="1">
      <c r="A172" s="690"/>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Bélgica-Senegal·1|2-1</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Portugal-Croacia·1|1-0</v>
      </c>
      <c r="D175" s="692"/>
      <c r="E175" s="370"/>
      <c r="F175" s="370"/>
      <c r="G175" s="370"/>
      <c r="H175" s="370"/>
      <c r="I175" s="352"/>
      <c r="J175" s="370"/>
      <c r="K175" s="370"/>
      <c r="L175" s="370"/>
      <c r="M175" s="386"/>
      <c r="N175" s="377"/>
    </row>
    <row r="176" spans="1:14" ht="15" customHeight="1">
      <c r="A176" s="690"/>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Suiza-Argelia·1|2-0</v>
      </c>
      <c r="D176" s="692"/>
      <c r="E176" s="370"/>
      <c r="F176" s="370"/>
      <c r="G176" s="370"/>
      <c r="H176" s="370"/>
      <c r="I176" s="352"/>
      <c r="J176" s="370"/>
      <c r="K176" s="370"/>
      <c r="L176" s="370"/>
      <c r="M176" s="386"/>
      <c r="N176" s="377"/>
    </row>
    <row r="177" spans="1:14" ht="15" customHeight="1">
      <c r="A177" s="690"/>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Australia-Egipto·X|1-1</v>
      </c>
      <c r="D177" s="692"/>
      <c r="E177" s="370"/>
      <c r="F177" s="370"/>
      <c r="G177" s="370"/>
      <c r="H177" s="370"/>
      <c r="I177" s="352"/>
      <c r="J177" s="370"/>
      <c r="K177" s="370"/>
      <c r="L177" s="370"/>
      <c r="M177" s="386"/>
      <c r="N177" s="377"/>
    </row>
    <row r="178" spans="1:14" ht="15" customHeight="1">
      <c r="A178" s="690"/>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Verde·1|3-0</v>
      </c>
      <c r="D178" s="692"/>
      <c r="E178" s="370"/>
      <c r="F178" s="370"/>
      <c r="G178" s="370"/>
      <c r="H178" s="370"/>
      <c r="I178" s="352"/>
      <c r="J178" s="370"/>
      <c r="K178" s="370"/>
      <c r="L178" s="370"/>
      <c r="M178" s="386"/>
      <c r="N178" s="377"/>
    </row>
    <row r="179" spans="1:14" ht="15" customHeight="1">
      <c r="A179" s="690"/>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Colombia-Ghana·1|2-0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0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Ecuador</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Portugal</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Colombia</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Bajos·2|0-1</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91"/>
      <c r="E202" s="686"/>
      <c r="F202" s="686"/>
      <c r="G202" s="686"/>
      <c r="H202" s="686"/>
      <c r="I202" s="352"/>
      <c r="J202" s="370"/>
      <c r="K202" s="370"/>
      <c r="L202" s="370"/>
      <c r="M202" s="386"/>
      <c r="N202" s="377"/>
    </row>
    <row r="203" spans="1:14" ht="15" customHeight="1">
      <c r="A203" s="690"/>
      <c r="B203" s="361" t="str">
        <f ca="1">CONCATENATE(WORLDCUP!AA123,"-",WORLDCUP!AF123)</f>
        <v>Ecuador-Inglaterra</v>
      </c>
      <c r="C203" s="351" t="str">
        <f ca="1">CONCATENATE(WORLDCUP!AA123,"-",WORLDCUP!AF123,"·",IF(WORLDCUP!AC123&gt;WORLDCUP!AD123,1,IF(WORLDCUP!AC123&lt;WORLDCUP!AD123,2,IF(AND(WORLDCUP!AC123=WORLDCUP!AD123,WORLDCUP!AC123&lt;&gt;"",WORLDCUP!AD123&lt;&gt;""),"X",0))),"|",WORLDCUP!AC123,"-",WORLDCUP!AD123)</f>
        <v>Ecuador-Inglaterra·2|0-1</v>
      </c>
      <c r="D203" s="691"/>
      <c r="E203" s="686"/>
      <c r="F203" s="686"/>
      <c r="G203" s="686"/>
      <c r="H203" s="686"/>
      <c r="I203" s="352"/>
      <c r="J203" s="370"/>
      <c r="K203" s="370"/>
      <c r="L203" s="370"/>
      <c r="M203" s="386"/>
      <c r="N203" s="377"/>
    </row>
    <row r="204" spans="1:14" ht="15" customHeight="1">
      <c r="A204" s="690"/>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Portugal-España·X|1-1</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Unidos-Bélgica·2|1-2</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Argentina-Egipto·1|2-0</v>
      </c>
      <c r="D206" s="691"/>
      <c r="E206" s="352"/>
      <c r="F206" s="352"/>
      <c r="G206" s="352"/>
      <c r="H206" s="352"/>
      <c r="I206" s="352"/>
      <c r="J206" s="370"/>
      <c r="K206" s="370"/>
      <c r="L206" s="370"/>
      <c r="M206" s="386"/>
      <c r="N206" s="377"/>
    </row>
    <row r="207" spans="1:14" ht="15" customHeight="1">
      <c r="A207" s="690"/>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Suiza-Colombia·1|2-1</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0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Suiza</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Bajos·1|1-0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692"/>
      <c r="E222" s="686"/>
      <c r="F222" s="686"/>
      <c r="G222" s="686"/>
      <c r="H222" s="686"/>
      <c r="I222" s="352"/>
      <c r="J222" s="370"/>
      <c r="K222" s="370"/>
      <c r="L222" s="370"/>
      <c r="M222" s="386"/>
      <c r="N222" s="377"/>
    </row>
    <row r="223" spans="1:14" ht="15" customHeight="1">
      <c r="A223" s="690"/>
      <c r="B223" s="360" t="str">
        <f ca="1">CONCATENATE(WORLDCUP!AA134,"-",WORLDCUP!AF134)</f>
        <v>Argentina-Suiza</v>
      </c>
      <c r="C223" s="349" t="str">
        <f ca="1">CONCATENATE(WORLDCUP!AA134,"-",WORLDCUP!AF134,"·",IF(WORLDCUP!AC134&gt;WORLDCUP!AD134,1,IF(WORLDCUP!AC134&lt;WORLDCUP!AD134,2,IF(AND(WORLDCUP!AC134=WORLDCUP!AD134,WORLDCUP!AC134&lt;&gt;"",WORLDCUP!AD134&lt;&gt;""),"X",0))),"|",WORLDCUP!AC134,"-",WORLDCUP!AD134)</f>
        <v>Argentina-Suiza·1|2-1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Francia-España·1|1-0</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Inglaterra-Argentina·1|2-1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0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Inglaterra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España-Argentina</v>
      </c>
      <c r="C244" s="349" t="str">
        <f ca="1">CONCATENATE(WORLDCUP!AA143,"-",WORLDCUP!AF143,"·",IF(WORLDCUP!AC143&gt;WORLDCUP!AD143,1,IF(WORLDCUP!AC143&lt;WORLDCUP!AD143,2,IF(AND(WORLDCUP!AC143=WORLDCUP!AD143,WORLDCUP!AC143&lt;&gt;"",WORLDCUP!AD143&lt;&gt;""),"X",0))),"|",WORLDCUP!AC143,"-",WORLDCUP!AD143)</f>
        <v>España-Argentina·1|2-1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Francia-Inglaterra</v>
      </c>
      <c r="C247" s="351" t="str">
        <f ca="1">CONCATENATE(WORLDCUP!AA147,"-",WORLDCUP!AF147,"·",IF(WORLDCUP!AC147&gt;WORLDCUP!AD147,1,IF(WORLDCUP!AC147&lt;WORLDCUP!AD147,2,IF(AND(WORLDCUP!AC147=WORLDCUP!AD147,WORLDCUP!AC147&lt;&gt;"",WORLDCUP!AD147&lt;&gt;""),"X",0))),"|",WORLDCUP!AC147,"-",WORLDCUP!AD147)</f>
        <v>Francia-Inglaterra·1|1-0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0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Inglaterra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No rellenar</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No rellenar</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No rellenar</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No rellenar</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No rellenar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No rellenar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0</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( 2 )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( 3 )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Inglaterra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1</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3</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0</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Ecu</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2</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1</v>
      </c>
      <c r="AC42" s="506" t="str">
        <f>+IF(ISBLANK(INDEX(WORLDCUP!$AB$101:$AB$147,MATCH(Y42,WORLDCUP!$Z$101:$Z$147,0))),"","( "&amp;INDEX(WORLDCUP!$AB$101:$AB$147,MATCH(Y42,WORLDCUP!$Z$101:$Z$147,0))&amp;" )")</f>
        <v>( 2 )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( 3 )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Sui</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6-6</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2</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0</v>
      </c>
      <c r="BK47" s="465">
        <f ca="1">COUNTIF(Pool!$C$210:$C$217,Fixture!BG47)-BL47-BM47-BN47-BO47</f>
        <v>1</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5.6">
      <c r="L89" s="3"/>
      <c r="M89" s="3"/>
      <c r="N89" s="3"/>
      <c r="O89" s="6"/>
      <c r="P89" s="6"/>
      <c r="Q89" s="6"/>
      <c r="R89" s="6"/>
      <c r="T89" s="16" t="s">
        <v>1479</v>
      </c>
      <c r="U89" s="9" t="s">
        <v>1466</v>
      </c>
      <c r="V89" s="9" t="s">
        <v>1466</v>
      </c>
      <c r="W89" s="585" t="s">
        <v>1468</v>
      </c>
      <c r="X89" s="584" t="e" vm="3">
        <v>#VALUE!</v>
      </c>
      <c r="Y89" s="9">
        <v>-4</v>
      </c>
      <c r="Z89" s="6"/>
      <c r="AA89" s="6"/>
      <c r="AB89" s="6"/>
    </row>
    <row r="90" spans="12:28" ht="15.6">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formula1>$T$87:$T$91</formula1>
    </dataValidation>
  </dataValidations>
  <hyperlinks>
    <hyperlink ref="C15" r:id="rId1"/>
    <hyperlink ref="E25" r:id="rId2" display="https://matejero.es/calendario-excel-liga/"/>
    <hyperlink ref="E27" r:id="rId3" location="Descarga_el_Calendario_2a_Division_Liga_23_24_Excel" display="https://matejero.es/calendario-excel-liga/ - Descarga_el_Calendario_2a_Division_Liga_23_24_Excel"/>
    <hyperlink ref="G29" r:id="rId4" display="https://matejero.com/premier-league-excel-schedule/"/>
    <hyperlink ref="E31" r:id="rId5" display="https://matejero.es/excel-copa-libertadores/"/>
    <hyperlink ref="G21" r:id="rId6" display="https://matejero.com/download/admin-world-cup-2026/"/>
    <hyperlink ref="E21" r:id="rId7" display="https://matejero.es/download/administrador-excel-mundial-2026/"/>
    <hyperlink ref="G23" r:id="rId8" display="https://matejero.com/excel-champions-league/"/>
    <hyperlink ref="E23" r:id="rId9" display="https://matejero.es/excel-champions-league/"/>
    <hyperlink ref="E15" r:id="rId10"/>
    <hyperlink ref="G15" r:id="rId11"/>
    <hyperlink ref="L34" r:id="rId1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Usuario</cp:lastModifiedBy>
  <cp:lastPrinted>2018-12-06T18:06:35Z</cp:lastPrinted>
  <dcterms:created xsi:type="dcterms:W3CDTF">2015-10-31T09:41:54Z</dcterms:created>
  <dcterms:modified xsi:type="dcterms:W3CDTF">2026-06-28T15:18:07Z</dcterms:modified>
</cp:coreProperties>
</file>