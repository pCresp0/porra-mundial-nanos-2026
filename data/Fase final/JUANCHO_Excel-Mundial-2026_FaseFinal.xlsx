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ThisWorkbook" autoCompressPictures="0" defaultThemeVersion="124226"/>
  <mc:AlternateContent xmlns:mc="http://schemas.openxmlformats.org/markup-compatibility/2006">
    <mc:Choice Requires="x15">
      <x15ac:absPath xmlns:x15ac="http://schemas.microsoft.com/office/spreadsheetml/2010/11/ac" url="/Users/pcrespo/Documents/MEGA/Mundial 2026 - backup/Fase final/"/>
    </mc:Choice>
  </mc:AlternateContent>
  <xr:revisionPtr revIDLastSave="0" documentId="13_ncr:1_{7267EF30-6017-CD4C-A2B1-438418B5D65D}"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0" yWindow="780" windowWidth="36000" windowHeight="2106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AC4" i="45" l="1"/>
  <c r="AC12" i="45"/>
  <c r="AC16" i="45"/>
  <c r="AC9" i="45"/>
  <c r="AW25" i="45"/>
  <c r="AC19" i="45"/>
  <c r="AO38" i="45"/>
  <c r="AO37" i="45"/>
  <c r="AO14" i="45"/>
  <c r="AO13" i="45"/>
  <c r="AJ44" i="45"/>
  <c r="AJ43" i="45"/>
  <c r="AG47" i="45"/>
  <c r="AF46" i="45"/>
  <c r="AF41" i="45"/>
  <c r="AF40" i="45"/>
  <c r="AG34" i="45"/>
  <c r="AG28" i="45"/>
  <c r="AF23" i="45"/>
  <c r="AG17" i="45"/>
  <c r="AF16" i="45"/>
  <c r="AF10" i="45"/>
  <c r="AF5" i="45"/>
  <c r="AC49" i="45"/>
  <c r="AB48" i="45"/>
  <c r="AC45" i="45"/>
  <c r="AC42" i="45"/>
  <c r="AB40" i="45"/>
  <c r="AC37" i="45"/>
  <c r="AB36" i="45"/>
  <c r="AC33" i="45"/>
  <c r="AB31" i="45"/>
  <c r="AB28" i="45"/>
  <c r="AC25" i="45"/>
  <c r="AB24" i="45"/>
  <c r="AB21" i="45"/>
  <c r="AC7" i="45"/>
  <c r="AC13" i="45"/>
  <c r="AC10" i="45"/>
  <c r="AS32" i="45"/>
  <c r="AC6" i="45"/>
  <c r="AC3" i="45"/>
  <c r="AJ32" i="45"/>
  <c r="AB15" i="45"/>
  <c r="AC18" i="45"/>
  <c r="AC21" i="45"/>
  <c r="AC24" i="45"/>
  <c r="AC27" i="45"/>
  <c r="AC30" i="45"/>
  <c r="AB33" i="45"/>
  <c r="AC34" i="45"/>
  <c r="AB39" i="45"/>
  <c r="AC40" i="45"/>
  <c r="AB43" i="45"/>
  <c r="AB45" i="45"/>
  <c r="AC46" i="45"/>
  <c r="AB49" i="45"/>
  <c r="AF4" i="45"/>
  <c r="AG5" i="45"/>
  <c r="AF11" i="45"/>
  <c r="AG11" i="45"/>
  <c r="AF17" i="45"/>
  <c r="AG22" i="45"/>
  <c r="AF28" i="45"/>
  <c r="AG29" i="45"/>
  <c r="AG35" i="45"/>
  <c r="AG41" i="45"/>
  <c r="AG46" i="45"/>
  <c r="AJ7" i="45"/>
  <c r="AK32" i="45"/>
  <c r="AK44" i="45"/>
  <c r="AN13" i="45"/>
  <c r="AN14" i="45"/>
  <c r="AN37" i="45"/>
  <c r="AN38" i="45"/>
  <c r="AR31" i="45"/>
  <c r="AR32" i="45"/>
  <c r="AV26" i="45"/>
  <c r="AB3" i="45"/>
  <c r="AB6" i="45"/>
  <c r="AB9" i="45"/>
  <c r="AB12" i="45"/>
  <c r="AC15" i="45"/>
  <c r="AB19" i="45"/>
  <c r="AB22" i="45"/>
  <c r="AB25" i="45"/>
  <c r="AB30" i="45"/>
  <c r="AB37" i="45"/>
  <c r="AW26" i="45"/>
  <c r="AK43" i="45"/>
  <c r="AV25" i="45"/>
  <c r="AB18" i="45"/>
  <c r="AF34" i="45"/>
  <c r="AB4" i="45"/>
  <c r="AB7" i="45"/>
  <c r="AB10" i="45"/>
  <c r="AS31" i="45"/>
  <c r="AB13" i="45"/>
  <c r="AB16" i="45"/>
  <c r="AK31" i="45"/>
  <c r="AJ31" i="45"/>
  <c r="AK20" i="45"/>
  <c r="AJ20" i="45"/>
  <c r="AK19" i="45"/>
  <c r="AJ19" i="45"/>
  <c r="AK8" i="45"/>
  <c r="AJ8" i="45"/>
  <c r="AK7" i="45"/>
  <c r="AF47" i="45"/>
  <c r="AG40" i="45"/>
  <c r="AF35" i="45"/>
  <c r="AF29" i="45"/>
  <c r="AG23" i="45"/>
  <c r="AF22" i="45"/>
  <c r="AG16" i="45"/>
  <c r="AG10" i="45"/>
  <c r="AG4" i="45"/>
  <c r="AC48" i="45"/>
  <c r="AB46" i="45"/>
  <c r="AC43" i="45"/>
  <c r="AB42" i="45"/>
  <c r="AC39" i="45"/>
  <c r="AC36" i="45"/>
  <c r="AB34" i="45"/>
  <c r="AC31" i="45"/>
  <c r="AC28" i="45"/>
  <c r="AB27" i="45"/>
  <c r="AC22" i="45"/>
  <c r="D124" i="36"/>
  <c r="D54" i="31" s="1"/>
  <c r="D30" i="36"/>
  <c r="W136" i="3" s="1"/>
  <c r="D64" i="36"/>
  <c r="D60" i="36"/>
  <c r="AT5" i="3" s="1"/>
  <c r="AT45" i="3" s="1"/>
  <c r="D52" i="36"/>
  <c r="AL5" i="3" s="1"/>
  <c r="D10" i="36"/>
  <c r="D91" i="36"/>
  <c r="L15" i="34" s="1"/>
  <c r="D89" i="36"/>
  <c r="L13" i="34" s="1"/>
  <c r="D88" i="36"/>
  <c r="L12" i="34" s="1"/>
  <c r="D95" i="36"/>
  <c r="L21" i="34" s="1"/>
  <c r="D70" i="36"/>
  <c r="D259" i="36"/>
  <c r="D271" i="36"/>
  <c r="D255" i="36"/>
  <c r="D69" i="36"/>
  <c r="D125" i="36"/>
  <c r="B5" i="31" s="1"/>
  <c r="D266" i="36"/>
  <c r="D269" i="36"/>
  <c r="D263" i="36"/>
  <c r="D264" i="36"/>
  <c r="D38" i="36"/>
  <c r="W155" i="3" s="1"/>
  <c r="B254" i="31" s="1"/>
  <c r="D39" i="36"/>
  <c r="W156" i="3" s="1"/>
  <c r="B255" i="31" s="1"/>
  <c r="D187" i="36"/>
  <c r="B127" i="31" s="1"/>
  <c r="D171" i="36"/>
  <c r="B111" i="31" s="1"/>
  <c r="D17" i="36"/>
  <c r="X3" i="3" s="1"/>
  <c r="D37" i="36"/>
  <c r="W154" i="3" s="1"/>
  <c r="B253" i="31" s="1"/>
  <c r="D24" i="36"/>
  <c r="AV3" i="3" s="1"/>
  <c r="D40" i="36"/>
  <c r="W158" i="3" s="1"/>
  <c r="B256" i="31" s="1"/>
  <c r="D183" i="36"/>
  <c r="B123" i="31" s="1"/>
  <c r="D175" i="36"/>
  <c r="B115" i="31" s="1"/>
  <c r="D19" i="36"/>
  <c r="Z3" i="3" s="1"/>
  <c r="D33" i="36"/>
  <c r="AA149" i="3" s="1"/>
  <c r="D186" i="36"/>
  <c r="B126" i="31" s="1"/>
  <c r="D51" i="36"/>
  <c r="AJ5" i="3" s="1"/>
  <c r="D193" i="36"/>
  <c r="B240" i="31" s="1"/>
  <c r="B241" i="31" s="1"/>
  <c r="D107" i="36"/>
  <c r="E3" i="31" s="1"/>
  <c r="D81" i="36"/>
  <c r="B16" i="34" s="1"/>
  <c r="D106" i="36"/>
  <c r="E1" i="31" s="1"/>
  <c r="D31" i="36"/>
  <c r="W141" i="3" s="1"/>
  <c r="D21" i="36"/>
  <c r="AC3" i="3" s="1"/>
  <c r="D132" i="36"/>
  <c r="B219" i="31" s="1"/>
  <c r="D138" i="36"/>
  <c r="B246" i="31" s="1"/>
  <c r="D190" i="36"/>
  <c r="B210" i="31" s="1"/>
  <c r="B211" i="31" s="1"/>
  <c r="B212" i="31" s="1"/>
  <c r="B213" i="31" s="1"/>
  <c r="B214" i="31" s="1"/>
  <c r="B215" i="31" s="1"/>
  <c r="B216" i="31" s="1"/>
  <c r="B217" i="31" s="1"/>
  <c r="D169" i="36"/>
  <c r="B109" i="31" s="1"/>
  <c r="D129" i="36"/>
  <c r="B181" i="31" s="1"/>
  <c r="D15" i="36"/>
  <c r="C7" i="30" s="1"/>
  <c r="D159" i="36"/>
  <c r="B99" i="31" s="1"/>
  <c r="D120" i="36"/>
  <c r="E253" i="31" s="1"/>
  <c r="D49" i="36"/>
  <c r="AL149" i="3" s="1"/>
  <c r="D155" i="36"/>
  <c r="B95" i="31" s="1"/>
  <c r="D160" i="36"/>
  <c r="B100" i="31" s="1"/>
  <c r="D136" i="36"/>
  <c r="B239" i="31" s="1"/>
  <c r="D108" i="36"/>
  <c r="E4" i="31" s="1"/>
  <c r="D152" i="36"/>
  <c r="B92" i="31" s="1"/>
  <c r="D140" i="36"/>
  <c r="B80" i="31" s="1"/>
  <c r="D105" i="36"/>
  <c r="C4" i="31" s="1"/>
  <c r="D104" i="36"/>
  <c r="D126" i="36"/>
  <c r="B79" i="31" s="1"/>
  <c r="D11" i="36"/>
  <c r="D22" i="36"/>
  <c r="AF3" i="3" s="1"/>
  <c r="D256" i="36"/>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D94" i="36"/>
  <c r="L20" i="34" s="1"/>
  <c r="D8" i="36"/>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D61" i="36"/>
  <c r="Z4"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D90" i="36"/>
  <c r="L14" i="34" s="1"/>
  <c r="D71" i="36"/>
  <c r="D28" i="36"/>
  <c r="W118" i="3" s="1"/>
  <c r="D55" i="36"/>
  <c r="AO5" i="3" s="1"/>
  <c r="D268" i="36"/>
  <c r="D191" i="36"/>
  <c r="B228" i="31" s="1"/>
  <c r="D133" i="36"/>
  <c r="B225" i="31" s="1"/>
  <c r="D131" i="36"/>
  <c r="B209" i="31" s="1"/>
  <c r="D44" i="36"/>
  <c r="D23" i="36"/>
  <c r="D63" i="36"/>
  <c r="Z8"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D53" i="36"/>
  <c r="AM5" i="3" s="1"/>
  <c r="B236" i="31"/>
  <c r="D270" i="36"/>
  <c r="D180" i="36"/>
  <c r="B120" i="31" s="1"/>
  <c r="D179" i="36"/>
  <c r="B119" i="31" s="1"/>
  <c r="D176" i="36"/>
  <c r="B116" i="31" s="1"/>
  <c r="D130" i="36"/>
  <c r="B199" i="31" s="1"/>
  <c r="D137" i="36"/>
  <c r="B243" i="31" s="1"/>
  <c r="D165" i="36"/>
  <c r="B105" i="31" s="1"/>
  <c r="D32" i="36"/>
  <c r="W145" i="3" s="1"/>
  <c r="D178" i="36"/>
  <c r="B118" i="31" s="1"/>
  <c r="D62" i="36"/>
  <c r="Z6" i="3" s="1"/>
  <c r="D170" i="36"/>
  <c r="B110" i="31" s="1"/>
  <c r="D50" i="36"/>
  <c r="AM149" i="3" s="1"/>
  <c r="D110" i="36"/>
  <c r="E6" i="31" s="1"/>
  <c r="D109" i="36"/>
  <c r="E5" i="31" s="1"/>
  <c r="D144" i="36"/>
  <c r="B84" i="31" s="1"/>
  <c r="D157" i="36"/>
  <c r="B97" i="31" s="1"/>
  <c r="D12" i="36"/>
  <c r="AO162" i="3" s="1"/>
  <c r="D76" i="36"/>
  <c r="AL115" i="3" s="1"/>
  <c r="D75" i="36"/>
  <c r="D74" i="36"/>
  <c r="D73" i="36"/>
  <c r="BD5" i="3"/>
  <c r="C253" i="31"/>
  <c r="D72" i="36"/>
  <c r="AY3" i="3" s="1"/>
  <c r="D273" i="36"/>
  <c r="EU6144" i="34"/>
  <c r="G227" i="36" s="1"/>
  <c r="D227" i="36" s="1"/>
  <c r="K27" i="6" s="1"/>
  <c r="D258" i="36"/>
  <c r="AT53" i="3"/>
  <c r="AT85" i="3"/>
  <c r="D20" i="36"/>
  <c r="AA3" i="3" s="1"/>
  <c r="AA137" i="3" s="1"/>
  <c r="D57" i="36"/>
  <c r="AQ5" i="3" s="1"/>
  <c r="AQ53" i="3" s="1"/>
  <c r="D207" i="36"/>
  <c r="AB8" i="32" s="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P21" i="3"/>
  <c r="X91" i="3"/>
  <c r="AT77" i="3"/>
  <c r="AF137" i="3"/>
  <c r="AF19" i="3"/>
  <c r="AF35" i="3" s="1"/>
  <c r="C257" i="31"/>
  <c r="Z75" i="3"/>
  <c r="Z51" i="3"/>
  <c r="Z67" i="3"/>
  <c r="AT37" i="3"/>
  <c r="Y11" i="3"/>
  <c r="Y27" i="3" s="1"/>
  <c r="Y43" i="3" s="1"/>
  <c r="Z91" i="3"/>
  <c r="X146" i="3"/>
  <c r="Y130" i="3"/>
  <c r="AT29" i="3"/>
  <c r="X75" i="3"/>
  <c r="AN101" i="3"/>
  <c r="AN61" i="3"/>
  <c r="J3" i="45"/>
  <c r="J11" i="45" s="1"/>
  <c r="J19" i="45" s="1"/>
  <c r="J27" i="45" s="1"/>
  <c r="J35" i="45" s="1"/>
  <c r="J43" i="45" s="1"/>
  <c r="V3" i="45" s="1"/>
  <c r="V11" i="45" s="1"/>
  <c r="V19" i="45" s="1"/>
  <c r="V27" i="45" s="1"/>
  <c r="V35" i="45" s="1"/>
  <c r="V43" i="45" s="1"/>
  <c r="AT13" i="3"/>
  <c r="AT61" i="3"/>
  <c r="AT101" i="3"/>
  <c r="AT69" i="3"/>
  <c r="AT21" i="3"/>
  <c r="AL85" i="3"/>
  <c r="AY85" i="3" s="1"/>
  <c r="AL37" i="3"/>
  <c r="AY37" i="3" s="1"/>
  <c r="AL45" i="3"/>
  <c r="AY45" i="3" s="1"/>
  <c r="AL93" i="3"/>
  <c r="AY93" i="3" s="1"/>
  <c r="H3" i="45"/>
  <c r="H11" i="45" s="1"/>
  <c r="H19" i="45" s="1"/>
  <c r="H27" i="45" s="1"/>
  <c r="H35" i="45" s="1"/>
  <c r="H43" i="45" s="1"/>
  <c r="T3" i="45" s="1"/>
  <c r="T11" i="45" s="1"/>
  <c r="T19" i="45" s="1"/>
  <c r="T27" i="45" s="1"/>
  <c r="T35" i="45" s="1"/>
  <c r="T43" i="45" s="1"/>
  <c r="Z59" i="3"/>
  <c r="AJ93" i="3"/>
  <c r="AJ61" i="3"/>
  <c r="Z83" i="3"/>
  <c r="AJ13" i="3"/>
  <c r="AJ85" i="3"/>
  <c r="AL13" i="3"/>
  <c r="AY13" i="3" s="1"/>
  <c r="AL21" i="3"/>
  <c r="AY21" i="3" s="1"/>
  <c r="AL53" i="3"/>
  <c r="AY53" i="3" s="1"/>
  <c r="AJ77" i="3"/>
  <c r="AJ53" i="3"/>
  <c r="AJ37" i="3"/>
  <c r="K3" i="45" l="1"/>
  <c r="K11" i="45" s="1"/>
  <c r="K19" i="45" s="1"/>
  <c r="K27" i="45" s="1"/>
  <c r="K35" i="45" s="1"/>
  <c r="K43" i="45" s="1"/>
  <c r="W3" i="45" s="1"/>
  <c r="W11" i="45" s="1"/>
  <c r="W19" i="45" s="1"/>
  <c r="W27" i="45" s="1"/>
  <c r="W35" i="45" s="1"/>
  <c r="W43" i="45" s="1"/>
  <c r="X83" i="3"/>
  <c r="X137" i="3"/>
  <c r="X100" i="3"/>
  <c r="X119" i="3"/>
  <c r="X142" i="3"/>
  <c r="X11" i="3"/>
  <c r="X27" i="3" s="1"/>
  <c r="X43" i="3" s="1"/>
  <c r="X19" i="3"/>
  <c r="X35" i="3" s="1"/>
  <c r="Z19" i="3"/>
  <c r="Z35" i="3" s="1"/>
  <c r="Z11" i="3"/>
  <c r="Z27" i="3" s="1"/>
  <c r="Z43" i="3" s="1"/>
  <c r="AJ101" i="3"/>
  <c r="AJ69" i="3"/>
  <c r="AJ29" i="3"/>
  <c r="AJ21" i="3"/>
  <c r="AJ45" i="3"/>
  <c r="AC43" i="3"/>
  <c r="AC75" i="3"/>
  <c r="AC35" i="3"/>
  <c r="AC142" i="3"/>
  <c r="AC130" i="3"/>
  <c r="AC27" i="3"/>
  <c r="AC119" i="3"/>
  <c r="AC67" i="3"/>
  <c r="AC59" i="3"/>
  <c r="AC91" i="3"/>
  <c r="AC83" i="3"/>
  <c r="AC19" i="3"/>
  <c r="AC51" i="3"/>
  <c r="AC100" i="3"/>
  <c r="AC11" i="3"/>
  <c r="AF130" i="3"/>
  <c r="AF146" i="3"/>
  <c r="AF100" i="3"/>
  <c r="AP53" i="3"/>
  <c r="AP69" i="3"/>
  <c r="AP101" i="3"/>
  <c r="AP61" i="3"/>
  <c r="AP85" i="3"/>
  <c r="AP13" i="3"/>
  <c r="AP93" i="3"/>
  <c r="AP29" i="3"/>
  <c r="AP45" i="3"/>
  <c r="BH5" i="3"/>
  <c r="BH57" i="3" s="1"/>
  <c r="AP37" i="3"/>
  <c r="AP77" i="3"/>
  <c r="B3" i="30"/>
  <c r="W1" i="3"/>
  <c r="AX18" i="45"/>
  <c r="B3" i="31"/>
  <c r="AL1" i="3"/>
  <c r="B34" i="34"/>
  <c r="E17" i="30"/>
  <c r="AA162" i="3"/>
  <c r="AN21" i="3"/>
  <c r="AN37" i="3"/>
  <c r="AN85" i="3"/>
  <c r="AN53" i="3"/>
  <c r="AN29" i="3"/>
  <c r="AN69" i="3"/>
  <c r="AN77" i="3"/>
  <c r="Y146" i="3"/>
  <c r="Y91" i="3"/>
  <c r="Y83" i="3"/>
  <c r="Y75" i="3"/>
  <c r="Y67" i="3"/>
  <c r="Y51" i="3"/>
  <c r="Y59" i="3"/>
  <c r="Y19" i="3"/>
  <c r="Y35" i="3" s="1"/>
  <c r="Y142" i="3"/>
  <c r="Y100" i="3"/>
  <c r="Y119" i="3"/>
  <c r="Y137" i="3"/>
  <c r="AZ93" i="3"/>
  <c r="AZ13" i="3"/>
  <c r="Z37" i="3"/>
  <c r="Z12" i="3"/>
  <c r="Z45" i="3"/>
  <c r="Z76" i="3"/>
  <c r="Z52" i="3"/>
  <c r="Z20" i="3"/>
  <c r="Z44" i="3"/>
  <c r="Z77" i="3"/>
  <c r="Z85" i="3"/>
  <c r="Z53" i="3"/>
  <c r="AD43" i="3"/>
  <c r="AD142" i="3"/>
  <c r="AD67" i="3"/>
  <c r="AD83" i="3"/>
  <c r="AD75" i="3"/>
  <c r="AD119" i="3"/>
  <c r="AD19" i="3"/>
  <c r="AD51" i="3"/>
  <c r="AO45" i="3"/>
  <c r="AO37" i="3"/>
  <c r="BG5" i="3"/>
  <c r="BG57" i="3" s="1"/>
  <c r="AO93" i="3"/>
  <c r="AO85" i="3"/>
  <c r="AO77" i="3"/>
  <c r="AO13" i="3"/>
  <c r="AO29" i="3"/>
  <c r="AO61" i="3"/>
  <c r="AO69" i="3"/>
  <c r="AO21" i="3"/>
  <c r="AO53" i="3"/>
  <c r="AO101" i="3"/>
  <c r="Z65" i="3"/>
  <c r="Z64" i="3"/>
  <c r="Z9" i="3"/>
  <c r="Z96" i="3"/>
  <c r="Z81" i="3"/>
  <c r="Z73" i="3"/>
  <c r="Z57" i="3"/>
  <c r="Z80" i="3"/>
  <c r="Z56" i="3"/>
  <c r="Z16" i="3"/>
  <c r="Z97" i="3"/>
  <c r="Z33" i="3"/>
  <c r="AS29" i="3"/>
  <c r="AS93" i="3"/>
  <c r="BK5" i="3"/>
  <c r="BK57" i="3" s="1"/>
  <c r="AS53" i="3"/>
  <c r="AS101" i="3"/>
  <c r="AS45" i="3"/>
  <c r="AM29" i="3"/>
  <c r="AM37" i="3"/>
  <c r="BE5" i="3"/>
  <c r="BE57" i="3" s="1"/>
  <c r="AM93" i="3"/>
  <c r="AM21" i="3"/>
  <c r="Z55" i="3"/>
  <c r="Z63" i="3"/>
  <c r="Z79" i="3"/>
  <c r="Z14" i="3"/>
  <c r="Z62" i="3"/>
  <c r="Z70" i="3"/>
  <c r="Z22" i="3"/>
  <c r="Z87" i="3"/>
  <c r="Z23" i="3"/>
  <c r="Z7" i="3"/>
  <c r="Z47" i="3"/>
  <c r="Z94" i="3"/>
  <c r="Z71" i="3"/>
  <c r="Z84" i="3"/>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E76" i="3" a="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I31" i="32"/>
  <c r="BC10" i="3"/>
  <c r="AI8" i="32"/>
  <c r="AB22" i="3" a="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I36" i="32"/>
  <c r="S86" i="32"/>
  <c r="R61" i="32"/>
  <c r="R58" i="32"/>
  <c r="T54" i="32"/>
  <c r="T75" i="32"/>
  <c r="R66" i="32"/>
  <c r="S68" i="32"/>
  <c r="AB24" i="3" a="1"/>
  <c r="AI17" i="32"/>
  <c r="S61" i="32"/>
  <c r="AI11" i="32"/>
  <c r="T66" i="32"/>
  <c r="R70" i="32"/>
  <c r="T71" i="32"/>
  <c r="R80" i="32"/>
  <c r="T55" i="32"/>
  <c r="AI9" i="32"/>
  <c r="S82" i="32"/>
  <c r="AI19" i="32"/>
  <c r="S60" i="32"/>
  <c r="AI3" i="32"/>
  <c r="S77" i="32"/>
  <c r="R60" i="32"/>
  <c r="T82" i="32"/>
  <c r="R86" i="32"/>
  <c r="AB71" i="3" a="1"/>
  <c r="AE13" i="3" a="1"/>
  <c r="AB14" i="3" a="1"/>
  <c r="AB64" i="3" a="1"/>
  <c r="AB20" i="3" a="1"/>
  <c r="A53" i="3"/>
  <c r="AY54" i="3" s="1"/>
  <c r="AB72" i="3" a="1"/>
  <c r="R23" i="45"/>
  <c r="AE72" i="3" a="1"/>
  <c r="R20" i="45"/>
  <c r="AE69" i="3" a="1"/>
  <c r="F36" i="45"/>
  <c r="AE37" i="3" a="1"/>
  <c r="F43" i="45"/>
  <c r="AE44" i="3" a="1"/>
  <c r="F46" i="45"/>
  <c r="AE47" i="3" a="1"/>
  <c r="O22" i="45"/>
  <c r="C40" i="45"/>
  <c r="AB41" i="3" a="1"/>
  <c r="C47" i="45"/>
  <c r="AB48" i="3" a="1"/>
  <c r="O21" i="45"/>
  <c r="AB70" i="3" a="1"/>
  <c r="C38" i="45"/>
  <c r="AB39" i="3" a="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A32" i="3"/>
  <c r="C31" i="45" s="1"/>
  <c r="AY33" i="3"/>
  <c r="AY96" i="3"/>
  <c r="AA93" i="3"/>
  <c r="AB93" i="3" s="1" a="1"/>
  <c r="AA97" i="3"/>
  <c r="AB97" i="3" s="1" a="1"/>
  <c r="AF95" i="3"/>
  <c r="R46" i="45" s="1"/>
  <c r="AF92" i="3"/>
  <c r="AE92" i="3" s="1" a="1"/>
  <c r="AA6" i="3"/>
  <c r="AB6" i="3" s="1" a="1"/>
  <c r="AY81" i="3"/>
  <c r="AB88" i="3" a="1"/>
  <c r="AB84" i="3" a="1"/>
  <c r="AE86" i="3" a="1"/>
  <c r="AE87" i="3" a="1"/>
  <c r="AE85" i="3" a="1"/>
  <c r="AE88" i="3" a="1"/>
  <c r="AE84" i="3" a="1"/>
  <c r="AB86" i="3" a="1"/>
  <c r="AE89" i="3" a="1"/>
  <c r="AB89" i="3" a="1"/>
  <c r="AB85" i="3" a="1"/>
  <c r="AB94" i="3" a="1"/>
  <c r="AE96" i="3" a="1"/>
  <c r="AB95" i="3" a="1"/>
  <c r="AE97" i="3" a="1"/>
  <c r="AB87" i="3" a="1"/>
  <c r="AE48" i="3" a="1"/>
  <c r="AB47" i="3" a="1"/>
  <c r="AB61" i="3" a="1"/>
  <c r="AE63" i="3" a="1"/>
  <c r="AE70" i="3" a="1"/>
  <c r="AB45" i="3" a="1"/>
  <c r="AB62" i="3" a="1"/>
  <c r="AE62" i="3" a="1"/>
  <c r="AE60" i="3" a="1"/>
  <c r="AE45" i="3" a="1"/>
  <c r="AB49" i="3" a="1"/>
  <c r="AE73" i="3" a="1"/>
  <c r="AB60" i="3" a="1"/>
  <c r="AB78" i="3" a="1"/>
  <c r="AE65" i="3" a="1"/>
  <c r="AB76" i="3" a="1"/>
  <c r="AB77" i="3" a="1"/>
  <c r="AB63" i="3" a="1"/>
  <c r="AE77" i="3" a="1"/>
  <c r="AB69" i="3" a="1"/>
  <c r="AE81" i="3" a="1"/>
  <c r="AE68" i="3" a="1"/>
  <c r="AE80" i="3" a="1"/>
  <c r="AE61" i="3" a="1"/>
  <c r="AE46" i="3" a="1"/>
  <c r="AB73" i="3" a="1"/>
  <c r="AB46" i="3" a="1"/>
  <c r="AE71" i="3" a="1"/>
  <c r="AE78" i="3" a="1"/>
  <c r="AB65" i="3" a="1"/>
  <c r="AF94" i="3"/>
  <c r="R45" i="45" s="1"/>
  <c r="AE32" i="3" a="1"/>
  <c r="AE39" i="3" a="1"/>
  <c r="AA79" i="3"/>
  <c r="B49" i="31" s="1"/>
  <c r="AB31" i="3" a="1"/>
  <c r="AB28" i="3" a="1"/>
  <c r="AA81" i="3"/>
  <c r="O32" i="45" s="1"/>
  <c r="F23" i="45"/>
  <c r="AE36" i="3" a="1"/>
  <c r="AE33" i="3" a="1"/>
  <c r="AA8" i="3"/>
  <c r="B54" i="31" s="1"/>
  <c r="AE25" i="3" a="1"/>
  <c r="AY9" i="3"/>
  <c r="AE40" i="3" a="1"/>
  <c r="AE23" i="3" a="1"/>
  <c r="AB40" i="3" a="1"/>
  <c r="AB29" i="3" a="1"/>
  <c r="AE30" i="3" a="1"/>
  <c r="AB25" i="3" a="1"/>
  <c r="AB33" i="3" a="1"/>
  <c r="AE38" i="3" a="1"/>
  <c r="AB36" i="3" a="1"/>
  <c r="AE28" i="3" a="1"/>
  <c r="AB21" i="3" a="1"/>
  <c r="AB30" i="3" a="1"/>
  <c r="AE31" i="3" a="1"/>
  <c r="AB37" i="3" a="1"/>
  <c r="AE17" i="3" a="1"/>
  <c r="AB13" i="3" a="1"/>
  <c r="BC6" i="3"/>
  <c r="AE14" i="3" a="1"/>
  <c r="AE12" i="3" a="1"/>
  <c r="AB12" i="3" a="1"/>
  <c r="AB17" i="3" a="1"/>
  <c r="AE15" i="3" a="1"/>
  <c r="F8" i="45"/>
  <c r="AE8" i="3" a="1"/>
  <c r="AB7" i="3" a="1"/>
  <c r="AE5" i="3" a="1"/>
  <c r="AB5" i="3" a="1"/>
  <c r="AB4" i="3" a="1"/>
  <c r="AE4" i="3" a="1"/>
  <c r="AA38" i="3"/>
  <c r="AF41" i="3"/>
  <c r="AY38" i="3"/>
  <c r="C35" i="45"/>
  <c r="AB56" i="3" a="1"/>
  <c r="AE56" i="3" a="1"/>
  <c r="AE53" i="3" a="1"/>
  <c r="AE52" i="3" a="1"/>
  <c r="AE55" i="3" a="1"/>
  <c r="AB55" i="3" a="1"/>
  <c r="AB57" i="3" a="1"/>
  <c r="F7" i="45"/>
  <c r="AE9" i="3" a="1"/>
  <c r="C4" i="45"/>
  <c r="AF93" i="3"/>
  <c r="AA96" i="3"/>
  <c r="C6" i="45"/>
  <c r="AY97" i="3"/>
  <c r="B31" i="31"/>
  <c r="AB92" i="3" a="1"/>
  <c r="AE7" i="3" a="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B10" i="31"/>
  <c r="AE20" i="3" a="1"/>
  <c r="B34" i="31"/>
  <c r="AE22" i="3" a="1"/>
  <c r="B58" i="31"/>
  <c r="AE24" i="3" a="1"/>
  <c r="C22" i="45"/>
  <c r="AB23" i="3" a="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60" i="31" l="1"/>
  <c r="AB32" i="3" a="1"/>
  <c r="B13" i="31"/>
  <c r="F28" i="45"/>
  <c r="R43" i="45"/>
  <c r="O44" i="45"/>
  <c r="B77" i="31"/>
  <c r="AE95" i="3" a="1"/>
  <c r="C5" i="45"/>
  <c r="B53" i="31"/>
  <c r="B28" i="31"/>
  <c r="O48" i="45"/>
  <c r="B73" i="31"/>
  <c r="B52" i="31"/>
  <c r="O30" i="45"/>
  <c r="AB8" i="3" a="1"/>
  <c r="C7" i="45"/>
  <c r="AE93" i="3" a="1"/>
  <c r="AE94" i="3" a="1"/>
  <c r="AB96" i="3" a="1"/>
  <c r="AE49" i="3" a="1"/>
  <c r="AB81" i="3" a="1"/>
  <c r="AB79" i="3" a="1"/>
  <c r="F40" i="45"/>
  <c r="AB38" i="3" a="1"/>
  <c r="AE16" i="3" a="1"/>
  <c r="AB15" i="3" a="1"/>
  <c r="AB9" i="3" a="1"/>
  <c r="F5" i="45"/>
  <c r="B63" i="31"/>
  <c r="B30" i="31"/>
  <c r="B38" i="31"/>
  <c r="AE41" i="3" a="1"/>
  <c r="AB44" i="3" a="1"/>
  <c r="C37" i="45"/>
  <c r="B29" i="31"/>
  <c r="O47" i="45"/>
  <c r="AE54" i="3" a="1"/>
  <c r="AB54" i="3" a="1"/>
  <c r="AB53" i="3" a="1"/>
  <c r="R44" i="45"/>
  <c r="B76" i="31"/>
  <c r="R8" i="45"/>
  <c r="F15" i="45"/>
  <c r="B56" i="31"/>
  <c r="S17" i="32"/>
  <c r="C43" i="45"/>
  <c r="B33" i="31"/>
  <c r="X27" i="32"/>
  <c r="C14" i="45"/>
  <c r="BI37" i="3"/>
  <c r="AE6" i="3" a="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41" i="32" l="1"/>
  <c r="X41" i="3" s="1"/>
  <c r="C14" i="32"/>
  <c r="X14" i="3" s="1"/>
  <c r="C56" i="32"/>
  <c r="X56" i="3" s="1"/>
  <c r="C93" i="32"/>
  <c r="Y93" i="3" s="1"/>
  <c r="C16" i="32"/>
  <c r="X16" i="3" s="1"/>
  <c r="C17" i="32"/>
  <c r="C88" i="32"/>
  <c r="X88" i="3" s="1"/>
  <c r="C28" i="32"/>
  <c r="X28" i="3" s="1"/>
  <c r="C92" i="32"/>
  <c r="C6" i="32"/>
  <c r="C138" i="32"/>
  <c r="Y138" i="3" s="1"/>
  <c r="C84" i="32"/>
  <c r="X84" i="3" s="1"/>
  <c r="C62" i="32"/>
  <c r="Y62" i="3" s="1"/>
  <c r="C12" i="32"/>
  <c r="X12" i="3" s="1"/>
  <c r="C79" i="32"/>
  <c r="Y79" i="3" s="1"/>
  <c r="C49" i="32"/>
  <c r="X49" i="3" s="1"/>
  <c r="C69" i="32"/>
  <c r="Y69" i="3" s="1"/>
  <c r="C23" i="32"/>
  <c r="X23" i="3" s="1"/>
  <c r="C20" i="32"/>
  <c r="Y20" i="3" s="1"/>
  <c r="C65" i="32"/>
  <c r="Y65" i="3" s="1"/>
  <c r="C7" i="32"/>
  <c r="X7" i="3" s="1"/>
  <c r="C120" i="32"/>
  <c r="X120" i="3" s="1"/>
  <c r="C54" i="32"/>
  <c r="Y54" i="3" s="1"/>
  <c r="C55" i="32"/>
  <c r="Y55" i="3" s="1"/>
  <c r="C9" i="32"/>
  <c r="X9" i="3" s="1"/>
  <c r="C78" i="32"/>
  <c r="Y78" i="3" s="1"/>
  <c r="C45" i="32"/>
  <c r="X45" i="3" s="1"/>
  <c r="C94" i="32"/>
  <c r="X94" i="3" s="1"/>
  <c r="C29" i="32"/>
  <c r="Y29" i="3" s="1"/>
  <c r="C61" i="32"/>
  <c r="X61" i="3" s="1"/>
  <c r="C116" i="32"/>
  <c r="X116" i="3" s="1"/>
  <c r="C143" i="32"/>
  <c r="X143" i="3" s="1"/>
  <c r="C134" i="32"/>
  <c r="Y134" i="3" s="1"/>
  <c r="C101" i="32"/>
  <c r="Y101" i="3" s="1"/>
  <c r="C85" i="32"/>
  <c r="X85" i="3" s="1"/>
  <c r="C13" i="32"/>
  <c r="Y13" i="3" s="1"/>
  <c r="C21" i="32"/>
  <c r="X21" i="3" s="1"/>
  <c r="C86" i="32"/>
  <c r="X86" i="3" s="1"/>
  <c r="C103" i="32"/>
  <c r="X103" i="3" s="1"/>
  <c r="C110" i="32"/>
  <c r="X110" i="3" s="1"/>
  <c r="C105" i="32"/>
  <c r="X105" i="3" s="1"/>
  <c r="C108" i="32"/>
  <c r="Y108" i="3" s="1"/>
  <c r="C125" i="32"/>
  <c r="Y125" i="3" s="1"/>
  <c r="C60" i="32"/>
  <c r="Y60" i="3" s="1"/>
  <c r="C5" i="32"/>
  <c r="Y5" i="3" s="1"/>
  <c r="C106" i="32"/>
  <c r="Y106" i="3" s="1"/>
  <c r="C33" i="32"/>
  <c r="X33" i="3" s="1"/>
  <c r="C64" i="32"/>
  <c r="Y64" i="3" s="1"/>
  <c r="C113" i="32"/>
  <c r="X113" i="3" s="1"/>
  <c r="C139" i="32"/>
  <c r="X139" i="3" s="1"/>
  <c r="C38" i="32"/>
  <c r="Y38" i="3" s="1"/>
  <c r="C31" i="32"/>
  <c r="Y31" i="3" s="1"/>
  <c r="C115" i="32"/>
  <c r="Y115" i="3" s="1"/>
  <c r="C95" i="32"/>
  <c r="X95" i="3" s="1"/>
  <c r="C25" i="32"/>
  <c r="X25" i="3" s="1"/>
  <c r="C81" i="32"/>
  <c r="X81"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31" i="3"/>
  <c r="Y103" i="3"/>
  <c r="Y23" i="3"/>
  <c r="Y12" i="3"/>
  <c r="X17" i="3" l="1"/>
  <c r="Y17" i="3"/>
  <c r="X92" i="3"/>
  <c r="Y92" i="3"/>
  <c r="X6" i="3"/>
  <c r="Y6" i="3"/>
  <c r="X101" i="3"/>
  <c r="Y14" i="3"/>
  <c r="Y41" i="3"/>
  <c r="Y45" i="3"/>
  <c r="X20" i="3"/>
  <c r="X62" i="3"/>
  <c r="X69" i="3"/>
  <c r="Y16" i="3"/>
  <c r="Y7" i="3"/>
  <c r="X54" i="3"/>
  <c r="X79" i="3"/>
  <c r="X125" i="3"/>
  <c r="Y85" i="3"/>
  <c r="X138" i="3"/>
  <c r="Y88" i="3"/>
  <c r="Y56" i="3"/>
  <c r="Y116" i="3"/>
  <c r="Y110" i="3"/>
  <c r="X13" i="3"/>
  <c r="X55" i="3"/>
  <c r="Y143" i="3"/>
  <c r="Y84" i="3"/>
  <c r="X64" i="3"/>
  <c r="X65" i="3"/>
  <c r="Y49" i="3"/>
  <c r="X60" i="3"/>
  <c r="Y28" i="3"/>
  <c r="X93" i="3"/>
  <c r="Y94" i="3"/>
  <c r="Y81" i="3"/>
  <c r="Y86" i="3"/>
  <c r="Y120" i="3"/>
  <c r="X78" i="3"/>
  <c r="X106" i="3"/>
  <c r="Y61" i="3"/>
  <c r="X108" i="3"/>
  <c r="X29" i="3"/>
  <c r="X134" i="3"/>
  <c r="X5" i="3"/>
  <c r="Y113" i="3"/>
  <c r="X115" i="3"/>
  <c r="Y105" i="3"/>
  <c r="X53" i="3"/>
  <c r="Y21" i="3"/>
  <c r="Y9" i="3"/>
  <c r="Y127" i="3"/>
  <c r="Y139" i="3"/>
  <c r="Y95" i="3"/>
  <c r="Y33" i="3"/>
  <c r="X44" i="3"/>
  <c r="X122" i="3"/>
  <c r="X123" i="3"/>
  <c r="X38" i="3"/>
  <c r="Y76" i="3"/>
  <c r="Y4" i="3"/>
  <c r="Y133" i="3"/>
  <c r="Y25" i="3"/>
  <c r="X124" i="3"/>
  <c r="X131" i="3"/>
  <c r="X57" i="3"/>
  <c r="Y22" i="3"/>
  <c r="X47" i="3"/>
  <c r="Y121" i="3"/>
  <c r="X48" i="3"/>
  <c r="X24" i="3"/>
  <c r="Y114" i="3"/>
  <c r="X63" i="3"/>
  <c r="Y104" i="3"/>
  <c r="X68" i="3"/>
  <c r="X89"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7" i="3" s="1"/>
  <c r="BU28" i="3"/>
  <c r="F46" i="3"/>
  <c r="E45" i="3"/>
  <c r="BW29" i="3" s="1"/>
  <c r="F92" i="3"/>
  <c r="F95" i="3"/>
  <c r="BW53" i="3" s="1"/>
  <c r="E97" i="3"/>
  <c r="BV52" i="3" s="1"/>
  <c r="F81" i="3"/>
  <c r="E76" i="3"/>
  <c r="E78" i="3"/>
  <c r="BW44" i="3" s="1"/>
  <c r="E48" i="3"/>
  <c r="F44" i="3"/>
  <c r="F47" i="3"/>
  <c r="E38" i="3"/>
  <c r="F41" i="3"/>
  <c r="BU25" i="3" s="1"/>
  <c r="E36" i="3"/>
  <c r="BW23" i="3" s="1"/>
  <c r="E39" i="3"/>
  <c r="F37" i="3"/>
  <c r="E41" i="3"/>
  <c r="BW22" i="3" s="1"/>
  <c r="BW34" i="3"/>
  <c r="E62" i="3"/>
  <c r="BW36" i="3" s="1"/>
  <c r="E60" i="3"/>
  <c r="F65" i="3"/>
  <c r="E87" i="3"/>
  <c r="E88" i="3"/>
  <c r="BW46" i="3" s="1"/>
  <c r="F85" i="3"/>
  <c r="BU48" i="3" s="1"/>
  <c r="E14" i="3"/>
  <c r="F13" i="3"/>
  <c r="BU12" i="3" s="1"/>
  <c r="E16" i="3"/>
  <c r="F17" i="3"/>
  <c r="BU11" i="3" s="1"/>
  <c r="F15" i="3"/>
  <c r="E13" i="3"/>
  <c r="BW13" i="3" s="1"/>
  <c r="E4" i="3"/>
  <c r="E7" i="3"/>
  <c r="F8" i="3"/>
  <c r="BU26" i="3"/>
  <c r="E44" i="3"/>
  <c r="BW27" i="3" s="1"/>
  <c r="E46" i="3"/>
  <c r="BW28" i="3" s="1"/>
  <c r="BW26" i="3"/>
  <c r="F49" i="3"/>
  <c r="BU29" i="3" s="1"/>
  <c r="E73" i="3"/>
  <c r="F68" i="3"/>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45" i="3"/>
  <c r="E81" i="3"/>
  <c r="E79" i="3"/>
  <c r="BU43" i="3" s="1"/>
  <c r="F77" i="3"/>
  <c r="BU44" i="3" s="1"/>
  <c r="F61" i="3"/>
  <c r="E65" i="3"/>
  <c r="E63" i="3"/>
  <c r="E9" i="3"/>
  <c r="F4" i="3"/>
  <c r="F6" i="3"/>
  <c r="F79" i="3"/>
  <c r="E80" i="3"/>
  <c r="F76" i="3"/>
  <c r="F80" i="3"/>
  <c r="BW43" i="3" s="1"/>
  <c r="E77" i="3"/>
  <c r="BW45" i="3" s="1"/>
  <c r="F78" i="3"/>
  <c r="E61" i="3"/>
  <c r="F62" i="3"/>
  <c r="BU34" i="3" s="1"/>
  <c r="BU36" i="3"/>
  <c r="F64" i="3"/>
  <c r="BU35" i="3" s="1"/>
  <c r="F72" i="3"/>
  <c r="BU41" i="3" s="1"/>
  <c r="E68" i="3"/>
  <c r="BW39" i="3" s="1"/>
  <c r="BW38" i="3"/>
  <c r="BU38" i="3"/>
  <c r="E70" i="3"/>
  <c r="BU22" i="3" l="1"/>
  <c r="BU30" i="3"/>
  <c r="BU19" i="3"/>
  <c r="BW37" i="3"/>
  <c r="BW35" i="3"/>
  <c r="BU37" i="3"/>
  <c r="BU24" i="3"/>
  <c r="BW24" i="3"/>
  <c r="BW42" i="3"/>
  <c r="BU42" i="3"/>
  <c r="BW10" i="3"/>
  <c r="BV50" i="3"/>
  <c r="BV51" i="3"/>
  <c r="BX51" i="3" s="1"/>
  <c r="BV53" i="3"/>
  <c r="BX53" i="3" s="1"/>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V35" i="3"/>
  <c r="BX35" i="3" s="1"/>
  <c r="BW30" i="3"/>
  <c r="BV29" i="3"/>
  <c r="BX29" i="3" s="1"/>
  <c r="BV28" i="3"/>
  <c r="BX28" i="3" s="1"/>
  <c r="BV27" i="3"/>
  <c r="BX27" i="3" s="1"/>
  <c r="BV22" i="3"/>
  <c r="BX22" i="3" s="1"/>
  <c r="BV23" i="3"/>
  <c r="BX23" i="3" s="1"/>
  <c r="BV24" i="3"/>
  <c r="BV25" i="3"/>
  <c r="BX25" i="3" s="1"/>
  <c r="BW20" i="3"/>
  <c r="BU10" i="3"/>
  <c r="BU13" i="3"/>
  <c r="BW11" i="3"/>
  <c r="BW14" i="3"/>
  <c r="BW19" i="3"/>
  <c r="BW12" i="3"/>
  <c r="BU15" i="3"/>
  <c r="BW16" i="3"/>
  <c r="BU14" i="3"/>
  <c r="BW7" i="3"/>
  <c r="BU6" i="3"/>
  <c r="BW8" i="3"/>
  <c r="BU9" i="3"/>
  <c r="BW9" i="3"/>
  <c r="BV9" i="3"/>
  <c r="BV8" i="3"/>
  <c r="BV6" i="3"/>
  <c r="BW49" i="3"/>
  <c r="BW31" i="3"/>
  <c r="BW47" i="3"/>
  <c r="BX32" i="3"/>
  <c r="BX30" i="3" l="1"/>
  <c r="BX19" i="3"/>
  <c r="BX37" i="3"/>
  <c r="BX24"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3" i="3" l="1"/>
  <c r="H21" i="3"/>
  <c r="I5" i="3"/>
  <c r="H78" i="3"/>
  <c r="H20" i="3"/>
  <c r="H23" i="3"/>
  <c r="I20" i="3"/>
  <c r="I22"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5" i="3" l="1"/>
  <c r="CB14" i="3"/>
  <c r="CA14" i="3"/>
  <c r="CB8" i="3"/>
  <c r="CB19" i="3"/>
  <c r="CB53" i="3"/>
  <c r="CA45" i="3"/>
  <c r="CB45" i="3"/>
  <c r="CB46" i="3"/>
  <c r="CC46" i="3" s="1"/>
  <c r="CB18" i="3"/>
  <c r="CA50" i="3"/>
  <c r="CB34" i="3"/>
  <c r="CB43" i="3"/>
  <c r="CC43" i="3" s="1"/>
  <c r="CA53" i="3"/>
  <c r="CC53" i="3" s="1"/>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C17" i="3"/>
  <c r="CA8" i="3"/>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5" i="3" l="1"/>
  <c r="CC8" i="3"/>
  <c r="CC14" i="3"/>
  <c r="CC19"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12" i="3" l="1"/>
  <c r="L87" i="3"/>
  <c r="K93" i="3"/>
  <c r="L84" i="3"/>
  <c r="L97" i="3"/>
  <c r="L13" i="3"/>
  <c r="K24" i="3"/>
  <c r="K14"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14" i="3" l="1"/>
  <c r="CF11" i="3"/>
  <c r="CF31" i="3"/>
  <c r="CF35"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CI53" i="3" l="1"/>
  <c r="N96" i="3"/>
  <c r="O93" i="3"/>
  <c r="O64" i="3"/>
  <c r="N95" i="3"/>
  <c r="N61" i="3"/>
  <c r="O44" i="3"/>
  <c r="CI36" i="3"/>
  <c r="O47" i="3"/>
  <c r="O94" i="3"/>
  <c r="O97" i="3"/>
  <c r="O95" i="3"/>
  <c r="CI51" i="3"/>
  <c r="N29" i="3"/>
  <c r="CJ50" i="3"/>
  <c r="CI9" i="3"/>
  <c r="O55" i="3"/>
  <c r="O33" i="3"/>
  <c r="CJ19" i="3" s="1"/>
  <c r="N9" i="3"/>
  <c r="CI8" i="3" s="1"/>
  <c r="N36" i="3"/>
  <c r="O41" i="3"/>
  <c r="O4" i="3"/>
  <c r="O69" i="3"/>
  <c r="CI35" i="3"/>
  <c r="N72" i="3"/>
  <c r="CK21" i="3"/>
  <c r="O30" i="3"/>
  <c r="CI18" i="3" s="1"/>
  <c r="N32" i="3"/>
  <c r="CJ18" i="3" s="1"/>
  <c r="N7" i="3"/>
  <c r="CK8" i="3" s="1"/>
  <c r="O29" i="3"/>
  <c r="CI20" i="3" s="1"/>
  <c r="N49" i="3"/>
  <c r="N52" i="3"/>
  <c r="N54" i="3"/>
  <c r="N37" i="3"/>
  <c r="CI25" i="3" s="1"/>
  <c r="N8" i="3"/>
  <c r="CI6" i="3" s="1"/>
  <c r="CK22" i="3"/>
  <c r="CK41" i="3"/>
  <c r="O52" i="3"/>
  <c r="CI30" i="3" s="1"/>
  <c r="N97" i="3"/>
  <c r="O77" i="3"/>
  <c r="CI44" i="3" s="1"/>
  <c r="N80" i="3"/>
  <c r="N55" i="3"/>
  <c r="CI31" i="3" s="1"/>
  <c r="N81" i="3"/>
  <c r="CI42" i="3" s="1"/>
  <c r="N84" i="3"/>
  <c r="CI45" i="3"/>
  <c r="O5" i="3"/>
  <c r="N47" i="3"/>
  <c r="CI27" i="3" s="1"/>
  <c r="CK46" i="3"/>
  <c r="CI33" i="3"/>
  <c r="O53" i="3"/>
  <c r="CI32" i="3" s="1"/>
  <c r="O79" i="3"/>
  <c r="N6" i="3"/>
  <c r="N86" i="3"/>
  <c r="O32" i="3"/>
  <c r="CI21" i="3" s="1"/>
  <c r="CI12" i="3"/>
  <c r="CI43" i="3"/>
  <c r="N88" i="3"/>
  <c r="N30" i="3"/>
  <c r="CK20" i="3" s="1"/>
  <c r="CK6" i="3"/>
  <c r="CK25" i="3"/>
  <c r="N73" i="3"/>
  <c r="N15" i="3"/>
  <c r="O96" i="3"/>
  <c r="CJ53" i="3" s="1"/>
  <c r="CL53" i="3" s="1"/>
  <c r="CK34" i="3"/>
  <c r="CI39" i="3"/>
  <c r="CK30" i="3"/>
  <c r="N68" i="3"/>
  <c r="CK50" i="3"/>
  <c r="O40" i="3"/>
  <c r="O15" i="3"/>
  <c r="CI10" i="3" s="1"/>
  <c r="N65" i="3"/>
  <c r="O9" i="3"/>
  <c r="CI7" i="3" s="1"/>
  <c r="CI23" i="3"/>
  <c r="O36" i="3"/>
  <c r="CJ22" i="3" s="1"/>
  <c r="CK23" i="3"/>
  <c r="O61" i="3"/>
  <c r="CJ36" i="3" s="1"/>
  <c r="CL36" i="3" s="1"/>
  <c r="CI47" i="3"/>
  <c r="N13" i="3"/>
  <c r="O68" i="3"/>
  <c r="O57" i="3"/>
  <c r="O65" i="3"/>
  <c r="CK37" i="3" s="1"/>
  <c r="N40" i="3"/>
  <c r="O31" i="3"/>
  <c r="CJ21" i="3" s="1"/>
  <c r="N92" i="3"/>
  <c r="CK51" i="3" s="1"/>
  <c r="CK12" i="3"/>
  <c r="N77" i="3"/>
  <c r="CK45" i="3" s="1"/>
  <c r="CI50" i="3"/>
  <c r="O25" i="3"/>
  <c r="O37" i="3"/>
  <c r="N5" i="3"/>
  <c r="CJ9" i="3" s="1"/>
  <c r="O72" i="3"/>
  <c r="CI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48" i="3"/>
  <c r="N85" i="3"/>
  <c r="CI49" i="3" s="1"/>
  <c r="N44" i="3"/>
  <c r="CK27" i="3" s="1"/>
  <c r="N12" i="3"/>
  <c r="CI11" i="3" s="1"/>
  <c r="O54" i="3"/>
  <c r="O89" i="3"/>
  <c r="O56" i="3"/>
  <c r="N24" i="3"/>
  <c r="O46" i="3"/>
  <c r="CI28" i="3"/>
  <c r="O21" i="3"/>
  <c r="CI16" i="3" s="1"/>
  <c r="N45" i="3"/>
  <c r="CK29" i="3" s="1"/>
  <c r="CK32" i="3"/>
  <c r="N16" i="3"/>
  <c r="CK10" i="3" s="1"/>
  <c r="CI48" i="3"/>
  <c r="CK26" i="3"/>
  <c r="CJ48" i="3"/>
  <c r="O20" i="3"/>
  <c r="N33" i="3"/>
  <c r="N69" i="3"/>
  <c r="O73" i="3"/>
  <c r="O60" i="3"/>
  <c r="CI34" i="3" s="1"/>
  <c r="O63" i="3"/>
  <c r="CI37" i="3" s="1"/>
  <c r="CI40" i="3"/>
  <c r="O70" i="3"/>
  <c r="CK17" i="3"/>
  <c r="N22" i="3"/>
  <c r="CK42" i="3"/>
  <c r="N78" i="3"/>
  <c r="CK44" i="3" s="1"/>
  <c r="O81" i="3"/>
  <c r="CI13" i="3"/>
  <c r="N14" i="3"/>
  <c r="CK11" i="3" s="1"/>
  <c r="CK13" i="3"/>
  <c r="N23" i="3"/>
  <c r="N20" i="3"/>
  <c r="O24" i="3"/>
  <c r="N17" i="3"/>
  <c r="O14" i="3"/>
  <c r="CK33" i="3"/>
  <c r="CK53" i="3"/>
  <c r="CK49" i="3"/>
  <c r="CK31" i="3"/>
  <c r="CK36" i="3" l="1"/>
  <c r="CK28" i="3"/>
  <c r="CI19" i="3"/>
  <c r="CL19" i="3" s="1"/>
  <c r="CI24" i="3"/>
  <c r="CK24" i="3"/>
  <c r="CI22" i="3"/>
  <c r="CL22" i="3" s="1"/>
  <c r="CK47" i="3"/>
  <c r="CI15" i="3"/>
  <c r="CK18" i="3"/>
  <c r="CI14" i="3"/>
  <c r="CK43" i="3"/>
  <c r="CK14"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J11" i="3"/>
  <c r="CL11" i="3" s="1"/>
  <c r="CJ20" i="3"/>
  <c r="CL20" i="3" s="1"/>
  <c r="CJ15" i="3"/>
  <c r="CJ14"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4" i="3" l="1"/>
  <c r="CL24" i="3"/>
  <c r="CM52" i="3" s="1"/>
  <c r="CL15" i="3"/>
  <c r="CM43" i="3"/>
  <c r="CM20" i="3"/>
  <c r="CM44" i="3"/>
  <c r="CM11" i="3"/>
  <c r="CM10" i="3"/>
  <c r="CM36" i="3"/>
  <c r="CM37" i="3"/>
  <c r="CM28" i="3" l="1"/>
  <c r="CM34" i="3"/>
  <c r="CM30" i="3"/>
  <c r="CM31" i="3"/>
  <c r="CM53" i="3"/>
  <c r="CM48" i="3"/>
  <c r="CM16" i="3"/>
  <c r="CM17" i="3"/>
  <c r="CM40" i="3"/>
  <c r="CM33" i="3"/>
  <c r="CM47" i="3"/>
  <c r="CM21" i="3"/>
  <c r="CM27" i="3"/>
  <c r="CM24" i="3"/>
  <c r="CM45" i="3"/>
  <c r="CM50" i="3"/>
  <c r="CM35" i="3"/>
  <c r="CM49" i="3"/>
  <c r="CM26" i="3"/>
  <c r="CM38" i="3"/>
  <c r="CM42" i="3"/>
  <c r="CM13" i="3"/>
  <c r="CM12" i="3"/>
  <c r="CM32" i="3"/>
  <c r="CM9" i="3"/>
  <c r="CM8" i="3"/>
  <c r="CM29" i="3"/>
  <c r="CM7" i="3"/>
  <c r="CM6" i="3"/>
  <c r="CM39" i="3"/>
  <c r="CM41" i="3"/>
  <c r="CM51" i="3"/>
  <c r="CM25" i="3"/>
  <c r="CM23" i="3"/>
  <c r="CM18" i="3"/>
  <c r="CM22" i="3"/>
  <c r="CM19" i="3"/>
  <c r="CM15" i="3"/>
  <c r="CM14" i="3"/>
  <c r="CM46" i="3"/>
  <c r="CN46" i="3" l="1"/>
  <c r="CN48" i="3"/>
  <c r="CN15" i="3"/>
  <c r="Q25" i="3" s="1"/>
  <c r="CN27" i="3"/>
  <c r="R47" i="3" s="1"/>
  <c r="CN39" i="3"/>
  <c r="R71" i="3" s="1"/>
  <c r="CN45" i="3"/>
  <c r="Q79" i="3" s="1"/>
  <c r="CN40" i="3"/>
  <c r="R73" i="3" s="1"/>
  <c r="CN53" i="3"/>
  <c r="Q95" i="3" s="1"/>
  <c r="CN35" i="3"/>
  <c r="R63" i="3" s="1"/>
  <c r="CN31" i="3"/>
  <c r="Q56" i="3" s="1"/>
  <c r="CN9" i="3"/>
  <c r="Q6" i="3" s="1"/>
  <c r="CN6" i="3"/>
  <c r="Q7" i="3" s="1"/>
  <c r="CN29" i="3"/>
  <c r="Q47" i="3" s="1"/>
  <c r="CN30" i="3"/>
  <c r="CN22" i="3"/>
  <c r="Q36" i="3" s="1"/>
  <c r="CN34" i="3"/>
  <c r="R65" i="3" s="1"/>
  <c r="CN42" i="3"/>
  <c r="Q76" i="3" s="1"/>
  <c r="CN20" i="3"/>
  <c r="R33" i="3" s="1"/>
  <c r="CN8" i="3"/>
  <c r="Q5" i="3" s="1"/>
  <c r="CN24" i="3"/>
  <c r="Q37" i="3" s="1"/>
  <c r="CN12" i="3"/>
  <c r="R15" i="3" s="1"/>
  <c r="CN28" i="3"/>
  <c r="R46" i="3" s="1"/>
  <c r="CN52" i="3"/>
  <c r="R97" i="3" s="1"/>
  <c r="CN16" i="3"/>
  <c r="R25" i="3" s="1"/>
  <c r="CN17" i="3"/>
  <c r="Q24" i="3" s="1"/>
  <c r="CN10" i="3"/>
  <c r="Q15" i="3" s="1"/>
  <c r="CN41" i="3"/>
  <c r="Q71" i="3" s="1"/>
  <c r="CN18" i="3"/>
  <c r="Q28" i="3" s="1"/>
  <c r="CN50" i="3"/>
  <c r="Q94" i="3" s="1"/>
  <c r="CN37" i="3"/>
  <c r="R61" i="3" s="1"/>
  <c r="CN19" i="3"/>
  <c r="Q33" i="3" s="1"/>
  <c r="CN26" i="3"/>
  <c r="Q44" i="3" s="1"/>
  <c r="CN44" i="3"/>
  <c r="Q77" i="3" s="1"/>
  <c r="CN51" i="3"/>
  <c r="R92" i="3" s="1"/>
  <c r="CN23" i="3"/>
  <c r="R36" i="3" s="1"/>
  <c r="CN13" i="3"/>
  <c r="R13" i="3" s="1"/>
  <c r="CN21" i="3"/>
  <c r="Q32" i="3" s="1"/>
  <c r="CN49" i="3"/>
  <c r="Q87" i="3" s="1"/>
  <c r="CN14" i="3"/>
  <c r="Q20" i="3" s="1"/>
  <c r="CN38" i="3"/>
  <c r="Q70" i="3" s="1"/>
  <c r="CN7" i="3"/>
  <c r="R4" i="3" s="1"/>
  <c r="CN32" i="3"/>
  <c r="Q53" i="3" s="1"/>
  <c r="CN11" i="3"/>
  <c r="R14" i="3" s="1"/>
  <c r="CN47" i="3"/>
  <c r="Q89" i="3" s="1"/>
  <c r="CN36" i="3"/>
  <c r="R64" i="3" s="1"/>
  <c r="CN43" i="3"/>
  <c r="R76" i="3" s="1"/>
  <c r="CN25" i="3"/>
  <c r="Q41" i="3" s="1"/>
  <c r="CN33" i="3"/>
  <c r="Q57" i="3" s="1"/>
  <c r="Q84" i="3" l="1"/>
  <c r="R88" i="3"/>
  <c r="Q86" i="3"/>
  <c r="R89" i="3"/>
  <c r="R86" i="3"/>
  <c r="R57" i="3"/>
  <c r="Q52" i="3"/>
  <c r="Q54" i="3"/>
  <c r="R52" i="3"/>
  <c r="R55" i="3"/>
  <c r="Q45" i="3"/>
  <c r="CP45" i="3"/>
  <c r="Q65" i="3"/>
  <c r="Q85" i="3"/>
  <c r="Q81" i="3"/>
  <c r="Q63" i="3"/>
  <c r="Q48" i="3"/>
  <c r="R20" i="3"/>
  <c r="R22" i="3"/>
  <c r="Q69" i="3"/>
  <c r="R70" i="3"/>
  <c r="R69" i="3"/>
  <c r="Q72" i="3"/>
  <c r="R48" i="3"/>
  <c r="Q64" i="3"/>
  <c r="R72" i="3"/>
  <c r="Q73" i="3"/>
  <c r="R44" i="3"/>
  <c r="Q62" i="3"/>
  <c r="Q68" i="3"/>
  <c r="Q96" i="3"/>
  <c r="Q60" i="3"/>
  <c r="R68" i="3"/>
  <c r="Q46" i="3"/>
  <c r="R60" i="3"/>
  <c r="R62" i="3"/>
  <c r="Q61" i="3"/>
  <c r="Q55" i="3"/>
  <c r="R56" i="3"/>
  <c r="R49" i="3"/>
  <c r="R40" i="3"/>
  <c r="R54" i="3"/>
  <c r="R53" i="3"/>
  <c r="Q49" i="3"/>
  <c r="R94" i="3"/>
  <c r="Q8" i="3"/>
  <c r="CO23" i="3"/>
  <c r="R5" i="3"/>
  <c r="R45" i="3"/>
  <c r="R7" i="3"/>
  <c r="Q40" i="3"/>
  <c r="R39" i="3"/>
  <c r="R41" i="3"/>
  <c r="Q93" i="3"/>
  <c r="R9" i="3"/>
  <c r="Q38" i="3"/>
  <c r="R95" i="3"/>
  <c r="CO47" i="3"/>
  <c r="Q97" i="3"/>
  <c r="R38" i="3"/>
  <c r="CP12" i="3"/>
  <c r="CP39" i="3"/>
  <c r="Q4" i="3"/>
  <c r="Q39" i="3"/>
  <c r="R37" i="3"/>
  <c r="CP53" i="3"/>
  <c r="CO53" i="3"/>
  <c r="Q21" i="3"/>
  <c r="R32" i="3"/>
  <c r="Q30" i="3"/>
  <c r="R17" i="3"/>
  <c r="R96" i="3"/>
  <c r="R8" i="3"/>
  <c r="CO26" i="3"/>
  <c r="CO27" i="3"/>
  <c r="R93" i="3"/>
  <c r="R23" i="3"/>
  <c r="R28" i="3"/>
  <c r="CP23" i="3"/>
  <c r="R31" i="3"/>
  <c r="Q12" i="3"/>
  <c r="R30" i="3"/>
  <c r="Q88" i="3"/>
  <c r="R84" i="3"/>
  <c r="CP47" i="3"/>
  <c r="R77" i="3"/>
  <c r="R16" i="3"/>
  <c r="Q29" i="3"/>
  <c r="R85" i="3"/>
  <c r="CO35" i="3"/>
  <c r="Q78" i="3"/>
  <c r="R81" i="3"/>
  <c r="R80" i="3"/>
  <c r="Q17" i="3"/>
  <c r="CO12" i="3"/>
  <c r="CP42" i="3"/>
  <c r="CP50" i="3"/>
  <c r="Q13" i="3"/>
  <c r="Q31" i="3"/>
  <c r="CO19" i="3" s="1"/>
  <c r="Q22" i="3"/>
  <c r="CO15" i="3" s="1"/>
  <c r="R29" i="3"/>
  <c r="CO20" i="3" s="1"/>
  <c r="R12" i="3"/>
  <c r="Q92" i="3"/>
  <c r="R21" i="3"/>
  <c r="CP33" i="3"/>
  <c r="R78" i="3"/>
  <c r="R24" i="3"/>
  <c r="Q23" i="3"/>
  <c r="R6" i="3"/>
  <c r="R87" i="3"/>
  <c r="Q9" i="3"/>
  <c r="Q14" i="3"/>
  <c r="R79" i="3"/>
  <c r="CO45" i="3" s="1"/>
  <c r="Q80" i="3"/>
  <c r="Q16" i="3"/>
  <c r="CP49" i="3"/>
  <c r="CP35" i="3"/>
  <c r="CP34" i="3"/>
  <c r="CP48" i="3"/>
  <c r="CP38" i="3"/>
  <c r="CP46" i="3"/>
  <c r="CO34" i="3"/>
  <c r="CO50" i="3"/>
  <c r="CP40" i="3"/>
  <c r="CO46" i="3"/>
  <c r="CO21" i="3"/>
  <c r="CO40" i="3"/>
  <c r="CO49" i="3"/>
  <c r="CO48" i="3"/>
  <c r="CO38" i="3"/>
  <c r="CP32" i="3"/>
  <c r="CP16" i="3"/>
  <c r="CO42" i="3"/>
  <c r="CQ42" i="3" s="1"/>
  <c r="CO32" i="3"/>
  <c r="CP28" i="3"/>
  <c r="CP17" i="3"/>
  <c r="CO28" i="3"/>
  <c r="CP26" i="3"/>
  <c r="CP13" i="3"/>
  <c r="CO17" i="3"/>
  <c r="CP21" i="3"/>
  <c r="CO16" i="3"/>
  <c r="CQ12" i="3"/>
  <c r="CO13" i="3"/>
  <c r="CO7" i="3"/>
  <c r="CO6" i="3"/>
  <c r="CP6" i="3"/>
  <c r="CP7" i="3"/>
  <c r="CP27" i="3"/>
  <c r="CQ27" i="3" s="1"/>
  <c r="CO41" i="3"/>
  <c r="CO29" i="3"/>
  <c r="CQ23" i="3"/>
  <c r="CP29" i="3"/>
  <c r="CO33" i="3"/>
  <c r="CO39" i="3"/>
  <c r="CO25" i="3"/>
  <c r="CP25" i="3"/>
  <c r="CP41" i="3"/>
  <c r="CQ45" i="3"/>
  <c r="CQ53" i="3"/>
  <c r="CQ47" i="3"/>
  <c r="CO44" i="3" l="1"/>
  <c r="CP37" i="3"/>
  <c r="CO37" i="3"/>
  <c r="CP31" i="3"/>
  <c r="CO31" i="3"/>
  <c r="CP36" i="3"/>
  <c r="CO36" i="3"/>
  <c r="CO30" i="3"/>
  <c r="CP30" i="3"/>
  <c r="CP43" i="3"/>
  <c r="CO43" i="3"/>
  <c r="CP44" i="3"/>
  <c r="CP10" i="3"/>
  <c r="CP20" i="3"/>
  <c r="CQ20" i="3" s="1"/>
  <c r="CO10" i="3"/>
  <c r="CO11" i="3"/>
  <c r="CP11" i="3"/>
  <c r="CP51" i="3"/>
  <c r="CO51" i="3"/>
  <c r="CQ51" i="3" s="1"/>
  <c r="CO52" i="3"/>
  <c r="CP52" i="3"/>
  <c r="CP14" i="3"/>
  <c r="CO8" i="3"/>
  <c r="CO24" i="3"/>
  <c r="CQ39" i="3"/>
  <c r="CP18" i="3"/>
  <c r="CP24" i="3"/>
  <c r="CP19" i="3"/>
  <c r="CQ19" i="3" s="1"/>
  <c r="CP15" i="3"/>
  <c r="CQ15" i="3" s="1"/>
  <c r="CP22" i="3"/>
  <c r="CO22" i="3"/>
  <c r="CO14" i="3"/>
  <c r="CO9" i="3"/>
  <c r="CO18" i="3"/>
  <c r="CQ35" i="3"/>
  <c r="CQ26" i="3"/>
  <c r="CQ33" i="3"/>
  <c r="CP8" i="3"/>
  <c r="CQ50" i="3"/>
  <c r="CP9" i="3"/>
  <c r="CQ49" i="3"/>
  <c r="CQ48" i="3"/>
  <c r="CQ34" i="3"/>
  <c r="CQ21" i="3"/>
  <c r="CQ46" i="3"/>
  <c r="CQ16" i="3"/>
  <c r="CQ40" i="3"/>
  <c r="CQ38" i="3"/>
  <c r="CQ32" i="3"/>
  <c r="CQ28" i="3"/>
  <c r="CQ13" i="3"/>
  <c r="CQ17" i="3"/>
  <c r="CQ7" i="3"/>
  <c r="CQ6" i="3"/>
  <c r="CQ41" i="3"/>
  <c r="CQ29" i="3"/>
  <c r="CQ25" i="3"/>
  <c r="CQ44" i="3" l="1"/>
  <c r="CQ37" i="3"/>
  <c r="CQ31" i="3"/>
  <c r="CQ36" i="3"/>
  <c r="CQ30" i="3"/>
  <c r="CQ43" i="3"/>
  <c r="CQ10" i="3"/>
  <c r="CQ11" i="3"/>
  <c r="CQ52" i="3"/>
  <c r="CQ8" i="3"/>
  <c r="CQ14" i="3"/>
  <c r="CQ18" i="3"/>
  <c r="CQ24" i="3"/>
  <c r="CQ22" i="3"/>
  <c r="CQ9" i="3"/>
  <c r="CR49" i="3" s="1"/>
  <c r="CR42" i="3"/>
  <c r="CR37" i="3" l="1"/>
  <c r="CR28" i="3"/>
  <c r="CR32" i="3"/>
  <c r="CR41" i="3"/>
  <c r="CR51" i="3"/>
  <c r="CR25" i="3"/>
  <c r="CR26" i="3"/>
  <c r="CR34" i="3"/>
  <c r="CR35" i="3"/>
  <c r="CR39" i="3"/>
  <c r="CR36" i="3"/>
  <c r="CR15" i="3"/>
  <c r="CR43" i="3"/>
  <c r="CR11" i="3"/>
  <c r="CR31" i="3"/>
  <c r="CR44" i="3"/>
  <c r="CR20" i="3"/>
  <c r="CR30" i="3"/>
  <c r="CR48" i="3"/>
  <c r="CR23" i="3"/>
  <c r="CR14" i="3"/>
  <c r="CR50" i="3"/>
  <c r="CR21" i="3"/>
  <c r="CR16" i="3"/>
  <c r="CR10" i="3"/>
  <c r="CR52" i="3"/>
  <c r="CR53" i="3"/>
  <c r="CR47" i="3"/>
  <c r="CR45" i="3"/>
  <c r="CR38" i="3"/>
  <c r="CR33" i="3"/>
  <c r="CR17" i="3"/>
  <c r="CR7" i="3"/>
  <c r="CR46" i="3"/>
  <c r="CR6" i="3"/>
  <c r="CR27" i="3"/>
  <c r="CR13" i="3"/>
  <c r="CR29" i="3"/>
  <c r="CR40" i="3"/>
  <c r="CR12" i="3"/>
  <c r="CR9" i="3"/>
  <c r="CR24" i="3"/>
  <c r="CR22" i="3"/>
  <c r="CR8" i="3"/>
  <c r="CR18" i="3"/>
  <c r="CR19" i="3"/>
  <c r="CS24" i="3" l="1"/>
  <c r="CS14" i="3"/>
  <c r="CS53" i="3"/>
  <c r="CS29" i="3"/>
  <c r="U45" i="3" s="1"/>
  <c r="CS50" i="3"/>
  <c r="T92" i="3" s="1"/>
  <c r="CS7" i="3"/>
  <c r="CS12" i="3"/>
  <c r="CS28" i="3"/>
  <c r="U48" i="3" s="1"/>
  <c r="CS52" i="3"/>
  <c r="T93" i="3" s="1"/>
  <c r="CS34" i="3"/>
  <c r="CS26" i="3"/>
  <c r="T46" i="3" s="1"/>
  <c r="CS15" i="3"/>
  <c r="U22" i="3" s="1"/>
  <c r="CS19" i="3"/>
  <c r="U31" i="3" s="1"/>
  <c r="CS43" i="3"/>
  <c r="T80" i="3" s="1"/>
  <c r="CS21" i="3"/>
  <c r="T31" i="3" s="1"/>
  <c r="CS27" i="3"/>
  <c r="U47" i="3" s="1"/>
  <c r="CS18" i="3"/>
  <c r="T30" i="3" s="1"/>
  <c r="CS38" i="3"/>
  <c r="T70" i="3" s="1"/>
  <c r="CS6" i="3"/>
  <c r="U8" i="3" s="1"/>
  <c r="CS44" i="3"/>
  <c r="U80" i="3" s="1"/>
  <c r="CS9" i="3"/>
  <c r="CS33" i="3"/>
  <c r="U53" i="3" s="1"/>
  <c r="CS23" i="3"/>
  <c r="T40" i="3" s="1"/>
  <c r="CS17" i="3"/>
  <c r="T22" i="3" s="1"/>
  <c r="CS41" i="3"/>
  <c r="T71" i="3" s="1"/>
  <c r="CS8" i="3"/>
  <c r="U9" i="3" s="1"/>
  <c r="CS37" i="3"/>
  <c r="T63" i="3" s="1"/>
  <c r="CS31" i="3"/>
  <c r="U55" i="3" s="1"/>
  <c r="CS40" i="3"/>
  <c r="U70" i="3" s="1"/>
  <c r="CS51" i="3"/>
  <c r="U92" i="3" s="1"/>
  <c r="CS42" i="3"/>
  <c r="T78" i="3" s="1"/>
  <c r="CS32" i="3"/>
  <c r="U56" i="3" s="1"/>
  <c r="CS20" i="3"/>
  <c r="U30" i="3" s="1"/>
  <c r="CS11" i="3"/>
  <c r="T17" i="3" s="1"/>
  <c r="CS45" i="3"/>
  <c r="T79" i="3" s="1"/>
  <c r="CS22" i="3"/>
  <c r="T38" i="3" s="1"/>
  <c r="CS25" i="3"/>
  <c r="T39" i="3" s="1"/>
  <c r="CS39" i="3"/>
  <c r="U71" i="3" s="1"/>
  <c r="CS49" i="3"/>
  <c r="U85" i="3" s="1"/>
  <c r="CS35" i="3"/>
  <c r="U63" i="3" s="1"/>
  <c r="CS13" i="3"/>
  <c r="T14" i="3" s="1"/>
  <c r="CS16" i="3"/>
  <c r="U23" i="3" s="1"/>
  <c r="CS30" i="3"/>
  <c r="T52" i="3" s="1"/>
  <c r="CS47" i="3"/>
  <c r="U84" i="3" s="1"/>
  <c r="CS46" i="3"/>
  <c r="U88" i="3" s="1"/>
  <c r="CS48" i="3"/>
  <c r="U89" i="3" s="1"/>
  <c r="CS36" i="3"/>
  <c r="U62" i="3" s="1"/>
  <c r="CS10" i="3"/>
  <c r="T15" i="3" s="1"/>
  <c r="T37" i="3" l="1"/>
  <c r="U40" i="3"/>
  <c r="U38" i="3"/>
  <c r="U24" i="3"/>
  <c r="T20" i="3"/>
  <c r="T23" i="3"/>
  <c r="U65" i="3"/>
  <c r="T62" i="3"/>
  <c r="U4" i="3"/>
  <c r="U6" i="3"/>
  <c r="T9" i="3"/>
  <c r="T95" i="3"/>
  <c r="U93" i="3"/>
  <c r="T13" i="3"/>
  <c r="U17" i="3"/>
  <c r="U5" i="3"/>
  <c r="T8" i="3"/>
  <c r="U29" i="3"/>
  <c r="T96" i="3"/>
  <c r="U49" i="3"/>
  <c r="U15" i="3"/>
  <c r="T44" i="3"/>
  <c r="T32" i="3"/>
  <c r="U20" i="3"/>
  <c r="T45" i="3"/>
  <c r="T56" i="3"/>
  <c r="CT32" i="3" s="1"/>
  <c r="T47" i="3"/>
  <c r="T64" i="3"/>
  <c r="T24" i="3"/>
  <c r="U79" i="3"/>
  <c r="CT34" i="3"/>
  <c r="T60" i="3"/>
  <c r="T49" i="3"/>
  <c r="U46" i="3"/>
  <c r="T25" i="3"/>
  <c r="U52" i="3"/>
  <c r="U78" i="3"/>
  <c r="T77" i="3"/>
  <c r="U44" i="3"/>
  <c r="CT35" i="3"/>
  <c r="U21" i="3"/>
  <c r="CT17" i="3"/>
  <c r="T48" i="3"/>
  <c r="CT28" i="3" s="1"/>
  <c r="U54" i="3"/>
  <c r="T53" i="3"/>
  <c r="T36" i="3"/>
  <c r="T84" i="3"/>
  <c r="U60" i="3"/>
  <c r="U41" i="3"/>
  <c r="U94" i="3"/>
  <c r="CT50" i="3" s="1"/>
  <c r="U97" i="3"/>
  <c r="CT51" i="3" s="1"/>
  <c r="T72" i="3"/>
  <c r="U73" i="3"/>
  <c r="CT40" i="3"/>
  <c r="U28" i="3"/>
  <c r="U96" i="3"/>
  <c r="CT53" i="3" s="1"/>
  <c r="T33" i="3"/>
  <c r="T94" i="3"/>
  <c r="T57" i="3"/>
  <c r="CT33" i="3"/>
  <c r="U64" i="3"/>
  <c r="U76" i="3"/>
  <c r="U72" i="3"/>
  <c r="T55" i="3"/>
  <c r="CT31" i="3" s="1"/>
  <c r="T68" i="3"/>
  <c r="T5" i="3"/>
  <c r="CT9" i="3" s="1"/>
  <c r="T69" i="3"/>
  <c r="T28" i="3"/>
  <c r="U32" i="3"/>
  <c r="U69" i="3"/>
  <c r="U13" i="3"/>
  <c r="CT12" i="3" s="1"/>
  <c r="T6" i="3"/>
  <c r="T7" i="3"/>
  <c r="CT8" i="3" s="1"/>
  <c r="CT23" i="3"/>
  <c r="U36" i="3"/>
  <c r="U39" i="3"/>
  <c r="T4" i="3"/>
  <c r="CT7" i="3" s="1"/>
  <c r="T65" i="3"/>
  <c r="T76" i="3"/>
  <c r="CT43" i="3" s="1"/>
  <c r="T97" i="3"/>
  <c r="U7" i="3"/>
  <c r="T81" i="3"/>
  <c r="CT42" i="3" s="1"/>
  <c r="U61" i="3"/>
  <c r="CT36" i="3" s="1"/>
  <c r="U12" i="3"/>
  <c r="U14" i="3"/>
  <c r="U81" i="3"/>
  <c r="U95" i="3"/>
  <c r="U68" i="3"/>
  <c r="CT38" i="3" s="1"/>
  <c r="T87" i="3"/>
  <c r="CT49" i="3"/>
  <c r="T88" i="3"/>
  <c r="U77" i="3"/>
  <c r="CT44" i="3" s="1"/>
  <c r="T21" i="3"/>
  <c r="CT47" i="3"/>
  <c r="T73" i="3"/>
  <c r="T61" i="3"/>
  <c r="CT37" i="3" s="1"/>
  <c r="U25" i="3"/>
  <c r="CT15" i="3" s="1"/>
  <c r="U37" i="3"/>
  <c r="CT24" i="3" s="1"/>
  <c r="CT25" i="3"/>
  <c r="T41" i="3"/>
  <c r="U86" i="3"/>
  <c r="T29" i="3"/>
  <c r="T16" i="3"/>
  <c r="T85" i="3"/>
  <c r="U33" i="3"/>
  <c r="U57" i="3"/>
  <c r="U87" i="3"/>
  <c r="U16" i="3"/>
  <c r="T12" i="3"/>
  <c r="T89" i="3"/>
  <c r="T54" i="3"/>
  <c r="T86" i="3"/>
  <c r="CT21" i="3"/>
  <c r="CT48" i="3"/>
  <c r="CT6" i="3"/>
  <c r="CT46" i="3"/>
  <c r="CT45" i="3"/>
  <c r="CT26" i="3"/>
  <c r="CT18" i="3"/>
  <c r="CT16" i="3"/>
  <c r="CT13" i="3"/>
  <c r="CT27" i="3"/>
  <c r="CT41" i="3"/>
  <c r="CT39" i="3"/>
  <c r="CT52" i="3"/>
  <c r="CT29" i="3"/>
  <c r="CT20" i="3" l="1"/>
  <c r="CT10" i="3"/>
  <c r="CT11" i="3"/>
  <c r="CT30" i="3"/>
  <c r="CT14" i="3"/>
  <c r="CT22" i="3"/>
  <c r="CU26" i="3" s="1"/>
  <c r="CT19" i="3"/>
  <c r="CU37" i="3"/>
  <c r="CU36" i="3"/>
  <c r="CU53" i="3" l="1"/>
  <c r="CU46" i="3"/>
  <c r="CU38" i="3"/>
  <c r="CU23" i="3"/>
  <c r="CU7" i="3"/>
  <c r="CU20" i="3"/>
  <c r="CU47" i="3"/>
  <c r="CU49" i="3"/>
  <c r="CU41" i="3"/>
  <c r="CU27" i="3"/>
  <c r="CU33" i="3"/>
  <c r="CU42" i="3"/>
  <c r="CU34" i="3"/>
  <c r="CU17" i="3"/>
  <c r="CU12" i="3"/>
  <c r="CU40" i="3"/>
  <c r="CU28" i="3"/>
  <c r="CU29" i="3"/>
  <c r="CU39" i="3"/>
  <c r="CU25" i="3"/>
  <c r="CU21" i="3"/>
  <c r="CU48" i="3"/>
  <c r="CU45" i="3"/>
  <c r="CU35" i="3"/>
  <c r="CU50" i="3"/>
  <c r="CU32" i="3"/>
  <c r="CU16" i="3"/>
  <c r="CU6" i="3"/>
  <c r="CU13" i="3"/>
  <c r="CU14" i="3"/>
  <c r="CU15" i="3"/>
  <c r="CU31" i="3"/>
  <c r="CU30" i="3"/>
  <c r="CU44" i="3"/>
  <c r="CU43" i="3"/>
  <c r="CU11" i="3"/>
  <c r="CU10" i="3"/>
  <c r="CU8" i="3"/>
  <c r="CU22" i="3"/>
  <c r="CU51" i="3"/>
  <c r="CU52" i="3"/>
  <c r="CU9" i="3"/>
  <c r="CU24" i="3"/>
  <c r="CU19" i="3"/>
  <c r="CU18" i="3"/>
  <c r="CV19" i="3" l="1"/>
  <c r="CW19" i="3" s="1"/>
  <c r="CV41" i="3"/>
  <c r="CW41" i="3" s="1"/>
  <c r="CV21" i="3"/>
  <c r="CW21" i="3" s="1"/>
  <c r="CV27" i="3"/>
  <c r="CW27" i="3" s="1"/>
  <c r="CV14" i="3"/>
  <c r="CW14" i="3" s="1"/>
  <c r="CV31" i="3"/>
  <c r="CW31" i="3" s="1"/>
  <c r="CV23" i="3"/>
  <c r="CW23" i="3" s="1"/>
  <c r="CV50" i="3"/>
  <c r="CW50" i="3" s="1"/>
  <c r="CV17" i="3"/>
  <c r="CW17" i="3" s="1"/>
  <c r="CV40" i="3"/>
  <c r="CW40" i="3" s="1"/>
  <c r="CV43" i="3"/>
  <c r="CW43" i="3" s="1"/>
  <c r="CV38" i="3"/>
  <c r="CW38" i="3" s="1"/>
  <c r="CV32" i="3"/>
  <c r="CW32" i="3" s="1"/>
  <c r="CV34" i="3"/>
  <c r="CW34" i="3" s="1"/>
  <c r="CV22" i="3"/>
  <c r="CW22" i="3" s="1"/>
  <c r="CV11" i="3"/>
  <c r="CW11" i="3" s="1"/>
  <c r="CV26" i="3"/>
  <c r="CW26" i="3" s="1"/>
  <c r="CV53" i="3"/>
  <c r="CW53" i="3" s="1"/>
  <c r="CV52" i="3"/>
  <c r="CW52" i="3" s="1"/>
  <c r="CV39" i="3"/>
  <c r="CW39" i="3" s="1"/>
  <c r="CV6" i="3"/>
  <c r="CW6" i="3" s="1"/>
  <c r="CV37" i="3"/>
  <c r="CW37" i="3" s="1"/>
  <c r="CV15" i="3"/>
  <c r="CW15" i="3" s="1"/>
  <c r="CV9" i="3"/>
  <c r="CW9" i="3" s="1"/>
  <c r="CV33" i="3"/>
  <c r="CW33" i="3" s="1"/>
  <c r="CV29" i="3"/>
  <c r="CW29" i="3" s="1"/>
  <c r="CV30" i="3"/>
  <c r="CW30" i="3" s="1"/>
  <c r="CV46" i="3"/>
  <c r="CW46" i="3" s="1"/>
  <c r="CV44" i="3"/>
  <c r="CW44" i="3" s="1"/>
  <c r="CV12" i="3"/>
  <c r="CW12" i="3" s="1"/>
  <c r="CV16" i="3"/>
  <c r="CW16" i="3" s="1"/>
  <c r="CV13" i="3"/>
  <c r="CW13" i="3" s="1"/>
  <c r="CV20" i="3"/>
  <c r="CW20" i="3" s="1"/>
  <c r="CV7" i="3"/>
  <c r="CW7" i="3" s="1"/>
  <c r="CV24" i="3"/>
  <c r="CW24" i="3" s="1"/>
  <c r="CV18" i="3"/>
  <c r="CW18" i="3" s="1"/>
  <c r="CV48" i="3"/>
  <c r="CW48" i="3" s="1"/>
  <c r="CV45" i="3"/>
  <c r="CW45" i="3" s="1"/>
  <c r="CV47" i="3"/>
  <c r="CW47" i="3" s="1"/>
  <c r="CV51" i="3"/>
  <c r="CW51" i="3" s="1"/>
  <c r="CV35" i="3"/>
  <c r="CW35" i="3" s="1"/>
  <c r="CV25" i="3"/>
  <c r="CW25" i="3" s="1"/>
  <c r="CV49" i="3"/>
  <c r="CW49" i="3" s="1"/>
  <c r="CV28" i="3"/>
  <c r="CW28" i="3" s="1"/>
  <c r="CV36" i="3"/>
  <c r="CW36" i="3" s="1"/>
  <c r="CV10" i="3"/>
  <c r="CW10" i="3" s="1"/>
  <c r="CV42" i="3"/>
  <c r="CW42" i="3" s="1"/>
  <c r="CV8" i="3"/>
  <c r="CW8" i="3" s="1"/>
  <c r="CX30" i="3" l="1"/>
  <c r="CX8" i="3"/>
  <c r="CX18" i="3"/>
  <c r="CX29" i="3"/>
  <c r="CX38" i="3"/>
  <c r="CX23" i="3"/>
  <c r="CX34" i="3"/>
  <c r="CX10" i="3"/>
  <c r="CX45" i="3"/>
  <c r="CX39" i="3"/>
  <c r="CX9" i="3"/>
  <c r="CX17" i="3"/>
  <c r="CX16" i="3"/>
  <c r="CX49" i="3"/>
  <c r="CX53" i="3"/>
  <c r="CX35" i="3"/>
  <c r="CX51" i="3"/>
  <c r="CX11" i="3"/>
  <c r="CX25" i="3"/>
  <c r="CX32" i="3"/>
  <c r="CX36" i="3"/>
  <c r="CX21" i="3"/>
  <c r="CX12" i="3"/>
  <c r="CX48" i="3"/>
  <c r="CX7" i="3"/>
  <c r="CX50" i="3"/>
  <c r="CX6" i="3"/>
  <c r="CX24" i="3"/>
  <c r="CX15" i="3"/>
  <c r="CX19" i="3"/>
  <c r="CX13" i="3"/>
  <c r="CX41" i="3"/>
  <c r="CX43" i="3"/>
  <c r="CX47" i="3"/>
  <c r="CX31" i="3"/>
  <c r="CX20" i="3"/>
  <c r="CX52" i="3"/>
  <c r="CX40" i="3"/>
  <c r="CX27" i="3"/>
  <c r="CX28" i="3"/>
  <c r="CX37" i="3"/>
  <c r="CX22" i="3"/>
  <c r="CX26" i="3"/>
  <c r="CX46" i="3"/>
  <c r="CX14" i="3"/>
  <c r="CX33" i="3"/>
  <c r="CX42" i="3"/>
  <c r="CX44" i="3"/>
  <c r="CY24" i="3" l="1"/>
  <c r="CZ24" i="3" s="1"/>
  <c r="CY32" i="3"/>
  <c r="CZ32" i="3" s="1"/>
  <c r="CY51" i="3"/>
  <c r="CZ51" i="3" s="1"/>
  <c r="CY14" i="3"/>
  <c r="CZ14" i="3" s="1"/>
  <c r="CY15" i="3"/>
  <c r="CZ15" i="3" s="1"/>
  <c r="CY46" i="3"/>
  <c r="CZ46" i="3" s="1"/>
  <c r="CY23" i="3"/>
  <c r="CZ23" i="3" s="1"/>
  <c r="CY12" i="3"/>
  <c r="CZ12" i="3" s="1"/>
  <c r="CY27" i="3"/>
  <c r="CZ27" i="3" s="1"/>
  <c r="CY50" i="3"/>
  <c r="CZ50" i="3" s="1"/>
  <c r="CY41" i="3"/>
  <c r="CZ41" i="3" s="1"/>
  <c r="CY9" i="3"/>
  <c r="CZ9" i="3" s="1"/>
  <c r="CY38" i="3"/>
  <c r="CZ38" i="3" s="1"/>
  <c r="CY18" i="3"/>
  <c r="CZ18" i="3" s="1"/>
  <c r="CY37" i="3"/>
  <c r="CZ37" i="3" s="1"/>
  <c r="CY53" i="3"/>
  <c r="CZ53" i="3" s="1"/>
  <c r="CY43" i="3"/>
  <c r="CZ43" i="3" s="1"/>
  <c r="CY26" i="3"/>
  <c r="CZ26" i="3" s="1"/>
  <c r="CY28" i="3"/>
  <c r="CZ28" i="3" s="1"/>
  <c r="CY40" i="3"/>
  <c r="CZ40" i="3" s="1"/>
  <c r="CY22" i="3"/>
  <c r="CZ22" i="3" s="1"/>
  <c r="CY31" i="3"/>
  <c r="CZ31" i="3" s="1"/>
  <c r="CY16" i="3"/>
  <c r="CZ16" i="3" s="1"/>
  <c r="CY10" i="3"/>
  <c r="CZ10" i="3" s="1"/>
  <c r="CY49" i="3"/>
  <c r="CZ49" i="3" s="1"/>
  <c r="CY17" i="3"/>
  <c r="CZ17" i="3" s="1"/>
  <c r="CY35" i="3"/>
  <c r="CZ35" i="3" s="1"/>
  <c r="CY52" i="3"/>
  <c r="CZ52" i="3" s="1"/>
  <c r="CY30" i="3"/>
  <c r="CZ30" i="3" s="1"/>
  <c r="CY7" i="3"/>
  <c r="CZ7" i="3" s="1"/>
  <c r="CY42" i="3"/>
  <c r="CZ42" i="3" s="1"/>
  <c r="CY29" i="3"/>
  <c r="CZ29" i="3" s="1"/>
  <c r="CY19" i="3"/>
  <c r="CZ19" i="3" s="1"/>
  <c r="CY36" i="3"/>
  <c r="CZ36" i="3" s="1"/>
  <c r="CY39" i="3"/>
  <c r="CZ39" i="3" s="1"/>
  <c r="CY34" i="3"/>
  <c r="CZ34" i="3" s="1"/>
  <c r="CY11" i="3"/>
  <c r="CZ11" i="3" s="1"/>
  <c r="CY21" i="3"/>
  <c r="CZ21" i="3" s="1"/>
  <c r="CY48" i="3"/>
  <c r="CZ48" i="3" s="1"/>
  <c r="CY8" i="3"/>
  <c r="CZ8" i="3" s="1"/>
  <c r="CY47" i="3"/>
  <c r="CZ47" i="3" s="1"/>
  <c r="CY20" i="3"/>
  <c r="CZ20" i="3" s="1"/>
  <c r="CY33" i="3"/>
  <c r="CZ33" i="3" s="1"/>
  <c r="CY25" i="3"/>
  <c r="CZ25" i="3" s="1"/>
  <c r="CY6" i="3"/>
  <c r="CZ6" i="3" s="1"/>
  <c r="CY45" i="3"/>
  <c r="CZ45" i="3" s="1"/>
  <c r="CY44" i="3"/>
  <c r="CZ44" i="3" s="1"/>
  <c r="CY13" i="3"/>
  <c r="CZ13" i="3" s="1"/>
  <c r="DA53" i="3" l="1"/>
  <c r="DA29" i="3"/>
  <c r="DA21" i="3"/>
  <c r="DA11" i="3"/>
  <c r="DA34" i="3"/>
  <c r="DA48" i="3"/>
  <c r="DA30" i="3"/>
  <c r="DA49" i="3"/>
  <c r="DA23" i="3"/>
  <c r="DA28" i="3"/>
  <c r="DA44" i="3"/>
  <c r="DA20" i="3"/>
  <c r="DA42" i="3"/>
  <c r="DA10" i="3"/>
  <c r="DA40" i="3"/>
  <c r="DA39" i="3"/>
  <c r="DA47" i="3"/>
  <c r="DA51" i="3"/>
  <c r="DA27" i="3"/>
  <c r="DA32" i="3"/>
  <c r="DA19" i="3"/>
  <c r="DA46" i="3"/>
  <c r="DA9" i="3"/>
  <c r="DA50" i="3"/>
  <c r="DA24" i="3"/>
  <c r="DA22" i="3"/>
  <c r="DA33" i="3"/>
  <c r="DA36" i="3"/>
  <c r="DA17" i="3"/>
  <c r="DA16" i="3"/>
  <c r="DA26" i="3"/>
  <c r="DA13" i="3"/>
  <c r="DA18" i="3"/>
  <c r="DA52" i="3"/>
  <c r="DA35" i="3"/>
  <c r="DA43" i="3"/>
  <c r="DA8" i="3"/>
  <c r="DA45" i="3"/>
  <c r="DA38" i="3"/>
  <c r="DA7" i="3"/>
  <c r="DA37" i="3"/>
  <c r="DA6" i="3"/>
  <c r="DA25" i="3"/>
  <c r="DA14" i="3"/>
  <c r="DA15" i="3"/>
  <c r="DA12" i="3"/>
  <c r="DA31" i="3"/>
  <c r="DA41" i="3"/>
  <c r="DB41" i="3" l="1"/>
  <c r="DC41" i="3" s="1"/>
  <c r="DB44" i="3"/>
  <c r="DC44" i="3" s="1"/>
  <c r="DB33" i="3"/>
  <c r="DC33" i="3" s="1"/>
  <c r="DB18" i="3"/>
  <c r="DC18" i="3" s="1"/>
  <c r="DB52" i="3"/>
  <c r="DC52" i="3" s="1"/>
  <c r="DB24" i="3"/>
  <c r="DC24" i="3" s="1"/>
  <c r="DB19" i="3"/>
  <c r="DC19" i="3" s="1"/>
  <c r="DB42" i="3"/>
  <c r="DC42" i="3" s="1"/>
  <c r="DB13" i="3"/>
  <c r="DC13" i="3" s="1"/>
  <c r="DB21" i="3"/>
  <c r="DC21" i="3" s="1"/>
  <c r="DB17" i="3"/>
  <c r="DC17" i="3" s="1"/>
  <c r="DB40" i="3"/>
  <c r="DC40" i="3" s="1"/>
  <c r="DB50" i="3"/>
  <c r="DC50" i="3" s="1"/>
  <c r="DB37" i="3"/>
  <c r="DC37" i="3" s="1"/>
  <c r="DB36" i="3"/>
  <c r="DC36" i="3" s="1"/>
  <c r="DB11" i="3"/>
  <c r="DC11" i="3" s="1"/>
  <c r="DB10" i="3"/>
  <c r="DC10" i="3" s="1"/>
  <c r="DB43" i="3"/>
  <c r="DC43" i="3" s="1"/>
  <c r="DB48" i="3"/>
  <c r="DC48" i="3" s="1"/>
  <c r="DB27" i="3"/>
  <c r="DC27" i="3" s="1"/>
  <c r="DB30" i="3"/>
  <c r="DC30" i="3" s="1"/>
  <c r="DB6" i="3"/>
  <c r="DC6" i="3" s="1"/>
  <c r="DB7" i="3"/>
  <c r="DC7" i="3" s="1"/>
  <c r="DB15" i="3"/>
  <c r="DC15" i="3" s="1"/>
  <c r="DB16" i="3"/>
  <c r="DC16" i="3" s="1"/>
  <c r="DB35" i="3"/>
  <c r="DC35" i="3" s="1"/>
  <c r="DB9" i="3"/>
  <c r="DC9" i="3" s="1"/>
  <c r="DB32" i="3"/>
  <c r="DC32" i="3" s="1"/>
  <c r="DB45" i="3"/>
  <c r="DC45" i="3" s="1"/>
  <c r="DB53" i="3"/>
  <c r="DC53" i="3" s="1"/>
  <c r="DB47" i="3"/>
  <c r="DC47" i="3" s="1"/>
  <c r="DB31" i="3"/>
  <c r="DC31" i="3" s="1"/>
  <c r="DB39" i="3"/>
  <c r="DC39" i="3" s="1"/>
  <c r="DB14" i="3"/>
  <c r="DC14" i="3" s="1"/>
  <c r="DB26" i="3"/>
  <c r="DC26" i="3" s="1"/>
  <c r="DB25" i="3"/>
  <c r="DC25" i="3" s="1"/>
  <c r="DB46" i="3"/>
  <c r="DC46" i="3" s="1"/>
  <c r="DB12" i="3"/>
  <c r="DC12" i="3" s="1"/>
  <c r="DB49" i="3"/>
  <c r="DC49" i="3" s="1"/>
  <c r="DB22" i="3"/>
  <c r="DC22" i="3" s="1"/>
  <c r="DB23" i="3"/>
  <c r="DC23" i="3" s="1"/>
  <c r="DB38" i="3"/>
  <c r="DC38" i="3" s="1"/>
  <c r="DB20" i="3"/>
  <c r="DC20" i="3" s="1"/>
  <c r="DB8" i="3"/>
  <c r="DC8" i="3" s="1"/>
  <c r="DB34" i="3"/>
  <c r="DC34" i="3" s="1"/>
  <c r="DB28" i="3"/>
  <c r="DC28" i="3" s="1"/>
  <c r="DB51" i="3"/>
  <c r="DC51" i="3" s="1"/>
  <c r="DB29" i="3"/>
  <c r="DC29" i="3" s="1"/>
  <c r="DD25" i="3" l="1"/>
  <c r="BM25" i="3" s="1"/>
  <c r="DD49" i="3"/>
  <c r="BM49" i="3" s="1"/>
  <c r="DD50" i="3"/>
  <c r="BM50" i="3" s="1"/>
  <c r="DD38" i="3"/>
  <c r="BM38" i="3" s="1"/>
  <c r="DD45" i="3"/>
  <c r="BM45" i="3" s="1"/>
  <c r="DD19" i="3"/>
  <c r="BM19" i="3" s="1"/>
  <c r="DD20" i="3"/>
  <c r="BM20" i="3" s="1"/>
  <c r="DD15" i="3"/>
  <c r="BM15" i="3" s="1"/>
  <c r="DD32" i="3"/>
  <c r="BM32" i="3" s="1"/>
  <c r="DD16" i="3"/>
  <c r="BM16" i="3" s="1"/>
  <c r="DD44" i="3"/>
  <c r="BM44" i="3" s="1"/>
  <c r="DD22" i="3"/>
  <c r="BM22" i="3" s="1"/>
  <c r="DD48" i="3"/>
  <c r="BM48" i="3" s="1"/>
  <c r="DD52" i="3"/>
  <c r="BM52" i="3" s="1"/>
  <c r="DD8" i="3"/>
  <c r="BM8" i="3" s="1"/>
  <c r="DD11" i="3"/>
  <c r="BM11" i="3" s="1"/>
  <c r="DD9" i="3"/>
  <c r="BM9" i="3" s="1"/>
  <c r="DD30" i="3"/>
  <c r="BM30" i="3" s="1"/>
  <c r="DD12" i="3"/>
  <c r="BM12" i="3" s="1"/>
  <c r="DD13" i="3"/>
  <c r="BM13" i="3" s="1"/>
  <c r="DD53" i="3"/>
  <c r="BM53" i="3" s="1"/>
  <c r="DD31" i="3"/>
  <c r="BM31" i="3" s="1"/>
  <c r="DD41" i="3"/>
  <c r="BM41" i="3" s="1"/>
  <c r="DD24" i="3"/>
  <c r="BM24" i="3" s="1"/>
  <c r="DD10" i="3"/>
  <c r="BM10" i="3" s="1"/>
  <c r="DD33" i="3"/>
  <c r="BM33" i="3" s="1"/>
  <c r="DD7" i="3"/>
  <c r="BM7" i="3" s="1"/>
  <c r="DD36" i="3"/>
  <c r="BM36" i="3" s="1"/>
  <c r="DD26" i="3"/>
  <c r="BM26" i="3" s="1"/>
  <c r="DD21" i="3"/>
  <c r="BM21" i="3" s="1"/>
  <c r="DD14" i="3"/>
  <c r="BM14" i="3" s="1"/>
  <c r="DD34" i="3"/>
  <c r="BM34" i="3" s="1"/>
  <c r="DD27" i="3"/>
  <c r="BM27" i="3" s="1"/>
  <c r="DD18" i="3"/>
  <c r="BM18" i="3" s="1"/>
  <c r="DD40" i="3"/>
  <c r="BM40" i="3" s="1"/>
  <c r="DD42" i="3"/>
  <c r="BM42" i="3" s="1"/>
  <c r="DD47" i="3"/>
  <c r="BM47" i="3" s="1"/>
  <c r="DD43" i="3"/>
  <c r="BM43" i="3" s="1"/>
  <c r="DD46" i="3"/>
  <c r="BM46" i="3" s="1"/>
  <c r="DD23" i="3"/>
  <c r="BM23" i="3" s="1"/>
  <c r="DD29" i="3"/>
  <c r="BM29" i="3" s="1"/>
  <c r="DD37" i="3"/>
  <c r="BM37" i="3" s="1"/>
  <c r="DD39" i="3"/>
  <c r="BM39" i="3" s="1"/>
  <c r="DD17" i="3"/>
  <c r="BM17" i="3" s="1"/>
  <c r="DD6" i="3"/>
  <c r="BM6" i="3" s="1"/>
  <c r="DD28" i="3"/>
  <c r="BM28" i="3" s="1"/>
  <c r="DD51" i="3"/>
  <c r="BM51" i="3" s="1"/>
  <c r="DD35" i="3"/>
  <c r="BM35" i="3" s="1"/>
  <c r="DQ17" i="3" l="1"/>
  <c r="DJ17" i="3" s="1"/>
  <c r="AV6" i="3"/>
  <c r="DQ19" i="3"/>
  <c r="DJ19" i="3" s="1"/>
  <c r="AV80" i="3"/>
  <c r="DQ51" i="3"/>
  <c r="DJ51" i="3" s="1"/>
  <c r="AV97" i="3"/>
  <c r="AV31" i="3"/>
  <c r="DQ31" i="3"/>
  <c r="DJ31" i="3" s="1"/>
  <c r="DQ23" i="3"/>
  <c r="DJ23" i="3" s="1"/>
  <c r="DQ26" i="3"/>
  <c r="DJ26" i="3" s="1"/>
  <c r="DQ15" i="3"/>
  <c r="DJ15" i="3" s="1"/>
  <c r="DQ45" i="3"/>
  <c r="DJ45" i="3" s="1"/>
  <c r="DQ35" i="3"/>
  <c r="DJ35" i="3" s="1"/>
  <c r="DQ42" i="3"/>
  <c r="DJ42" i="3" s="1"/>
  <c r="AV7" i="3"/>
  <c r="AV63" i="3"/>
  <c r="DQ34" i="3"/>
  <c r="DJ34" i="3" s="1"/>
  <c r="AV39" i="3"/>
  <c r="AV55" i="3"/>
  <c r="AV8" i="3"/>
  <c r="DQ44" i="3"/>
  <c r="DJ44" i="3" s="1"/>
  <c r="DQ38" i="3"/>
  <c r="DJ38" i="3" s="1"/>
  <c r="DQ25" i="3"/>
  <c r="DJ25" i="3" s="1"/>
  <c r="AV86" i="3"/>
  <c r="AV72" i="3"/>
  <c r="DQ30" i="3"/>
  <c r="DJ30" i="3" s="1"/>
  <c r="AV79" i="3"/>
  <c r="AV56" i="3"/>
  <c r="DQ11" i="3"/>
  <c r="DJ11" i="3" s="1"/>
  <c r="AV15" i="3"/>
  <c r="DQ14" i="3"/>
  <c r="DJ14" i="3" s="1"/>
  <c r="AV54" i="3"/>
  <c r="AV49" i="3"/>
  <c r="DQ18" i="3"/>
  <c r="DJ18" i="3" s="1"/>
  <c r="AV24" i="3"/>
  <c r="DQ8" i="3"/>
  <c r="DJ8" i="3" s="1"/>
  <c r="AV94" i="3"/>
  <c r="AV81" i="3"/>
  <c r="DQ24" i="3"/>
  <c r="DJ24" i="3" s="1"/>
  <c r="AV33" i="3"/>
  <c r="AV38" i="3"/>
  <c r="DQ22" i="3"/>
  <c r="DJ22" i="3" s="1"/>
  <c r="AV32" i="3"/>
  <c r="DQ48" i="3"/>
  <c r="DJ48" i="3" s="1"/>
  <c r="DQ53" i="3"/>
  <c r="DJ53" i="3" s="1"/>
  <c r="AV62" i="3"/>
  <c r="DQ27" i="3"/>
  <c r="DJ27" i="3" s="1"/>
  <c r="DQ12" i="3"/>
  <c r="DJ12" i="3" s="1"/>
  <c r="AV46" i="3"/>
  <c r="AV14" i="3"/>
  <c r="AV23" i="3"/>
  <c r="AV96" i="3"/>
  <c r="DQ37" i="3"/>
  <c r="DJ37" i="3" s="1"/>
  <c r="DQ36" i="3"/>
  <c r="DJ36" i="3" s="1"/>
  <c r="DQ20" i="3"/>
  <c r="DJ20" i="3" s="1"/>
  <c r="DQ47" i="3"/>
  <c r="DJ47" i="3" s="1"/>
  <c r="DQ49" i="3"/>
  <c r="DJ49" i="3" s="1"/>
  <c r="AV65" i="3"/>
  <c r="AV47" i="3"/>
  <c r="DQ50" i="3"/>
  <c r="DJ50" i="3" s="1"/>
  <c r="DQ32" i="3"/>
  <c r="DJ32" i="3" s="1"/>
  <c r="DQ16" i="3"/>
  <c r="DJ16" i="3" s="1"/>
  <c r="AV95" i="3"/>
  <c r="AV57" i="3"/>
  <c r="DQ33" i="3"/>
  <c r="DJ33" i="3" s="1"/>
  <c r="AV89" i="3"/>
  <c r="AV78" i="3"/>
  <c r="AV25" i="3"/>
  <c r="DQ7" i="3"/>
  <c r="DJ7" i="3" s="1"/>
  <c r="DQ52" i="3"/>
  <c r="DJ52" i="3" s="1"/>
  <c r="AV48" i="3"/>
  <c r="AV30" i="3"/>
  <c r="DQ43" i="3"/>
  <c r="DJ43" i="3" s="1"/>
  <c r="AV41" i="3"/>
  <c r="DQ13" i="3"/>
  <c r="DJ13" i="3" s="1"/>
  <c r="AV73" i="3"/>
  <c r="DQ10" i="3"/>
  <c r="DJ10" i="3" s="1"/>
  <c r="DQ46" i="3"/>
  <c r="DJ46" i="3" s="1"/>
  <c r="DQ29" i="3"/>
  <c r="DJ29" i="3" s="1"/>
  <c r="AV9" i="3"/>
  <c r="AV16" i="3"/>
  <c r="DQ39" i="3"/>
  <c r="DJ39" i="3" s="1"/>
  <c r="AV64" i="3"/>
  <c r="AV71" i="3"/>
  <c r="DQ21" i="3"/>
  <c r="DJ21" i="3" s="1"/>
  <c r="DQ40" i="3"/>
  <c r="DJ40" i="3" s="1"/>
  <c r="DQ28" i="3"/>
  <c r="DJ28" i="3" s="1"/>
  <c r="DQ41" i="3"/>
  <c r="DJ41" i="3" s="1"/>
  <c r="AV87" i="3"/>
  <c r="AV17" i="3"/>
  <c r="AV88" i="3"/>
  <c r="AV70" i="3"/>
  <c r="AV40" i="3"/>
  <c r="DQ9" i="3"/>
  <c r="DJ9" i="3" s="1"/>
  <c r="AV22" i="3"/>
  <c r="DQ6" i="3"/>
  <c r="DJ6" i="3" s="1"/>
  <c r="DF8" i="3" l="1"/>
  <c r="DF7" i="3"/>
  <c r="DL40" i="3"/>
  <c r="DL39" i="3"/>
  <c r="DN39" i="3" s="1" a="1"/>
  <c r="DL46" i="3"/>
  <c r="DN46" i="3" s="1" a="1"/>
  <c r="DL52" i="3"/>
  <c r="DL16" i="3"/>
  <c r="DL22" i="3"/>
  <c r="DN22" i="3" s="1" a="1"/>
  <c r="DL18" i="3"/>
  <c r="DL30" i="3"/>
  <c r="AU54" i="3" s="1"/>
  <c r="DL31" i="3"/>
  <c r="DL35" i="3"/>
  <c r="DM35" i="3" s="1"/>
  <c r="DL32" i="3"/>
  <c r="DL14" i="3"/>
  <c r="DM14" i="3" s="1"/>
  <c r="DL34" i="3"/>
  <c r="AU62" i="3" s="1"/>
  <c r="DL53" i="3"/>
  <c r="DN53" i="3" s="1" a="1"/>
  <c r="DL6" i="3"/>
  <c r="DL11" i="3"/>
  <c r="DM11" i="3" s="1"/>
  <c r="DL42" i="3"/>
  <c r="AU78" i="3" s="1"/>
  <c r="DL15" i="3"/>
  <c r="DL13" i="3"/>
  <c r="DM13" i="3" s="1"/>
  <c r="DL25" i="3"/>
  <c r="AU41" i="3" s="1"/>
  <c r="DL33" i="3"/>
  <c r="DN33" i="3" s="1" a="1"/>
  <c r="DL23" i="3"/>
  <c r="DL20" i="3"/>
  <c r="DL7" i="3"/>
  <c r="DN7" i="3" s="1" a="1"/>
  <c r="DL27" i="3"/>
  <c r="DL29" i="3"/>
  <c r="DL48" i="3"/>
  <c r="AU88" i="3" s="1"/>
  <c r="DL10" i="3"/>
  <c r="AU14" i="3" s="1"/>
  <c r="DL38" i="3"/>
  <c r="DL41" i="3"/>
  <c r="DL8" i="3"/>
  <c r="AU8" i="3" s="1"/>
  <c r="DL49" i="3"/>
  <c r="AU89" i="3" s="1"/>
  <c r="DL26" i="3"/>
  <c r="AU46" i="3" s="1"/>
  <c r="DL28" i="3"/>
  <c r="DL50" i="3"/>
  <c r="DN50" i="3" s="1" a="1"/>
  <c r="DL37" i="3"/>
  <c r="AU65" i="3" s="1"/>
  <c r="DL44" i="3"/>
  <c r="AU80" i="3" s="1"/>
  <c r="DL24" i="3"/>
  <c r="DL19" i="3"/>
  <c r="AU31" i="3" s="1"/>
  <c r="DL12" i="3"/>
  <c r="AU16" i="3" s="1"/>
  <c r="DL51" i="3"/>
  <c r="AU95" i="3" s="1"/>
  <c r="DL47" i="3"/>
  <c r="AU87" i="3" s="1"/>
  <c r="DL45" i="3"/>
  <c r="DN45" i="3" s="1" a="1"/>
  <c r="DL9" i="3"/>
  <c r="AU9" i="3" s="1"/>
  <c r="DL17" i="3"/>
  <c r="AU25" i="3" s="1"/>
  <c r="DL36" i="3"/>
  <c r="AU64" i="3" s="1"/>
  <c r="DL21" i="3"/>
  <c r="AU33" i="3" s="1"/>
  <c r="DL43" i="3"/>
  <c r="AU79" i="3" s="1"/>
  <c r="AU72" i="3" l="1"/>
  <c r="DM40" i="3"/>
  <c r="DN40" i="3" a="1"/>
  <c r="AU96" i="3"/>
  <c r="DN52" i="3" a="1"/>
  <c r="AU55" i="3"/>
  <c r="DN31" i="3" a="1"/>
  <c r="AU56" i="3"/>
  <c r="DN32" i="3" a="1"/>
  <c r="DM32" i="3"/>
  <c r="AU47" i="3"/>
  <c r="DN27" i="3" a="1"/>
  <c r="AU71" i="3"/>
  <c r="DM39" i="3"/>
  <c r="AU86" i="3"/>
  <c r="AU85" i="3" s="1"/>
  <c r="AV84" i="3" s="1"/>
  <c r="DM46" i="3"/>
  <c r="AU24" i="3"/>
  <c r="DN16" i="3" a="1"/>
  <c r="AU38" i="3"/>
  <c r="DM22" i="3"/>
  <c r="AU30" i="3"/>
  <c r="DN18" i="3" a="1"/>
  <c r="DM18" i="3"/>
  <c r="AU63" i="3"/>
  <c r="AU61" i="3" s="1"/>
  <c r="AV60" i="3" s="1"/>
  <c r="DN35" i="3" a="1"/>
  <c r="AU97" i="3"/>
  <c r="DM53" i="3"/>
  <c r="AU6" i="3"/>
  <c r="DM6" i="3"/>
  <c r="DN6" i="3" a="1"/>
  <c r="AU23" i="3"/>
  <c r="DM15" i="3"/>
  <c r="DN15" i="3" a="1"/>
  <c r="AU17" i="3"/>
  <c r="DN13" i="3" a="1"/>
  <c r="AU39" i="3"/>
  <c r="DM23" i="3"/>
  <c r="DN23" i="3" a="1"/>
  <c r="DN20" i="3" a="1"/>
  <c r="DM20" i="3"/>
  <c r="AU32" i="3"/>
  <c r="DN29" i="3" a="1"/>
  <c r="AU49" i="3"/>
  <c r="AU70" i="3"/>
  <c r="DM38" i="3"/>
  <c r="AU73" i="3"/>
  <c r="DM41" i="3"/>
  <c r="DN41" i="3" a="1"/>
  <c r="AU48" i="3"/>
  <c r="DM28" i="3"/>
  <c r="AU40" i="3"/>
  <c r="DM24" i="3"/>
  <c r="DM25" i="3"/>
  <c r="DM47" i="3"/>
  <c r="DM42" i="3"/>
  <c r="DM26" i="3"/>
  <c r="DN38" i="3" a="1"/>
  <c r="DM16" i="3"/>
  <c r="DN44" i="3" a="1"/>
  <c r="DN26" i="3" a="1"/>
  <c r="DM44" i="3"/>
  <c r="DM27" i="3"/>
  <c r="DN42" i="3" a="1"/>
  <c r="DN34" i="3" a="1"/>
  <c r="DM34" i="3"/>
  <c r="DM31" i="3"/>
  <c r="DN28" i="3" a="1"/>
  <c r="DN24" i="3" a="1"/>
  <c r="DM29" i="3"/>
  <c r="DN47" i="3" a="1"/>
  <c r="DM50" i="3"/>
  <c r="AU22" i="3"/>
  <c r="DM30" i="3"/>
  <c r="DN12" i="3" a="1"/>
  <c r="DN10" i="3" a="1"/>
  <c r="AU15" i="3"/>
  <c r="DM52" i="3"/>
  <c r="DN9" i="3" a="1"/>
  <c r="DM9" i="3"/>
  <c r="AU7" i="3"/>
  <c r="DM7" i="3"/>
  <c r="DM43" i="3"/>
  <c r="DN14" i="3" a="1"/>
  <c r="DN37" i="3" a="1"/>
  <c r="DN11" i="3" a="1"/>
  <c r="DN25" i="3" a="1"/>
  <c r="DN30" i="3" a="1"/>
  <c r="DN48" i="3" a="1"/>
  <c r="AU94" i="3"/>
  <c r="AU81" i="3"/>
  <c r="AU77" i="3" s="1"/>
  <c r="AV76" i="3" s="1"/>
  <c r="DM8" i="3"/>
  <c r="DN8" i="3" a="1"/>
  <c r="DN19" i="3" a="1"/>
  <c r="DM21" i="3"/>
  <c r="DM19" i="3"/>
  <c r="DM45" i="3"/>
  <c r="DM48" i="3"/>
  <c r="DN21" i="3" a="1"/>
  <c r="DN43" i="3" a="1"/>
  <c r="DN36" i="3" a="1"/>
  <c r="DM36" i="3"/>
  <c r="DN17" i="3" a="1"/>
  <c r="DN51" i="3" a="1"/>
  <c r="DM51" i="3"/>
  <c r="DM12" i="3"/>
  <c r="DM49" i="3"/>
  <c r="DM37" i="3"/>
  <c r="DM10" i="3"/>
  <c r="DN49" i="3" a="1"/>
  <c r="DM17" i="3"/>
  <c r="AU57" i="3"/>
  <c r="DM33" i="3"/>
  <c r="DF9" i="3"/>
  <c r="AU53" i="3" l="1"/>
  <c r="AV52" i="3" s="1"/>
  <c r="AU69" i="3"/>
  <c r="AV68" i="3" s="1"/>
  <c r="AU21" i="3"/>
  <c r="AV20" i="3" s="1"/>
  <c r="AU93" i="3"/>
  <c r="AV92" i="3" s="1"/>
  <c r="AU45" i="3"/>
  <c r="AV44" i="3" s="1"/>
  <c r="AU29" i="3"/>
  <c r="AV28" i="3" s="1"/>
  <c r="AU13" i="3"/>
  <c r="AV12" i="3" s="1"/>
  <c r="AU5" i="3"/>
  <c r="AV4" i="3" s="1"/>
  <c r="AU37" i="3"/>
  <c r="AV36" i="3" s="1"/>
  <c r="DF6" i="3"/>
  <c r="DF43" i="3" l="1"/>
  <c r="DF27" i="3"/>
  <c r="DF23" i="3"/>
  <c r="DF20" i="3"/>
  <c r="DF39" i="3"/>
  <c r="DF53" i="3"/>
  <c r="DF36" i="3"/>
  <c r="DF45" i="3"/>
  <c r="DF46" i="3"/>
  <c r="DF31" i="3"/>
  <c r="DF34" i="3"/>
  <c r="DF29" i="3"/>
  <c r="DF47" i="3"/>
  <c r="DF21" i="3"/>
  <c r="DF50" i="3"/>
  <c r="DF33" i="3"/>
  <c r="DF42" i="3"/>
  <c r="DF25" i="3"/>
  <c r="DF16" i="3"/>
  <c r="DF37" i="3"/>
  <c r="DF28" i="3"/>
  <c r="DF41" i="3"/>
  <c r="DF44" i="3"/>
  <c r="DF40" i="3"/>
  <c r="DF51" i="3"/>
  <c r="DF22" i="3"/>
  <c r="DF12" i="3"/>
  <c r="DF18" i="3"/>
  <c r="DF24" i="3"/>
  <c r="DF32" i="3"/>
  <c r="DF10" i="3"/>
  <c r="DF19" i="3"/>
  <c r="DF14" i="3"/>
  <c r="DF15" i="3"/>
  <c r="DF11" i="3"/>
  <c r="DF17" i="3"/>
  <c r="DF13" i="3"/>
  <c r="DF26" i="3"/>
  <c r="DF48" i="3"/>
  <c r="DF30" i="3"/>
  <c r="DF49" i="3"/>
  <c r="DF52" i="3"/>
  <c r="DF35" i="3"/>
  <c r="DF38"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M113" i="3"/>
  <c r="AA113" i="3" s="1"/>
  <c r="D113" i="3" s="1"/>
  <c r="AK8" i="3" a="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M7" i="3"/>
  <c r="I5" i="45" s="1"/>
  <c r="AS7" i="3"/>
  <c r="AQ7" i="3"/>
  <c r="AN7" i="3"/>
  <c r="AP7" i="3"/>
  <c r="AR9" i="3"/>
  <c r="AT9" i="3"/>
  <c r="J7" i="45" s="1"/>
  <c r="AM9" i="3"/>
  <c r="I7" i="45" s="1"/>
  <c r="AK9" i="3" a="1"/>
  <c r="AO9" i="3"/>
  <c r="H7" i="45"/>
  <c r="AQ9" i="3"/>
  <c r="AN9" i="3"/>
  <c r="AP9" i="3"/>
  <c r="AS9" i="3"/>
  <c r="AK15" i="3" a="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R89" i="3"/>
  <c r="T39" i="45"/>
  <c r="AP89" i="3"/>
  <c r="AO89" i="3"/>
  <c r="AS89" i="3"/>
  <c r="AT89" i="3"/>
  <c r="V39" i="45" s="1"/>
  <c r="AM81" i="3"/>
  <c r="U31" i="45" s="1"/>
  <c r="AK81" i="3" a="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S17" i="3"/>
  <c r="AP54" i="3"/>
  <c r="AQ54" i="3"/>
  <c r="T4" i="45"/>
  <c r="AS54" i="3"/>
  <c r="M110" i="3"/>
  <c r="AA109" i="3" s="1"/>
  <c r="D109" i="3" s="1"/>
  <c r="AN54" i="3"/>
  <c r="AM54" i="3"/>
  <c r="U4" i="45" s="1"/>
  <c r="AT54" i="3"/>
  <c r="V4" i="45" s="1"/>
  <c r="AK54" i="3" a="1"/>
  <c r="AR54" i="3"/>
  <c r="AO54" i="3"/>
  <c r="AM71" i="3"/>
  <c r="U21" i="45" s="1"/>
  <c r="AS71" i="3"/>
  <c r="AN71" i="3"/>
  <c r="AP71" i="3"/>
  <c r="AR71" i="3"/>
  <c r="AO71" i="3"/>
  <c r="N106" i="3"/>
  <c r="AF105" i="3" s="1"/>
  <c r="AQ71" i="3"/>
  <c r="AT71" i="3"/>
  <c r="V21" i="45" s="1"/>
  <c r="T21" i="45"/>
  <c r="AK71" i="3" a="1"/>
  <c r="AN63" i="3"/>
  <c r="AO63" i="3"/>
  <c r="AT63" i="3"/>
  <c r="V13" i="45" s="1"/>
  <c r="T13" i="45"/>
  <c r="N114" i="3"/>
  <c r="AF115" i="3" s="1"/>
  <c r="AM63" i="3"/>
  <c r="U13" i="45" s="1"/>
  <c r="AK63" i="3" a="1"/>
  <c r="AP63" i="3"/>
  <c r="AQ63" i="3"/>
  <c r="AS63" i="3"/>
  <c r="AR63" i="3"/>
  <c r="AK56" i="3" a="1"/>
  <c r="AS56" i="3"/>
  <c r="AR56" i="3"/>
  <c r="AP56" i="3"/>
  <c r="T6" i="45"/>
  <c r="AN56" i="3"/>
  <c r="AM56" i="3"/>
  <c r="U6" i="45" s="1"/>
  <c r="AQ56" i="3"/>
  <c r="AO56" i="3"/>
  <c r="AT56" i="3"/>
  <c r="V6" i="45" s="1"/>
  <c r="AS65" i="3"/>
  <c r="AN65" i="3"/>
  <c r="T15" i="45"/>
  <c r="AT65" i="3"/>
  <c r="V15" i="45" s="1"/>
  <c r="AR65" i="3"/>
  <c r="AM65" i="3"/>
  <c r="U15" i="45" s="1"/>
  <c r="AO65" i="3"/>
  <c r="AP65" i="3"/>
  <c r="AK65" i="3" a="1"/>
  <c r="AQ65" i="3"/>
  <c r="AO78" i="3"/>
  <c r="AM78" i="3"/>
  <c r="U28" i="45" s="1"/>
  <c r="AN78" i="3"/>
  <c r="T28" i="45"/>
  <c r="AK78" i="3" a="1"/>
  <c r="AQ78" i="3"/>
  <c r="AR78" i="3"/>
  <c r="AS78" i="3"/>
  <c r="AP78" i="3"/>
  <c r="AT78" i="3"/>
  <c r="V28" i="45" s="1"/>
  <c r="M114" i="3"/>
  <c r="AA115" i="3" s="1"/>
  <c r="D115" i="3" s="1"/>
  <c r="AT72" i="3"/>
  <c r="V22" i="45" s="1"/>
  <c r="AS72" i="3"/>
  <c r="AP72" i="3"/>
  <c r="AK72" i="3" a="1"/>
  <c r="AN72" i="3"/>
  <c r="T22" i="45"/>
  <c r="AM72" i="3"/>
  <c r="U22" i="45" s="1"/>
  <c r="AR72" i="3"/>
  <c r="AO72" i="3"/>
  <c r="AQ72" i="3"/>
  <c r="AS73" i="3"/>
  <c r="AN73" i="3"/>
  <c r="AP73" i="3"/>
  <c r="T23" i="45"/>
  <c r="AT73" i="3"/>
  <c r="V23" i="45" s="1"/>
  <c r="AR73" i="3"/>
  <c r="AM73" i="3"/>
  <c r="U23" i="45" s="1"/>
  <c r="AO73" i="3"/>
  <c r="AQ73" i="3"/>
  <c r="AK73" i="3" a="1"/>
  <c r="AT96" i="3"/>
  <c r="V46" i="45" s="1"/>
  <c r="AR96" i="3"/>
  <c r="AP96" i="3"/>
  <c r="AQ96" i="3"/>
  <c r="AM96" i="3"/>
  <c r="U46" i="45" s="1"/>
  <c r="AN96" i="3"/>
  <c r="T46" i="45"/>
  <c r="AK96" i="3" a="1"/>
  <c r="AS96" i="3"/>
  <c r="AO96" i="3"/>
  <c r="AP25" i="3"/>
  <c r="AO25" i="3"/>
  <c r="AS25" i="3"/>
  <c r="AQ25" i="3"/>
  <c r="AT25" i="3"/>
  <c r="J23" i="45" s="1"/>
  <c r="AN25" i="3"/>
  <c r="H23" i="45"/>
  <c r="AR25" i="3"/>
  <c r="AK25" i="3" a="1"/>
  <c r="AM25" i="3"/>
  <c r="I23" i="45" s="1"/>
  <c r="BF60" i="3"/>
  <c r="BE60" i="3" s="1"/>
  <c r="BR60" i="3" s="1"/>
  <c r="AR48" i="3"/>
  <c r="AO48" i="3"/>
  <c r="AN48" i="3"/>
  <c r="AK48" i="3" a="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P40" i="3"/>
  <c r="H38" i="45"/>
  <c r="AT40" i="3"/>
  <c r="J38" i="45" s="1"/>
  <c r="AS40" i="3"/>
  <c r="AN40" i="3"/>
  <c r="AR40" i="3"/>
  <c r="AS87" i="3"/>
  <c r="AN87" i="3"/>
  <c r="M111" i="3"/>
  <c r="AA112" i="3" s="1"/>
  <c r="D112" i="3" s="1"/>
  <c r="T37" i="45"/>
  <c r="AP87" i="3"/>
  <c r="AO87" i="3"/>
  <c r="AQ87" i="3"/>
  <c r="AK87" i="3" a="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R32" i="3"/>
  <c r="AM32" i="3"/>
  <c r="I30" i="45" s="1"/>
  <c r="AT32" i="3"/>
  <c r="J30" i="45" s="1"/>
  <c r="AT16" i="3"/>
  <c r="J14" i="45" s="1"/>
  <c r="AP16" i="3"/>
  <c r="AN16" i="3"/>
  <c r="AK16" i="3" a="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O22" i="3"/>
  <c r="AT22" i="3"/>
  <c r="J20" i="45" s="1"/>
  <c r="AS22" i="3"/>
  <c r="AR22" i="3"/>
  <c r="AK33" i="3" a="1"/>
  <c r="AT33" i="3"/>
  <c r="J31" i="45" s="1"/>
  <c r="AP33" i="3"/>
  <c r="AM33" i="3"/>
  <c r="I31" i="45" s="1"/>
  <c r="H31" i="45"/>
  <c r="AO33" i="3"/>
  <c r="AR33" i="3"/>
  <c r="AN33" i="3"/>
  <c r="AQ33" i="3"/>
  <c r="AS33" i="3"/>
  <c r="AP62" i="3"/>
  <c r="AR62" i="3"/>
  <c r="T12" i="45"/>
  <c r="M112" i="3"/>
  <c r="AA111" i="3" s="1"/>
  <c r="D111" i="3" s="1"/>
  <c r="AK62" i="3" a="1"/>
  <c r="AQ62" i="3"/>
  <c r="AO62" i="3"/>
  <c r="AT62" i="3"/>
  <c r="V12" i="45" s="1"/>
  <c r="AS62" i="3"/>
  <c r="AN62" i="3"/>
  <c r="AM62" i="3"/>
  <c r="U12" i="45" s="1"/>
  <c r="AT86" i="3"/>
  <c r="V36" i="45" s="1"/>
  <c r="AO86" i="3"/>
  <c r="AP86" i="3"/>
  <c r="T36" i="45"/>
  <c r="AQ86" i="3"/>
  <c r="AN86" i="3"/>
  <c r="AK86" i="3" a="1"/>
  <c r="AM86" i="3"/>
  <c r="U36" i="45" s="1"/>
  <c r="AS86" i="3"/>
  <c r="M115" i="3"/>
  <c r="AA116" i="3" s="1"/>
  <c r="D116" i="3" s="1"/>
  <c r="AR86" i="3"/>
  <c r="H28" i="45"/>
  <c r="AN30" i="3"/>
  <c r="AK30" i="3" a="1"/>
  <c r="AP30" i="3"/>
  <c r="AQ30" i="3"/>
  <c r="AT30" i="3"/>
  <c r="J28" i="45" s="1"/>
  <c r="AM30" i="3"/>
  <c r="I28" i="45" s="1"/>
  <c r="AO30" i="3"/>
  <c r="AS30" i="3"/>
  <c r="AR30" i="3"/>
  <c r="M109" i="3"/>
  <c r="AA110" i="3" s="1"/>
  <c r="AT47" i="3"/>
  <c r="J45" i="45" s="1"/>
  <c r="N104" i="3"/>
  <c r="AF102" i="3" s="1"/>
  <c r="H45" i="45"/>
  <c r="AK47" i="3" a="1"/>
  <c r="AR47" i="3"/>
  <c r="AO47" i="3"/>
  <c r="AQ47" i="3"/>
  <c r="AS47" i="3"/>
  <c r="AP47" i="3"/>
  <c r="AN47" i="3"/>
  <c r="AM47" i="3"/>
  <c r="I45" i="45" s="1"/>
  <c r="AQ31" i="3"/>
  <c r="AR31" i="3"/>
  <c r="AT31" i="3"/>
  <c r="J29" i="45" s="1"/>
  <c r="H29" i="45"/>
  <c r="AN31" i="3"/>
  <c r="AP31" i="3"/>
  <c r="AM31" i="3"/>
  <c r="I29" i="45" s="1"/>
  <c r="AO31" i="3"/>
  <c r="M116" i="3"/>
  <c r="AA114" i="3" s="1"/>
  <c r="AK31" i="3" a="1"/>
  <c r="AS31" i="3"/>
  <c r="AM24" i="3"/>
  <c r="I22" i="45" s="1"/>
  <c r="AT24" i="3"/>
  <c r="J22" i="45" s="1"/>
  <c r="AO24" i="3"/>
  <c r="AQ24" i="3"/>
  <c r="AR24" i="3"/>
  <c r="AP24" i="3"/>
  <c r="AK24" i="3" a="1"/>
  <c r="H22" i="45"/>
  <c r="AS24" i="3"/>
  <c r="AN24" i="3"/>
  <c r="AR57" i="3"/>
  <c r="AK57" i="3" a="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Q49" i="3"/>
  <c r="AN49" i="3"/>
  <c r="AS49" i="3"/>
  <c r="AM49" i="3"/>
  <c r="I47" i="45" s="1"/>
  <c r="AN41" i="3"/>
  <c r="H39" i="45"/>
  <c r="AT41" i="3"/>
  <c r="J39" i="45" s="1"/>
  <c r="AP41" i="3"/>
  <c r="AQ41" i="3"/>
  <c r="AS41" i="3"/>
  <c r="AO41" i="3"/>
  <c r="AM41" i="3"/>
  <c r="I39" i="45" s="1"/>
  <c r="AK41" i="3" a="1"/>
  <c r="AR41" i="3"/>
  <c r="AK23" i="3" a="1"/>
  <c r="AT23" i="3"/>
  <c r="J21" i="45" s="1"/>
  <c r="H21" i="45"/>
  <c r="AO23" i="3"/>
  <c r="N103" i="3"/>
  <c r="AF104" i="3" s="1"/>
  <c r="AP23" i="3"/>
  <c r="AS23" i="3"/>
  <c r="AQ23" i="3"/>
  <c r="AN23" i="3"/>
  <c r="AR23" i="3"/>
  <c r="AM23" i="3"/>
  <c r="I21" i="45" s="1"/>
  <c r="N116" i="3"/>
  <c r="AF114" i="3" s="1"/>
  <c r="AS55" i="3"/>
  <c r="AK55" i="3" a="1"/>
  <c r="AO55" i="3"/>
  <c r="AR55" i="3"/>
  <c r="T5" i="45"/>
  <c r="AP55" i="3"/>
  <c r="AT55" i="3"/>
  <c r="V5" i="45" s="1"/>
  <c r="AN55" i="3"/>
  <c r="AM55" i="3"/>
  <c r="U5" i="45" s="1"/>
  <c r="AQ55" i="3"/>
  <c r="AN94" i="3"/>
  <c r="AM94" i="3"/>
  <c r="U44" i="45" s="1"/>
  <c r="AQ94" i="3"/>
  <c r="AK94" i="3" a="1"/>
  <c r="AS94" i="3"/>
  <c r="AT94" i="3"/>
  <c r="V44" i="45" s="1"/>
  <c r="AR94" i="3"/>
  <c r="AO94" i="3"/>
  <c r="T44" i="45"/>
  <c r="AP94" i="3"/>
  <c r="M108" i="3"/>
  <c r="AA108" i="3" s="1"/>
  <c r="D108" i="3" s="1"/>
  <c r="AK97" i="3" a="1"/>
  <c r="AN97" i="3"/>
  <c r="AS97" i="3"/>
  <c r="AR97" i="3"/>
  <c r="AM97" i="3"/>
  <c r="U47" i="45" s="1"/>
  <c r="AP97" i="3"/>
  <c r="AQ97" i="3"/>
  <c r="AO97" i="3"/>
  <c r="AT97" i="3"/>
  <c r="V47" i="45" s="1"/>
  <c r="T47" i="45"/>
  <c r="AP95" i="3"/>
  <c r="AR95" i="3"/>
  <c r="AM95" i="3"/>
  <c r="U45" i="45" s="1"/>
  <c r="AO95" i="3"/>
  <c r="N111" i="3"/>
  <c r="AF112" i="3" s="1"/>
  <c r="AS95" i="3"/>
  <c r="AN95" i="3"/>
  <c r="AQ95" i="3"/>
  <c r="AK95" i="3" a="1"/>
  <c r="AT95" i="3"/>
  <c r="V45" i="45" s="1"/>
  <c r="T45" i="45"/>
  <c r="AR39" i="3"/>
  <c r="AM39" i="3"/>
  <c r="I37" i="45" s="1"/>
  <c r="M106" i="3"/>
  <c r="AA105" i="3" s="1"/>
  <c r="AQ39" i="3"/>
  <c r="AS39" i="3"/>
  <c r="AN39" i="3"/>
  <c r="AT39" i="3"/>
  <c r="J37" i="45" s="1"/>
  <c r="H37" i="45"/>
  <c r="AP39" i="3"/>
  <c r="AO39" i="3"/>
  <c r="AK39" i="3" a="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S88" i="3"/>
  <c r="AS46" i="3"/>
  <c r="AQ46" i="3"/>
  <c r="AN46" i="3"/>
  <c r="H44" i="45"/>
  <c r="M103" i="3"/>
  <c r="AA104" i="3" s="1"/>
  <c r="AP46" i="3"/>
  <c r="AR46" i="3"/>
  <c r="AO46" i="3"/>
  <c r="AK46" i="3" a="1"/>
  <c r="AM46" i="3"/>
  <c r="I44" i="45" s="1"/>
  <c r="AT46" i="3"/>
  <c r="J44" i="45" s="1"/>
  <c r="AK64" i="3" a="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S38" i="3"/>
  <c r="AO38" i="3"/>
  <c r="AQ38" i="3"/>
  <c r="AN38" i="3"/>
  <c r="AR38" i="3"/>
  <c r="AP38" i="3"/>
  <c r="D105" i="3" l="1"/>
  <c r="BF63" i="3"/>
  <c r="BJ63" i="3" s="1"/>
  <c r="BF59" i="3"/>
  <c r="BJ59" i="3" s="1"/>
  <c r="D114" i="3"/>
  <c r="AG114" i="3" s="1"/>
  <c r="BF65" i="3"/>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1" i="3" l="1"/>
  <c r="AG121" i="3" s="1"/>
  <c r="BL63" i="3"/>
  <c r="BL59" i="3"/>
  <c r="BL65" i="3"/>
  <c r="D122" i="3"/>
  <c r="N126" i="3"/>
  <c r="AF126" i="3" s="1"/>
  <c r="C196" i="31" s="1"/>
  <c r="D127" i="3"/>
  <c r="D124" i="3"/>
  <c r="AG124"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C197" i="31"/>
  <c r="AE47" i="45"/>
  <c r="AE40" i="45"/>
  <c r="C188"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M131" i="3" l="1"/>
  <c r="AA131" i="3" s="1"/>
  <c r="AI7" i="45" s="1"/>
  <c r="AG122" i="3"/>
  <c r="M133" i="3"/>
  <c r="AA133" i="3" s="1"/>
  <c r="N134" i="3"/>
  <c r="AF134" i="3" s="1"/>
  <c r="D134" i="3" s="1"/>
  <c r="AG134" i="3" s="1"/>
  <c r="AG127" i="3"/>
  <c r="B206" i="31"/>
  <c r="C206" i="31"/>
  <c r="AE41" i="45"/>
  <c r="M132" i="3"/>
  <c r="AA132" i="3" s="1"/>
  <c r="C211" i="31" s="1"/>
  <c r="D120" i="3"/>
  <c r="BS63" i="3"/>
  <c r="BS68" i="3"/>
  <c r="BS66" i="3"/>
  <c r="BS65" i="3"/>
  <c r="BS58" i="3"/>
  <c r="BS69" i="3"/>
  <c r="BS60" i="3"/>
  <c r="BS64" i="3"/>
  <c r="BS67" i="3"/>
  <c r="BS62" i="3"/>
  <c r="BS61" i="3"/>
  <c r="BS59" i="3"/>
  <c r="C190" i="31"/>
  <c r="AE11" i="45"/>
  <c r="B200" i="31"/>
  <c r="AG126" i="3"/>
  <c r="AI43" i="45"/>
  <c r="C213" i="31"/>
  <c r="C210" i="31" l="1"/>
  <c r="C212" i="31"/>
  <c r="AI31" i="45"/>
  <c r="AI44" i="45"/>
  <c r="C217" i="31"/>
  <c r="B223" i="31"/>
  <c r="C223" i="31"/>
  <c r="D132" i="3"/>
  <c r="AI19" i="45"/>
  <c r="N139" i="3"/>
  <c r="AF139" i="3" s="1"/>
  <c r="AG120" i="3"/>
  <c r="N131" i="3"/>
  <c r="AF131" i="3" s="1"/>
  <c r="D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C229" i="31" l="1"/>
  <c r="AM38" i="45" a="1"/>
  <c r="N138" i="3"/>
  <c r="AF138" i="3" s="1"/>
  <c r="AG132" i="3"/>
  <c r="M138" i="3"/>
  <c r="AA138" i="3" s="1"/>
  <c r="AG131" i="3"/>
  <c r="AI8" i="45"/>
  <c r="C214" i="31"/>
  <c r="B220" i="31"/>
  <c r="C220" i="31"/>
  <c r="BV61" i="3"/>
  <c r="BV60" i="3"/>
  <c r="BV66" i="3"/>
  <c r="BV69" i="3"/>
  <c r="BV65" i="3"/>
  <c r="BV68" i="3"/>
  <c r="BV62" i="3"/>
  <c r="BV59" i="3"/>
  <c r="BV64" i="3"/>
  <c r="BV58" i="3"/>
  <c r="BV67" i="3"/>
  <c r="BV63" i="3"/>
  <c r="D138" i="3" l="1"/>
  <c r="C228" i="31"/>
  <c r="AA147" i="3"/>
  <c r="AM14" i="45"/>
  <c r="AA143" i="3"/>
  <c r="H138" i="3"/>
  <c r="C226" i="31"/>
  <c r="C232" i="31"/>
  <c r="AM13" i="45"/>
  <c r="B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D143" i="3" l="1"/>
  <c r="AG143" i="3" s="1"/>
  <c r="AA152" i="3"/>
  <c r="M143" i="3"/>
  <c r="M147" i="3"/>
  <c r="AG138" i="3"/>
  <c r="D147" i="3"/>
  <c r="AG147" i="3" s="1"/>
  <c r="AA150" i="3"/>
  <c r="AU25" i="45"/>
  <c r="C240" i="31"/>
  <c r="AQ31" i="45"/>
  <c r="C236" i="31"/>
  <c r="BY59" i="3"/>
  <c r="BY63" i="3"/>
  <c r="BY60" i="3"/>
  <c r="BY61" i="3"/>
  <c r="BY68" i="3"/>
  <c r="BY66" i="3"/>
  <c r="BY69" i="3"/>
  <c r="BY64" i="3"/>
  <c r="BY62" i="3"/>
  <c r="BY67" i="3"/>
  <c r="BY58" i="3"/>
  <c r="BY65" i="3"/>
  <c r="AZ25" i="45" l="1"/>
  <c r="AG152" i="3"/>
  <c r="C252" i="31"/>
  <c r="AG150" i="3"/>
  <c r="BA21" i="45"/>
  <c r="C250" i="31"/>
  <c r="BZ65" i="3"/>
  <c r="CA65" i="3" s="1"/>
  <c r="BZ60" i="3"/>
  <c r="BZ64" i="3"/>
  <c r="BZ58" i="3"/>
  <c r="BZ59" i="3"/>
  <c r="CA59" i="3" s="1"/>
  <c r="BZ61" i="3"/>
  <c r="BZ68" i="3"/>
  <c r="BZ69" i="3"/>
  <c r="BZ67" i="3"/>
  <c r="BZ62" i="3"/>
  <c r="BZ63" i="3"/>
  <c r="BZ66" i="3"/>
  <c r="BM42" i="45" l="1"/>
  <c r="BM41" i="45"/>
  <c r="BM29" i="45"/>
  <c r="BM16" i="45"/>
  <c r="BM50" i="45"/>
  <c r="BM24" i="45"/>
  <c r="BM26" i="45"/>
  <c r="BM14" i="45"/>
  <c r="BM10" i="45"/>
  <c r="BM5" i="45"/>
  <c r="BM28" i="45"/>
  <c r="BM43" i="45"/>
  <c r="BM21" i="45"/>
  <c r="BM23" i="45"/>
  <c r="BM33" i="45"/>
  <c r="BM8" i="45"/>
  <c r="BM19" i="45"/>
  <c r="BM35" i="45"/>
  <c r="BM18" i="45"/>
  <c r="BM49" i="45"/>
  <c r="BM36" i="45"/>
  <c r="BM31" i="45"/>
  <c r="BM40" i="45"/>
  <c r="BM37" i="45"/>
  <c r="BM51" i="45"/>
  <c r="BM25" i="45"/>
  <c r="BM30" i="45"/>
  <c r="BM13" i="45"/>
  <c r="BM4" i="45"/>
  <c r="BM47" i="45"/>
  <c r="BM6" i="45"/>
  <c r="BM9" i="45"/>
  <c r="BM34" i="45"/>
  <c r="BM20" i="45"/>
  <c r="BM44" i="45"/>
  <c r="BM22" i="45"/>
  <c r="BM38" i="45"/>
  <c r="BM11" i="45"/>
  <c r="BM12" i="45"/>
  <c r="BM7" i="45"/>
  <c r="BM32" i="45"/>
  <c r="BM46" i="45"/>
  <c r="BM27" i="45"/>
  <c r="BM17" i="45"/>
  <c r="BM15" i="45"/>
  <c r="BM39" i="45"/>
  <c r="BM45" i="45"/>
  <c r="BM48" i="45"/>
  <c r="BO38" i="45"/>
  <c r="BO17" i="45"/>
  <c r="BO22" i="45"/>
  <c r="BO47" i="45"/>
  <c r="BO39" i="45"/>
  <c r="BO45" i="45"/>
  <c r="BO46" i="45"/>
  <c r="BO41" i="45"/>
  <c r="BO31" i="45"/>
  <c r="BO37" i="45"/>
  <c r="BO12" i="45"/>
  <c r="BO14" i="45"/>
  <c r="BO10" i="45"/>
  <c r="BO26" i="45"/>
  <c r="BO30" i="45"/>
  <c r="BO16" i="45"/>
  <c r="BO34" i="45"/>
  <c r="BO24" i="45"/>
  <c r="BO40" i="45"/>
  <c r="BO8" i="45"/>
  <c r="BO20" i="45"/>
  <c r="BO51" i="45"/>
  <c r="BO28" i="45"/>
  <c r="BO7" i="45"/>
  <c r="BO49" i="45"/>
  <c r="BO25" i="45"/>
  <c r="BO19" i="45"/>
  <c r="BO21" i="45"/>
  <c r="BO35" i="45"/>
  <c r="BO43" i="45"/>
  <c r="BO48" i="45"/>
  <c r="BO32" i="45"/>
  <c r="BO50" i="45"/>
  <c r="BO36" i="45"/>
  <c r="BO33" i="45"/>
  <c r="BO15" i="45"/>
  <c r="BO29" i="45"/>
  <c r="BO44" i="45"/>
  <c r="BO13" i="45"/>
  <c r="BO18" i="45"/>
  <c r="BO6" i="45"/>
  <c r="BO9" i="45"/>
  <c r="BO23" i="45"/>
  <c r="BO4" i="45"/>
  <c r="BO5" i="45"/>
  <c r="BO42" i="45"/>
  <c r="BO11" i="45"/>
  <c r="BO27"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CE60" i="3"/>
  <c r="CE59" i="3"/>
  <c r="DN58" i="3" a="1"/>
  <c r="DM65" i="3"/>
  <c r="DN67" i="3" a="1"/>
  <c r="DM59" i="3"/>
  <c r="DM58" i="3"/>
  <c r="CE64" i="3"/>
  <c r="DN69" i="3" a="1"/>
  <c r="CE58" i="3"/>
  <c r="DM69" i="3"/>
  <c r="DM62" i="3"/>
  <c r="DN68" i="3" a="1"/>
  <c r="DM61" i="3"/>
  <c r="CE66" i="3"/>
  <c r="DM66" i="3"/>
  <c r="DM67" i="3"/>
  <c r="AU101" i="3"/>
  <c r="AV100" i="3" s="1"/>
  <c r="DM63" i="3"/>
  <c r="DN66" i="3" a="1"/>
  <c r="DN60" i="3" a="1"/>
  <c r="DM68" i="3"/>
  <c r="DN63" i="3" a="1"/>
  <c r="DM60" i="3"/>
  <c r="CE63" i="3"/>
  <c r="CE61" i="3"/>
  <c r="DN61" i="3" a="1"/>
  <c r="DM64" i="3"/>
  <c r="DN59" i="3" a="1"/>
  <c r="CE65" i="3"/>
  <c r="CE62" i="3"/>
  <c r="DN64" i="3" a="1"/>
  <c r="DN62" i="3" a="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12" i="3" a="1"/>
  <c r="AO112" i="3"/>
  <c r="AM109" i="3"/>
  <c r="AS109" i="3"/>
  <c r="AN112" i="3"/>
  <c r="AN109" i="3"/>
  <c r="AM112" i="3"/>
  <c r="BF110" i="3"/>
  <c r="AO109" i="3"/>
  <c r="AR112" i="3"/>
  <c r="AQ109" i="3"/>
  <c r="AP109" i="3"/>
  <c r="AP112" i="3"/>
  <c r="AT112" i="3"/>
  <c r="AT109" i="3"/>
  <c r="AQ112" i="3"/>
  <c r="AS105" i="3"/>
  <c r="AN113" i="3"/>
  <c r="AK113" i="3" a="1"/>
  <c r="AR113" i="3"/>
  <c r="AT113" i="3"/>
  <c r="AP113" i="3"/>
  <c r="AK102" i="3" a="1"/>
  <c r="AQ113" i="3"/>
  <c r="AQ106" i="3"/>
  <c r="AM106" i="3"/>
  <c r="AK111" i="3" a="1"/>
  <c r="AS110" i="3"/>
  <c r="AK110" i="3" a="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N104" i="3"/>
  <c r="AK104" i="3" a="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6" i="3" a="1"/>
  <c r="AS104" i="3"/>
  <c r="AN102" i="3"/>
  <c r="AN107" i="3"/>
  <c r="AO103" i="3"/>
  <c r="BF104" i="3"/>
  <c r="AK107" i="3" a="1"/>
  <c r="AK103" i="3" a="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M139" i="3" l="1"/>
  <c r="AA139" i="3" s="1"/>
  <c r="AG133" i="3"/>
  <c r="C221" i="31"/>
  <c r="C215" i="31"/>
  <c r="B221" i="31"/>
  <c r="AI20" i="45"/>
  <c r="B222" i="31"/>
  <c r="C222" i="31"/>
  <c r="AI32" i="45"/>
  <c r="C216" i="31"/>
  <c r="AF147" i="3" l="1"/>
  <c r="D139" i="3"/>
  <c r="AF143" i="3"/>
  <c r="H139" i="3"/>
  <c r="C233" i="31"/>
  <c r="B233" i="31"/>
  <c r="C227" i="31"/>
  <c r="AM37" i="45"/>
  <c r="N147" i="3" l="1"/>
  <c r="N143" i="3"/>
  <c r="AG139" i="3"/>
  <c r="H147" i="3"/>
  <c r="AU26" i="45"/>
  <c r="C241" i="31"/>
  <c r="AA151" i="3"/>
  <c r="B247" i="31"/>
  <c r="C247" i="31"/>
  <c r="C237" i="31"/>
  <c r="AQ32" i="45"/>
  <c r="C244" i="31"/>
  <c r="B244" i="31"/>
  <c r="C251" i="31" l="1"/>
  <c r="BB23" i="45"/>
  <c r="AG151" i="3"/>
  <c r="AJ155" i="3" s="1"/>
  <c r="AJ151" i="3"/>
  <c r="BN9" i="45" l="1"/>
  <c r="BL9" i="45" s="1"/>
  <c r="BK9" i="45" s="1"/>
  <c r="BJ9" i="45" s="1"/>
  <c r="BI9" i="45" s="1"/>
  <c r="BH9" i="45" s="1"/>
  <c r="BN32" i="45"/>
  <c r="BL32" i="45" s="1"/>
  <c r="BK32" i="45" s="1"/>
  <c r="BJ32" i="45" s="1"/>
  <c r="BI32" i="45" s="1"/>
  <c r="BH32" i="45" s="1"/>
  <c r="BN10" i="45"/>
  <c r="BL10" i="45" s="1"/>
  <c r="BK10" i="45" s="1"/>
  <c r="BJ10" i="45" s="1"/>
  <c r="BI10" i="45" s="1"/>
  <c r="BH10" i="45" s="1"/>
  <c r="BN26" i="45"/>
  <c r="BL26" i="45" s="1"/>
  <c r="BK26" i="45" s="1"/>
  <c r="BJ26" i="45" s="1"/>
  <c r="BI26" i="45" s="1"/>
  <c r="BH26" i="45" s="1"/>
  <c r="BN34" i="45"/>
  <c r="BL34" i="45" s="1"/>
  <c r="BK34" i="45" s="1"/>
  <c r="BJ34" i="45" s="1"/>
  <c r="BI34" i="45" s="1"/>
  <c r="BH34" i="45" s="1"/>
  <c r="BN49" i="45"/>
  <c r="BL49" i="45" s="1"/>
  <c r="BK49" i="45" s="1"/>
  <c r="BJ49" i="45" s="1"/>
  <c r="BI49" i="45" s="1"/>
  <c r="BH49" i="45" s="1"/>
  <c r="BN4" i="45"/>
  <c r="BL4" i="45" s="1"/>
  <c r="BK4" i="45" s="1"/>
  <c r="BJ4" i="45" s="1"/>
  <c r="BI4" i="45" s="1"/>
  <c r="BH4" i="45" s="1"/>
  <c r="BN28" i="45"/>
  <c r="BL28" i="45" s="1"/>
  <c r="BK28" i="45" s="1"/>
  <c r="BJ28" i="45" s="1"/>
  <c r="BI28" i="45" s="1"/>
  <c r="BH28" i="45" s="1"/>
  <c r="BN40" i="45"/>
  <c r="BL40" i="45" s="1"/>
  <c r="BK40" i="45" s="1"/>
  <c r="BJ40" i="45" s="1"/>
  <c r="BI40" i="45" s="1"/>
  <c r="BH40" i="45" s="1"/>
  <c r="BN16" i="45"/>
  <c r="BL16" i="45" s="1"/>
  <c r="BK16" i="45" s="1"/>
  <c r="BJ16" i="45" s="1"/>
  <c r="BI16" i="45" s="1"/>
  <c r="BH16" i="45" s="1"/>
  <c r="BN19" i="45"/>
  <c r="BL19" i="45" s="1"/>
  <c r="BK19" i="45" s="1"/>
  <c r="BJ19" i="45" s="1"/>
  <c r="BI19" i="45" s="1"/>
  <c r="BH19" i="45" s="1"/>
  <c r="BN24" i="45"/>
  <c r="BL24" i="45" s="1"/>
  <c r="BK24" i="45" s="1"/>
  <c r="BJ24" i="45" s="1"/>
  <c r="BI24" i="45" s="1"/>
  <c r="BH24" i="45" s="1"/>
  <c r="BN27" i="45"/>
  <c r="BL27" i="45" s="1"/>
  <c r="BK27" i="45" s="1"/>
  <c r="BJ27" i="45" s="1"/>
  <c r="BI27" i="45" s="1"/>
  <c r="BH27" i="45" s="1"/>
  <c r="BN39" i="45"/>
  <c r="BL39" i="45" s="1"/>
  <c r="BK39" i="45" s="1"/>
  <c r="BJ39" i="45" s="1"/>
  <c r="BI39" i="45" s="1"/>
  <c r="BH39" i="45" s="1"/>
  <c r="BN36" i="45"/>
  <c r="BL36" i="45" s="1"/>
  <c r="BK36" i="45" s="1"/>
  <c r="BJ36" i="45" s="1"/>
  <c r="BI36" i="45" s="1"/>
  <c r="BH36" i="45" s="1"/>
  <c r="BN45" i="45"/>
  <c r="BL45" i="45" s="1"/>
  <c r="BK45" i="45" s="1"/>
  <c r="BJ45" i="45" s="1"/>
  <c r="BI45" i="45" s="1"/>
  <c r="BH45" i="45" s="1"/>
  <c r="BN50" i="45"/>
  <c r="BL50" i="45" s="1"/>
  <c r="BK50" i="45" s="1"/>
  <c r="BJ50" i="45" s="1"/>
  <c r="BI50" i="45" s="1"/>
  <c r="BH50" i="45" s="1"/>
  <c r="BN6" i="45"/>
  <c r="BL6" i="45" s="1"/>
  <c r="BK6" i="45" s="1"/>
  <c r="BJ6" i="45" s="1"/>
  <c r="BI6" i="45" s="1"/>
  <c r="BH6" i="45" s="1"/>
  <c r="BN38" i="45"/>
  <c r="BL38" i="45" s="1"/>
  <c r="BK38" i="45" s="1"/>
  <c r="BJ38" i="45" s="1"/>
  <c r="BI38" i="45" s="1"/>
  <c r="BH38" i="45" s="1"/>
  <c r="BN20" i="45"/>
  <c r="BL20" i="45" s="1"/>
  <c r="BK20" i="45" s="1"/>
  <c r="BJ20" i="45" s="1"/>
  <c r="BI20" i="45" s="1"/>
  <c r="BH20" i="45" s="1"/>
  <c r="BN41" i="45"/>
  <c r="BL41" i="45" s="1"/>
  <c r="BK41" i="45" s="1"/>
  <c r="BJ41" i="45" s="1"/>
  <c r="BI41" i="45" s="1"/>
  <c r="BH41" i="45" s="1"/>
  <c r="BN30" i="45"/>
  <c r="BL30" i="45" s="1"/>
  <c r="BK30" i="45" s="1"/>
  <c r="BJ30" i="45" s="1"/>
  <c r="BI30" i="45" s="1"/>
  <c r="BH30" i="45" s="1"/>
  <c r="BN5" i="45"/>
  <c r="BL5" i="45" s="1"/>
  <c r="BK5" i="45" s="1"/>
  <c r="BJ5" i="45" s="1"/>
  <c r="BI5" i="45" s="1"/>
  <c r="BH5" i="45" s="1"/>
  <c r="BN21" i="45"/>
  <c r="BL21" i="45" s="1"/>
  <c r="BK21" i="45" s="1"/>
  <c r="BJ21" i="45" s="1"/>
  <c r="BI21" i="45" s="1"/>
  <c r="BH21" i="45" s="1"/>
  <c r="BN7" i="45"/>
  <c r="BL7" i="45" s="1"/>
  <c r="BK7" i="45" s="1"/>
  <c r="BJ7" i="45" s="1"/>
  <c r="BI7" i="45" s="1"/>
  <c r="BH7" i="45" s="1"/>
  <c r="BN31" i="45"/>
  <c r="BL31" i="45" s="1"/>
  <c r="BK31" i="45" s="1"/>
  <c r="BJ31" i="45" s="1"/>
  <c r="BI31" i="45" s="1"/>
  <c r="BH31" i="45" s="1"/>
  <c r="BN22" i="45"/>
  <c r="BL22" i="45" s="1"/>
  <c r="BK22" i="45" s="1"/>
  <c r="BJ22" i="45" s="1"/>
  <c r="BI22" i="45" s="1"/>
  <c r="BH22" i="45" s="1"/>
  <c r="BN43" i="45"/>
  <c r="BL43" i="45" s="1"/>
  <c r="BK43" i="45" s="1"/>
  <c r="BJ43" i="45" s="1"/>
  <c r="BI43" i="45" s="1"/>
  <c r="BH43" i="45" s="1"/>
  <c r="BN42" i="45"/>
  <c r="BL42" i="45" s="1"/>
  <c r="BK42" i="45" s="1"/>
  <c r="BJ42" i="45" s="1"/>
  <c r="BI42" i="45" s="1"/>
  <c r="BH42" i="45" s="1"/>
  <c r="BN33" i="45"/>
  <c r="BL33" i="45" s="1"/>
  <c r="BK33" i="45" s="1"/>
  <c r="BJ33" i="45" s="1"/>
  <c r="BI33" i="45" s="1"/>
  <c r="BH33" i="45" s="1"/>
  <c r="BN17" i="45"/>
  <c r="BL17" i="45" s="1"/>
  <c r="BK17" i="45" s="1"/>
  <c r="BJ17" i="45" s="1"/>
  <c r="BI17" i="45" s="1"/>
  <c r="BH17" i="45" s="1"/>
  <c r="BN48" i="45"/>
  <c r="BL48" i="45" s="1"/>
  <c r="BK48" i="45" s="1"/>
  <c r="BJ48" i="45" s="1"/>
  <c r="BI48" i="45" s="1"/>
  <c r="BH48" i="45" s="1"/>
  <c r="BN13" i="45"/>
  <c r="BL13" i="45" s="1"/>
  <c r="BK13" i="45" s="1"/>
  <c r="BJ13" i="45" s="1"/>
  <c r="BI13" i="45" s="1"/>
  <c r="BH13" i="45" s="1"/>
  <c r="BN23" i="45"/>
  <c r="BL23" i="45" s="1"/>
  <c r="BK23" i="45" s="1"/>
  <c r="BJ23" i="45" s="1"/>
  <c r="BI23" i="45" s="1"/>
  <c r="BH23" i="45" s="1"/>
  <c r="BN18" i="45"/>
  <c r="BL18" i="45" s="1"/>
  <c r="BK18" i="45" s="1"/>
  <c r="BJ18" i="45" s="1"/>
  <c r="BI18" i="45" s="1"/>
  <c r="BH18" i="45" s="1"/>
  <c r="BN14" i="45"/>
  <c r="BL14" i="45" s="1"/>
  <c r="BK14" i="45" s="1"/>
  <c r="BJ14" i="45" s="1"/>
  <c r="BI14" i="45" s="1"/>
  <c r="BH14" i="45" s="1"/>
  <c r="BN8" i="45"/>
  <c r="BL8" i="45" s="1"/>
  <c r="BK8" i="45" s="1"/>
  <c r="BJ8" i="45" s="1"/>
  <c r="BI8" i="45" s="1"/>
  <c r="BH8" i="45" s="1"/>
  <c r="BN46" i="45"/>
  <c r="BL46" i="45" s="1"/>
  <c r="BK46" i="45" s="1"/>
  <c r="BJ46" i="45" s="1"/>
  <c r="BI46" i="45" s="1"/>
  <c r="BH46" i="45" s="1"/>
  <c r="BN47" i="45"/>
  <c r="BL47" i="45" s="1"/>
  <c r="BK47" i="45" s="1"/>
  <c r="BJ47" i="45" s="1"/>
  <c r="BI47" i="45" s="1"/>
  <c r="BH47" i="45" s="1"/>
  <c r="BN12" i="45"/>
  <c r="BL12" i="45" s="1"/>
  <c r="BK12" i="45" s="1"/>
  <c r="BJ12" i="45" s="1"/>
  <c r="BI12" i="45" s="1"/>
  <c r="BH12" i="45" s="1"/>
  <c r="BN35" i="45"/>
  <c r="BL35" i="45" s="1"/>
  <c r="BK35" i="45" s="1"/>
  <c r="BJ35" i="45" s="1"/>
  <c r="BI35" i="45" s="1"/>
  <c r="BH35" i="45" s="1"/>
  <c r="BN37" i="45"/>
  <c r="BL37" i="45" s="1"/>
  <c r="BK37" i="45" s="1"/>
  <c r="BJ37" i="45" s="1"/>
  <c r="BI37" i="45" s="1"/>
  <c r="BH37" i="45" s="1"/>
  <c r="BN25" i="45"/>
  <c r="BL25" i="45" s="1"/>
  <c r="BK25" i="45" s="1"/>
  <c r="BJ25" i="45" s="1"/>
  <c r="BI25" i="45" s="1"/>
  <c r="BH25" i="45" s="1"/>
  <c r="BN15" i="45"/>
  <c r="BL15" i="45" s="1"/>
  <c r="BK15" i="45" s="1"/>
  <c r="BJ15" i="45" s="1"/>
  <c r="BI15" i="45" s="1"/>
  <c r="BH15" i="45" s="1"/>
  <c r="BN11" i="45"/>
  <c r="BL11" i="45" s="1"/>
  <c r="BK11" i="45" s="1"/>
  <c r="BJ11" i="45" s="1"/>
  <c r="BI11" i="45" s="1"/>
  <c r="BH11" i="45" s="1"/>
  <c r="BN29" i="45"/>
  <c r="BL29" i="45" s="1"/>
  <c r="BK29" i="45" s="1"/>
  <c r="BJ29" i="45" s="1"/>
  <c r="BI29" i="45" s="1"/>
  <c r="BH29" i="45" s="1"/>
  <c r="BN44" i="45"/>
  <c r="BL44" i="45" s="1"/>
  <c r="BK44" i="45" s="1"/>
  <c r="BJ44" i="45" s="1"/>
  <c r="BI44" i="45" s="1"/>
  <c r="BH44" i="45" s="1"/>
  <c r="BN51" i="45"/>
  <c r="BL51" i="45" s="1"/>
  <c r="BK51" i="45" s="1"/>
  <c r="BJ51" i="45" s="1"/>
  <c r="BI51" i="45" s="1"/>
  <c r="BH51"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<sst xmlns="http://schemas.openxmlformats.org/spreadsheetml/2006/main" count="6764" uniqueCount="1518">
  <si>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</si>
  <si>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</si>
  <si>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</si>
  <si>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</si>
  <si>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</si>
  <si>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</si>
  <si>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</si>
  <si>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</si>
  <si>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</si>
  <si>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</si>
  <si>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</si>
  <si>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</si>
  <si>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</si>
  <si>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</si>
  <si>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</si>
  <si>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</si>
  <si>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</si>
  <si>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</si>
  <si>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</si>
  <si>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</si>
  <si>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</si>
  <si>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</si>
  <si>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</si>
  <si>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</si>
  <si>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</si>
  <si>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</si>
  <si>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</si>
  <si>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</si>
  <si>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</si>
  <si>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</si>
  <si>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</si>
  <si>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</si>
  <si>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</si>
  <si>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</si>
  <si>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</si>
  <si>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</si>
  <si>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</si>
  <si>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</si>
  <si>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</si>
  <si>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</si>
  <si>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</si>
  <si>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</si>
  <si>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</si>
  <si>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</si>
  <si>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</si>
  <si>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</si>
  <si>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</si>
  <si>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</si>
  <si>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</si>
  <si>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</si>
  <si>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</si>
  <si>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</si>
  <si>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</si>
  <si>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</si>
  <si>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</si>
  <si>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</si>
  <si>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</si>
  <si>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</si>
  <si>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</si>
  <si>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</si>
  <si>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</si>
  <si>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</si>
  <si>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</si>
  <si>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</si>
  <si>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</si>
  <si>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</si>
  <si>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</si>
  <si>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</si>
  <si>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</si>
  <si>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</si>
  <si>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</si>
  <si>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</si>
  <si>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</si>
  <si>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</si>
  <si>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</si>
  <si>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</si>
  <si>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</si>
  <si>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</si>
  <si>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</si>
  <si>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</si>
  <si>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</si>
  <si>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</si>
  <si>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</si>
  <si>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</si>
  <si>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</si>
  <si>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</si>
  <si>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</si>
  <si>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</si>
  <si>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</si>
  <si>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</si>
  <si>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</si>
  <si>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</si>
  <si>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</si>
  <si>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</si>
  <si>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</si>
  <si>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</si>
  <si>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</si>
  <si>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</si>
  <si>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</si>
  <si>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</si>
  <si>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</si>
  <si>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</si>
  <si>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</si>
  <si>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</si>
  <si>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</si>
  <si>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</si>
  <si>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</si>
  <si>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</si>
  <si>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</si>
  <si>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</si>
  <si>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</si>
  <si>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</si>
  <si>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</si>
  <si>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</si>
  <si>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</si>
  <si>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</si>
  <si>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</si>
  <si>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</si>
  <si>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</si>
  <si>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</si>
  <si>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</si>
  <si>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</si>
  <si>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</si>
  <si>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</si>
  <si>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</si>
  <si>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</si>
  <si>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</si>
  <si>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</si>
  <si>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</si>
  <si>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</si>
  <si>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</si>
  <si>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</si>
  <si>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</si>
  <si>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</si>
  <si>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</si>
  <si>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</si>
  <si>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</si>
  <si>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</si>
  <si>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</si>
  <si>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</si>
  <si>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</si>
  <si>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</si>
  <si>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</si>
  <si>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</si>
  <si>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</si>
  <si>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</si>
  <si>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</si>
  <si>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</si>
  <si>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</si>
  <si>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</si>
  <si>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</si>
  <si>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</si>
  <si>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</si>
  <si>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</si>
  <si>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</si>
  <si>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</si>
  <si>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</si>
  <si>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</si>
  <si>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</si>
  <si>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</si>
  <si>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</si>
  <si>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</si>
  <si>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</si>
  <si>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</si>
  <si>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</si>
  <si>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</si>
  <si>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</si>
  <si>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</si>
  <si>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</si>
  <si>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</si>
  <si>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</si>
  <si>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</si>
  <si>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</si>
  <si>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</si>
  <si>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</si>
  <si>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</si>
  <si>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</si>
  <si>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</si>
  <si>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</si>
  <si>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</si>
  <si>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</si>
  <si>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</si>
  <si>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</si>
  <si>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</si>
  <si>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</si>
  <si>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</si>
  <si>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</si>
  <si>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</si>
  <si>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</si>
  <si>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</si>
  <si>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</si>
  <si>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</si>
  <si>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</si>
  <si>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</si>
  <si>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</si>
  <si>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</si>
  <si>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</si>
  <si>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</si>
  <si>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</si>
  <si>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</si>
  <si>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</si>
  <si>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</si>
  <si>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</si>
  <si>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</si>
  <si>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</si>
  <si>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</si>
  <si>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</si>
  <si>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</si>
  <si>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</si>
  <si>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</si>
  <si>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</si>
  <si>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</si>
  <si>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</si>
  <si>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</si>
  <si>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</si>
  <si>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</si>
  <si>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</si>
  <si>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</si>
  <si>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</si>
  <si>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</si>
  <si>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</si>
  <si>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</si>
  <si>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</si>
  <si>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</si>
  <si>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</si>
  <si>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</si>
  <si>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</si>
  <si>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</si>
  <si>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</si>
  <si>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</si>
  <si>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</si>
  <si>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</si>
  <si>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</si>
  <si>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</si>
  <si>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</si>
  <si>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</si>
  <si>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</si>
  <si>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</si>
  <si>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</si>
  <si>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</si>
  <si>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</si>
  <si>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</si>
  <si>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</si>
  <si>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</si>
  <si>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</si>
  <si>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</si>
  <si>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</si>
  <si>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</si>
  <si>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</si>
  <si>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</si>
  <si>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</si>
  <si>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</si>
  <si>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</si>
  <si>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</si>
  <si>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</si>
  <si>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</si>
  <si>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</si>
  <si>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</si>
  <si>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</si>
  <si>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</si>
  <si>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</si>
  <si>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</si>
  <si>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</si>
  <si>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</si>
  <si>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</si>
  <si>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</si>
  <si>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</si>
  <si>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</si>
  <si>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</si>
  <si>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</si>
  <si>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</si>
  <si>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</si>
  <si>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</si>
  <si>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</si>
  <si>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</si>
  <si>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</si>
  <si>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</si>
  <si>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</si>
  <si>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</si>
  <si>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</si>
  <si>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</si>
  <si>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</si>
  <si>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</si>
  <si>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</si>
  <si>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</si>
  <si>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</si>
  <si>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</si>
  <si>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</si>
  <si>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</si>
  <si>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</si>
  <si>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</si>
  <si>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</si>
  <si>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</si>
  <si>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</si>
  <si>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</si>
  <si>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</si>
  <si>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</si>
  <si>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</si>
  <si>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</si>
  <si>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</si>
  <si>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</si>
  <si>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</si>
  <si>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</si>
  <si>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</si>
  <si>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</si>
  <si>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</si>
  <si>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</si>
  <si>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</si>
  <si>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</si>
  <si>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</si>
  <si>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</si>
  <si>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</si>
  <si>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</si>
  <si>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</si>
  <si>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</si>
  <si>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</si>
  <si>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</si>
  <si>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</si>
  <si>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</si>
  <si>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</si>
  <si>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</si>
  <si>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</si>
  <si>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</si>
  <si>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</si>
  <si>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</si>
  <si>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</si>
  <si>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</si>
  <si>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</si>
  <si>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</si>
  <si>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</si>
  <si>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</si>
  <si>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</si>
  <si>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</si>
  <si>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</si>
  <si>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</si>
  <si>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</si>
  <si>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</si>
  <si>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</si>
  <si>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</si>
  <si>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</si>
  <si>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</si>
  <si>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</si>
  <si>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</si>
  <si>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</si>
  <si>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</si>
  <si>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</si>
  <si>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</si>
  <si>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</si>
  <si>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</si>
  <si>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</si>
  <si>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</si>
  <si>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</si>
  <si>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</si>
  <si>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</si>
  <si>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</si>
  <si>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</si>
  <si>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</si>
  <si>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</si>
  <si>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</si>
  <si>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</si>
  <si>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</si>
  <si>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</si>
  <si>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</si>
  <si>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</si>
  <si>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</si>
  <si>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</si>
  <si>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</si>
  <si>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</si>
  <si>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</si>
  <si>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</si>
  <si>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</si>
  <si>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</si>
  <si>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</si>
  <si>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</si>
  <si>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</si>
  <si>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</si>
  <si>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</si>
  <si>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</si>
  <si>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</si>
  <si>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</si>
  <si>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</si>
  <si>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</si>
  <si>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</si>
  <si>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</si>
  <si>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</si>
  <si>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</si>
  <si>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</si>
  <si>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</si>
  <si>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</si>
  <si>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</si>
  <si>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</si>
  <si>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</si>
  <si>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</si>
  <si>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</si>
  <si>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</si>
  <si>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</si>
  <si>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</si>
  <si>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</si>
  <si>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</si>
  <si>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</si>
  <si>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</si>
  <si>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</si>
  <si>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</si>
  <si>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</si>
  <si>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</si>
  <si>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</si>
  <si>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</si>
  <si>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</si>
  <si>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</si>
  <si>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</si>
  <si>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</si>
  <si>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</si>
  <si>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</si>
  <si>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</si>
  <si>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</si>
  <si>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</si>
  <si>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</si>
  <si>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</si>
  <si>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</si>
  <si>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</si>
  <si>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</si>
  <si>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</si>
  <si>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</si>
  <si>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</si>
  <si>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</si>
  <si>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</si>
  <si>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</si>
  <si>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</si>
  <si>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</si>
  <si>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</si>
  <si>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</si>
  <si>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</si>
  <si>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</si>
  <si>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</si>
  <si>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</si>
  <si>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</si>
  <si>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</si>
  <si>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</si>
  <si>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</si>
  <si>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</si>
  <si>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</si>
  <si>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</si>
  <si>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</si>
  <si>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</si>
  <si>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</si>
  <si>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</si>
  <si>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</si>
  <si>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</si>
  <si>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</si>
  <si>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</si>
  <si>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</si>
  <si>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</si>
  <si>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</si>
  <si>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</si>
  <si>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</si>
  <si>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</si>
  <si>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</si>
  <si>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</si>
  <si>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</si>
  <si>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</si>
  <si>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</si>
  <si>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</si>
  <si>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</si>
  <si>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</si>
  <si>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</si>
  <si>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</si>
  <si>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</si>
  <si>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</si>
  <si>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</si>
  <si>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</si>
  <si>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</si>
  <si>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</si>
  <si>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</si>
  <si>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</si>
  <si>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</si>
  <si>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</si>
  <si>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</si>
  <si>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</si>
  <si>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</si>
  <si>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</si>
  <si>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</si>
  <si>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</si>
  <si>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</si>
  <si>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</si>
  <si>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</si>
  <si>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</si>
  <si>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</si>
  <si>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</si>
  <si>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</si>
  <si>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</si>
  <si>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</si>
  <si>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</si>
  <si>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</si>
  <si>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</si>
  <si>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</si>
  <si>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</si>
  <si>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</si>
  <si>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</si>
  <si>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</si>
  <si>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</si>
  <si>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</si>
  <si>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</si>
  <si>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</si>
  <si>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</si>
  <si>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</si>
  <si>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</si>
  <si>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</si>
  <si>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</si>
  <si>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</si>
  <si>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</si>
  <si>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</si>
  <si>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</si>
  <si>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</si>
  <si>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</si>
  <si>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</si>
  <si>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</si>
  <si>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</si>
  <si>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</si>
  <si>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</si>
  <si>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</si>
  <si>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</si>
  <si>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</si>
  <si>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</si>
  <si>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</si>
  <si>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</si>
  <si>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</si>
  <si>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</si>
  <si>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</si>
  <si>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</si>
  <si>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</si>
  <si>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</si>
  <si>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</si>
  <si>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</si>
  <si>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</si>
  <si>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</si>
  <si>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</si>
  <si>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</si>
  <si>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</si>
  <si>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</si>
  <si>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</si>
  <si>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</si>
  <si>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</si>
  <si>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</si>
  <si>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</si>
  <si>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</si>
  <si>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</si>
  <si>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</si>
  <si>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</si>
  <si>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</si>
  <si>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</si>
  <si>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</si>
  <si>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</si>
  <si>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</si>
  <si>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</si>
  <si>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</si>
  <si>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</si>
  <si>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</si>
  <si>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</si>
  <si>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</si>
  <si>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</si>
  <si>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</si>
  <si>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</si>
  <si>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</si>
  <si>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</si>
  <si>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</si>
  <si>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</si>
  <si>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</si>
  <si>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</si>
  <si>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</si>
  <si>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</si>
  <si>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</si>
  <si>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</si>
  <si>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</si>
  <si>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</si>
  <si>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</si>
  <si>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</si>
  <si>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</si>
  <si>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</si>
  <si>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</si>
  <si>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</si>
  <si>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</si>
  <si>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</si>
  <si>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</si>
  <si>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</si>
  <si>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</si>
  <si>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</si>
  <si>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</si>
  <si>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</si>
  <si>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</si>
  <si>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</si>
  <si>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</si>
  <si>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</si>
  <si>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</si>
  <si>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</si>
  <si>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</si>
  <si>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</si>
  <si>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</si>
  <si>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</si>
  <si>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</si>
  <si>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</si>
  <si>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</si>
  <si>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</si>
  <si>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</si>
  <si>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</si>
  <si>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</si>
  <si>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</si>
  <si>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</si>
  <si>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</si>
  <si>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</si>
  <si>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</si>
  <si>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</si>
  <si>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</si>
  <si>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</si>
  <si>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</si>
  <si>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</si>
  <si>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</si>
  <si>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</si>
  <si>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</si>
  <si>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</si>
  <si>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</si>
  <si>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</si>
  <si>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</si>
  <si>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</si>
  <si>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</si>
  <si>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</si>
  <si>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</si>
  <si>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</si>
  <si>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</si>
  <si>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</si>
  <si>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</si>
  <si>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</si>
  <si>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</si>
  <si>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</si>
  <si>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</si>
  <si>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</si>
  <si>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</si>
  <si>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</si>
  <si>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</si>
  <si>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</si>
  <si>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</si>
  <si>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</si>
  <si>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</si>
  <si>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</si>
  <si>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</si>
  <si>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</si>
  <si>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</si>
  <si>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</si>
  <si>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</si>
  <si>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</si>
  <si>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</si>
  <si>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</si>
  <si>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</si>
  <si>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</si>
  <si>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</si>
  <si>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</si>
  <si>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</si>
  <si>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</si>
  <si>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</si>
  <si>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</si>
  <si>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</si>
  <si>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</si>
  <si>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</si>
  <si>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</si>
  <si>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</si>
  <si>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</si>
  <si>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</si>
  <si>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</si>
  <si>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</si>
  <si>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</si>
  <si>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</si>
  <si>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</si>
  <si>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</si>
  <si>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</si>
  <si>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</si>
  <si>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</si>
  <si>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</si>
  <si>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</si>
  <si>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</si>
  <si>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</si>
  <si>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</si>
  <si>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</si>
  <si>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</si>
  <si>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</si>
  <si>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</si>
  <si>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</si>
  <si>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</si>
  <si>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</si>
  <si>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</si>
  <si>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</si>
  <si>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</si>
  <si>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</si>
  <si>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</si>
  <si>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</si>
  <si>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</si>
  <si>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</si>
  <si>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</si>
  <si>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</si>
  <si>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</si>
  <si>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</si>
  <si>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</si>
  <si>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</si>
  <si>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</si>
  <si>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</si>
  <si>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</si>
  <si>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</si>
  <si>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</si>
  <si>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</si>
  <si>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</si>
  <si>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</si>
  <si>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</si>
  <si>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</si>
  <si>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</si>
  <si>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</si>
  <si>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</si>
  <si>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</si>
  <si>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</si>
  <si>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</si>
  <si>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</si>
  <si>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</si>
  <si>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</si>
  <si>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</si>
  <si>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</si>
  <si>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</si>
  <si>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</si>
  <si>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</si>
  <si>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</si>
  <si>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</si>
  <si>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</si>
  <si>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</si>
  <si>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</si>
  <si>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</si>
  <si>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</si>
  <si>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</si>
  <si>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</si>
  <si>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</si>
  <si>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</si>
  <si>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</si>
  <si>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</si>
  <si>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</si>
  <si>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</si>
  <si>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</si>
  <si>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</si>
  <si>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</si>
  <si>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</si>
  <si>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</si>
  <si>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</si>
  <si>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</si>
  <si>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</si>
  <si>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</si>
  <si>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</si>
  <si>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</si>
  <si>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</si>
  <si>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</si>
  <si>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</si>
  <si>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</si>
  <si>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</si>
  <si>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</si>
  <si>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</si>
  <si>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</si>
  <si>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</si>
  <si>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</si>
  <si>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</si>
  <si>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</si>
  <si>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</si>
  <si>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</si>
  <si>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</si>
  <si>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</si>
  <si>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</si>
  <si>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</si>
  <si>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</si>
  <si>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</si>
  <si>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</si>
  <si>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</si>
  <si>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</si>
  <si>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</si>
  <si>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</si>
  <si>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</si>
  <si>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</si>
  <si>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</si>
  <si>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</si>
  <si>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</si>
  <si>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</si>
  <si>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</si>
  <si>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</si>
  <si>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</si>
  <si>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</si>
  <si>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</si>
  <si>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</si>
  <si>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</si>
  <si>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</si>
  <si>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</si>
  <si>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</si>
  <si>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</si>
  <si>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</si>
  <si>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</si>
  <si>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</si>
  <si>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</si>
  <si>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</si>
  <si>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</si>
  <si>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</si>
  <si>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</si>
  <si>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</si>
  <si>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</si>
  <si>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</si>
  <si>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</si>
  <si>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</si>
  <si>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</si>
  <si>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</si>
  <si>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</si>
  <si>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</si>
  <si>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</si>
  <si>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</si>
  <si>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</si>
  <si>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</si>
  <si>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</si>
  <si>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</si>
  <si>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</si>
  <si>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</si>
  <si>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</si>
  <si>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</si>
  <si>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</si>
  <si>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</si>
  <si>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</si>
  <si>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</si>
  <si>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</si>
  <si>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</si>
  <si>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</si>
  <si>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</si>
  <si>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</si>
  <si>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</si>
  <si>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</si>
  <si>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</si>
  <si>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</si>
  <si>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</si>
  <si>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</si>
  <si>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</si>
  <si>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</si>
  <si>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</si>
  <si>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</si>
  <si>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</si>
  <si>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</si>
  <si>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</si>
  <si>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</si>
  <si>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</si>
  <si>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</si>
  <si>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</si>
  <si>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</si>
  <si>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</si>
  <si>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</si>
  <si>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</si>
  <si>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</si>
  <si>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</si>
  <si>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</si>
  <si>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</si>
  <si>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</si>
  <si>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</si>
  <si>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</si>
  <si>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</si>
  <si>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</si>
  <si>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</si>
  <si>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</si>
  <si>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</si>
  <si>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</si>
  <si>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</si>
  <si>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</si>
  <si>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</si>
  <si>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</si>
  <si>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</si>
  <si>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</si>
  <si>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</si>
  <si>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</si>
  <si>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</si>
  <si>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</si>
  <si>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</si>
  <si>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</si>
  <si>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</si>
  <si>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</si>
  <si>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</si>
  <si>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</si>
  <si>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</si>
  <si>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</si>
  <si>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</si>
  <si>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</si>
  <si>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</si>
  <si>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</si>
  <si>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</si>
  <si>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</si>
  <si>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</si>
  <si>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</si>
  <si>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</si>
  <si>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</si>
  <si>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</si>
  <si>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</si>
  <si>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</si>
  <si>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</si>
  <si>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</si>
  <si>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</si>
  <si>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</si>
  <si>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</si>
  <si>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</si>
  <si>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</si>
  <si>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</si>
  <si>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</si>
  <si>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</si>
  <si>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</si>
  <si>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</si>
  <si>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</si>
  <si>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</si>
  <si>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</si>
  <si>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</si>
  <si>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</si>
  <si>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</si>
  <si>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</si>
  <si>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</si>
  <si>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</si>
  <si>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</si>
  <si>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</si>
  <si>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</si>
  <si>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</si>
  <si>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</si>
  <si>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</si>
  <si>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</si>
  <si>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</si>
  <si>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</si>
  <si>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</si>
  <si>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</si>
  <si>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</si>
  <si>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</si>
  <si>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</si>
  <si>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</si>
  <si>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</si>
  <si>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</si>
  <si>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</si>
  <si>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</si>
  <si>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</si>
  <si>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</si>
  <si>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</si>
  <si>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</si>
  <si>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</si>
  <si>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</si>
  <si>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</si>
  <si>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</si>
  <si>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</si>
  <si>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</si>
  <si>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</si>
  <si>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</si>
  <si>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</si>
  <si>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</si>
  <si>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</si>
  <si>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</si>
  <si>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</si>
  <si>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</si>
  <si>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</si>
  <si>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</si>
  <si>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</si>
  <si>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</si>
  <si>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</si>
  <si>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</si>
  <si>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</si>
  <si>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</si>
  <si>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</si>
  <si>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</si>
  <si>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</si>
  <si>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</si>
  <si>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</si>
  <si>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</si>
  <si>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</si>
  <si>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</si>
  <si>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</si>
  <si>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</si>
  <si>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</si>
  <si>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</si>
  <si>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</si>
  <si>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</si>
  <si>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</si>
  <si>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</si>
  <si>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</si>
  <si>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</si>
  <si>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</si>
  <si>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</si>
  <si>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</si>
  <si>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</si>
  <si>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</si>
  <si>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</si>
  <si>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</si>
  <si>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</si>
  <si>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</si>
  <si>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</si>
  <si>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</si>
  <si>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</si>
  <si>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</si>
  <si>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</si>
  <si>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</si>
  <si>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</si>
  <si>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</si>
  <si>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</si>
  <si>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</si>
  <si>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</si>
  <si>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</si>
  <si>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</si>
  <si>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</si>
  <si>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</si>
  <si>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</si>
  <si>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</si>
  <si>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</si>
  <si>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</si>
  <si>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</si>
  <si>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</si>
  <si>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</si>
  <si>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</si>
  <si>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</si>
  <si>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</si>
  <si>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</si>
  <si>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</si>
  <si>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</si>
  <si>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</si>
  <si>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</si>
  <si>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</si>
  <si>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</si>
  <si>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</si>
  <si>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</si>
  <si>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</si>
  <si>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</si>
  <si>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</si>
  <si>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</si>
  <si>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</si>
  <si>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</si>
  <si>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</si>
  <si>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</si>
  <si>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</si>
  <si>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</si>
  <si>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</si>
  <si>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</si>
  <si>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</si>
  <si>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</si>
  <si>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</si>
  <si>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</si>
  <si>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</si>
  <si>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</si>
  <si>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</si>
  <si>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</si>
  <si>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</si>
  <si>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</si>
  <si>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</si>
  <si>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</si>
  <si>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</si>
  <si>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</si>
  <si>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</si>
  <si>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</si>
  <si>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</si>
  <si>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</si>
  <si>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</si>
  <si>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</si>
  <si>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</si>
  <si>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</si>
  <si>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</si>
  <si>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</si>
  <si>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</si>
  <si>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</si>
  <si>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</si>
  <si>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</si>
  <si>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</si>
  <si>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</si>
  <si>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</si>
  <si>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</si>
  <si>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</si>
  <si>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</si>
  <si>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</si>
  <si>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</si>
  <si>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</si>
  <si>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</si>
  <si>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</si>
  <si>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</si>
  <si>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</si>
  <si>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</si>
  <si>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</si>
  <si>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</si>
  <si>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</si>
  <si>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</si>
  <si>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</si>
  <si>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</si>
  <si>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</si>
  <si>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</si>
  <si>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</si>
  <si>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</si>
  <si>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</si>
  <si>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</si>
  <si>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</si>
  <si>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</si>
  <si>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</si>
  <si>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</si>
  <si>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</si>
  <si>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</si>
  <si>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</si>
  <si>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</si>
  <si>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</si>
  <si>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</si>
  <si>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</si>
  <si>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</si>
  <si>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</si>
  <si>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</si>
  <si>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</si>
  <si>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</si>
  <si>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</si>
  <si>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</si>
  <si>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</si>
  <si>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</si>
  <si>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</si>
  <si>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</si>
  <si>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</si>
  <si>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</si>
  <si>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</si>
  <si>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</si>
  <si>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</si>
  <si>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</si>
  <si>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</si>
  <si>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</si>
  <si>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</si>
  <si>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</si>
  <si>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</si>
  <si>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</si>
  <si>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</si>
  <si>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</si>
  <si>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</si>
  <si>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</si>
  <si>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</si>
  <si>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</si>
  <si>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</si>
  <si>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</si>
  <si>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</si>
  <si>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</si>
  <si>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</si>
  <si>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</si>
  <si>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</si>
  <si>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</si>
  <si>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</si>
  <si>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</si>
  <si>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</si>
  <si>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</si>
  <si>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</si>
  <si>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</si>
  <si>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</si>
  <si>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</si>
  <si>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</si>
  <si>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</si>
  <si>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</si>
  <si>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</si>
  <si>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</si>
  <si>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</si>
  <si>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</si>
  <si>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</si>
  <si>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</si>
  <si>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</si>
  <si>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</si>
  <si>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</si>
  <si>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</si>
  <si>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</si>
  <si>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</si>
  <si>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</si>
  <si>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</si>
  <si>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</si>
  <si>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</si>
  <si>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</si>
  <si>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</si>
  <si>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</si>
  <si>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</si>
  <si>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</si>
  <si>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</si>
  <si>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</si>
  <si>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</si>
  <si>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</si>
  <si>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</si>
  <si>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</si>
  <si>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</si>
  <si>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</si>
  <si>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</si>
  <si>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</si>
  <si>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</si>
  <si>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</si>
  <si>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</si>
  <si>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</si>
  <si>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</si>
  <si>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</si>
  <si>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</si>
  <si>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</si>
  <si>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</si>
  <si>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</si>
  <si>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</si>
  <si>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</si>
  <si>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</si>
  <si>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</si>
  <si>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</si>
  <si>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</si>
  <si>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</si>
  <si>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</si>
  <si>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</si>
  <si>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</si>
  <si>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</si>
  <si>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</si>
  <si>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</si>
  <si>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</si>
  <si>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</si>
  <si>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</si>
  <si>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</si>
  <si>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</si>
  <si>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</si>
  <si>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</si>
  <si>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</si>
  <si>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</si>
  <si>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</si>
  <si>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</si>
  <si>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</si>
  <si>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</si>
  <si>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</si>
  <si>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</si>
  <si>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</si>
  <si>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</si>
  <si>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</si>
  <si>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</si>
  <si>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</si>
  <si>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</si>
  <si>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</si>
  <si>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</si>
  <si>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</si>
  <si>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</si>
  <si>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</si>
  <si>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</si>
  <si>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</si>
  <si>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</si>
  <si>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</si>
  <si>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</si>
  <si>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</si>
  <si>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</si>
  <si>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</si>
  <si>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</si>
  <si>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</si>
  <si>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</si>
  <si>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</si>
  <si>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</si>
  <si>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</si>
  <si>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</si>
  <si>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</si>
  <si>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</si>
  <si>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</si>
  <si>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</si>
  <si>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</si>
  <si>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</si>
  <si>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</si>
  <si>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</si>
  <si>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</si>
  <si>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</si>
  <si>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</si>
  <si>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</si>
  <si>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</si>
  <si>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</si>
  <si>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</si>
  <si>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</si>
  <si>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</si>
  <si>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</si>
  <si>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</si>
  <si>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</si>
  <si>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</si>
  <si>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</si>
  <si>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</si>
  <si>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</si>
  <si>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</si>
  <si>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</si>
  <si>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</si>
  <si>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</si>
  <si>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</si>
  <si>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</si>
  <si>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</si>
  <si>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</si>
  <si>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</si>
  <si>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</si>
  <si>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</si>
  <si>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</si>
  <si>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</si>
  <si>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</si>
  <si>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</si>
  <si>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</si>
  <si>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</si>
  <si>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</si>
  <si>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</si>
  <si>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</si>
  <si>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</si>
  <si>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</si>
  <si>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</si>
  <si>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</si>
  <si>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</si>
  <si>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</si>
  <si>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</si>
  <si>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</si>
  <si>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</si>
  <si>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</si>
  <si>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</si>
  <si>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</si>
  <si>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</si>
  <si>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</si>
  <si>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</si>
  <si>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</si>
  <si>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</si>
  <si>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</si>
  <si>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</si>
  <si>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</si>
  <si>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</si>
  <si>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</si>
  <si>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</si>
  <si>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</si>
  <si>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</si>
  <si>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</si>
  <si>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</si>
  <si>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</si>
  <si>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</si>
  <si>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</si>
  <si>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</si>
  <si>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</si>
  <si>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</si>
  <si>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</si>
  <si>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</si>
  <si>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</si>
  <si>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</si>
  <si>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</si>
  <si>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</si>
  <si>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</si>
  <si>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</si>
  <si>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</si>
  <si>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</si>
  <si>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</si>
  <si>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</si>
  <si>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</si>
  <si>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</si>
  <si>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</si>
  <si>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</si>
  <si>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</si>
  <si>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</si>
  <si>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</si>
  <si>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</si>
  <si>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</si>
  <si>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</si>
  <si>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</si>
  <si>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</si>
  <si>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</si>
  <si>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</si>
  <si>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</si>
  <si>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</si>
  <si>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</si>
  <si>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</si>
  <si>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</si>
  <si>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</si>
  <si>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</si>
  <si>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</si>
  <si>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</si>
  <si>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</si>
  <si>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</si>
  <si>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</si>
  <si>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</si>
  <si>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</si>
  <si>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</si>
  <si>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</si>
  <si>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</si>
  <si>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</si>
  <si>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</si>
  <si>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</si>
  <si>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</si>
  <si>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</si>
  <si>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</si>
  <si>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</si>
  <si>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</si>
  <si>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</si>
  <si>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</si>
  <si>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</si>
  <si>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</si>
  <si>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</si>
  <si>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</si>
  <si>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</si>
  <si>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</si>
  <si>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</si>
  <si>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</si>
  <si>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</si>
  <si>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</si>
  <si>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</si>
  <si>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</si>
  <si>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</si>
  <si>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</si>
  <si>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</si>
  <si>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</si>
  <si>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</si>
  <si>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</si>
  <si>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</si>
  <si>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</si>
  <si>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</si>
  <si>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</si>
  <si>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</si>
  <si>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</si>
  <si>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</si>
  <si>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</si>
  <si>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</si>
  <si>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</si>
  <si>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</si>
  <si>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</si>
  <si>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</si>
  <si>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</si>
  <si>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</si>
  <si>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</si>
  <si>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</si>
  <si>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</si>
  <si>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</si>
  <si>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</si>
  <si>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</si>
  <si>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</si>
  <si>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</si>
  <si>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</si>
  <si>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</si>
  <si>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</si>
  <si>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</si>
  <si>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</si>
  <si>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</si>
  <si>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</si>
  <si>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</si>
  <si>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</si>
  <si>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</si>
  <si>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</si>
  <si>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</si>
  <si>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</si>
  <si>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</si>
  <si>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</si>
  <si>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</si>
  <si>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</si>
  <si>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</si>
  <si>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</si>
  <si>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</si>
  <si>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</si>
  <si>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</si>
  <si>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</si>
  <si>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</si>
  <si>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</si>
  <si>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</si>
  <si>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</si>
  <si>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</si>
  <si>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</si>
  <si>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</si>
  <si>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</si>
  <si>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</si>
  <si>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</si>
  <si>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</si>
  <si>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</si>
  <si>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</si>
  <si>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</si>
  <si>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</si>
  <si>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</si>
  <si>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</si>
  <si>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</si>
  <si>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</si>
  <si>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</si>
  <si>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</si>
  <si>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</si>
  <si>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</si>
  <si>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</si>
  <si>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</si>
  <si>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</si>
  <si>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</si>
  <si>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</si>
  <si>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</si>
  <si>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</si>
  <si>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</si>
  <si>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</si>
  <si>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</si>
  <si>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</si>
  <si>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</si>
  <si>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</si>
  <si>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</si>
  <si>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</si>
  <si>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</si>
  <si>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</si>
  <si>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</si>
  <si>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</si>
  <si>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</si>
  <si>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</si>
  <si>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</si>
  <si>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</si>
  <si>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</si>
  <si>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</si>
  <si>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</si>
  <si>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</si>
  <si>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</si>
  <si>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</si>
  <si>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</si>
  <si>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</si>
  <si>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</si>
  <si>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</si>
  <si>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</si>
  <si>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</si>
  <si>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</si>
  <si>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</si>
  <si>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</si>
  <si>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</si>
  <si>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</si>
  <si>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</si>
  <si>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</si>
  <si>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</si>
  <si>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</si>
  <si>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</si>
  <si>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</si>
  <si>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</si>
  <si>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</si>
  <si>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</si>
  <si>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</si>
  <si>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</si>
  <si>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</si>
  <si>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</si>
  <si>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</si>
  <si>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</si>
  <si>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</si>
  <si>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</si>
  <si>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</si>
  <si>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Larry</t>
  </si>
  <si>
    <t>No rellenar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</si>
</sst>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0</v>
    <v>5</v>
  </rv>
  <rv s="1">
    <v>1</v>
    <v>6</v>
  </rv>
  <rv s="1">
    <v>2</v>
    <v>5</v>
  </rv>
  <rv s="1">
    <v>3</v>
    <v>5</v>
  </rv>
  <rv s="1">
    <v>4</v>
    <v>5</v>
  </rv>
  <rv s="1">
    <v>5</v>
    <v>5</v>
  </rv>
  <rv s="1">
    <v>6</v>
    <v>5</v>
  </rv>
  <rv s="1">
    <v>7</v>
    <v>5</v>
  </rv>
  <rv s="1">
    <v>8</v>
    <v>5</v>
  </rv>
  <rv s="1">
    <v>9</v>
    <v>5</v>
  </rv>
  <rv s="1">
    <v>10</v>
    <v>5</v>
  </rv>
  <rv s="1">
    <v>11</v>
    <v>5</v>
  </rv>
  <rv s="1">
    <v>12</v>
    <v>5</v>
  </rv>
  <rv s="1">
    <v>13</v>
    <v>5</v>
  </rv>
  <rv s="1">
    <v>14</v>
    <v>5</v>
  </rv>
  <rv s="1">
    <v>15</v>
    <v>5</v>
  </rv>
  <rv s="1">
    <v>16</v>
    <v>5</v>
  </rv>
  <rv s="1">
    <v>17</v>
    <v>5</v>
  </rv>
  <rv s="1">
    <v>18</v>
    <v>5</v>
  </rv>
  <rv s="1">
    <v>19</v>
    <v>5</v>
  </rv>
  <rv s="1">
    <v>20</v>
    <v>5</v>
  </rv>
  <rv s="1">
    <v>21</v>
    <v>5</v>
  </rv>
  <rv s="1">
    <v>22</v>
    <v>5</v>
  </rv>
  <rv s="1">
    <v>23</v>
    <v>5</v>
  </rv>
  <rv s="1">
    <v>24</v>
    <v>5</v>
  </rv>
  <rv s="1">
    <v>25</v>
    <v>5</v>
  </rv>
  <rv s="1">
    <v>26</v>
    <v>5</v>
  </rv>
  <rv s="1">
    <v>27</v>
    <v>5</v>
  </rv>
  <rv s="1">
    <v>28</v>
    <v>5</v>
  </rv>
  <rv s="1">
    <v>0</v>
    <v>4</v>
  </rv>
  <rv s="1">
    <v>29</v>
    <v>5</v>
  </rv>
  <rv s="1">
    <v>30</v>
    <v>5</v>
  </rv>
  <rv s="1">
    <v>31</v>
    <v>5</v>
  </rv>
  <rv s="1">
    <v>32</v>
    <v>5</v>
  </rv>
  <rv s="1">
    <v>33</v>
    <v>5</v>
  </rv>
  <rv s="1">
    <v>34</v>
    <v>5</v>
  </rv>
  <rv s="1">
    <v>35</v>
    <v>5</v>
  </rv>
  <rv s="1">
    <v>36</v>
    <v>5</v>
  </rv>
  <rv s="1">
    <v>37</v>
    <v>5</v>
  </rv>
  <rv s="1">
    <v>38</v>
    <v>5</v>
  </rv>
  <rv s="1">
    <v>39</v>
    <v>5</v>
  </rv>
  <rv s="1">
    <v>40</v>
    <v>5</v>
  </rv>
  <rv s="1">
    <v>41</v>
    <v>5</v>
  </rv>
  <rv s="1">
    <v>42</v>
    <v>5</v>
  </rv>
  <rv s="1">
    <v>43</v>
    <v>5</v>
  </rv>
  <rv s="1">
    <v>44</v>
    <v>5</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83203125" style="299" customWidth="1"/>
    <col min="2" max="2" width="15.83203125" style="299" customWidth="1"/>
    <col min="3" max="3" width="26.83203125" style="299" customWidth="1"/>
    <col min="4" max="4" width="5.83203125" style="299" customWidth="1"/>
    <col min="5" max="9" width="11.33203125" style="319" customWidth="1"/>
    <col min="10" max="10" width="5.83203125" style="319" customWidth="1"/>
    <col min="11" max="11" width="26.83203125" style="319" customWidth="1"/>
    <col min="12" max="12" width="15.83203125" style="299" customWidth="1"/>
    <col min="13" max="13" width="10.5" style="299" customWidth="1"/>
    <col min="14" max="15" width="10.83203125" style="299" customWidth="1"/>
    <col min="16" max="16" width="12.1640625" style="299" customWidth="1"/>
    <col min="17" max="17" width="6.1640625" style="299" customWidth="1"/>
    <col min="18" max="31" width="10.83203125" style="299" customWidth="1"/>
    <col min="32" max="16384" width="10.83203125" hidden="1"/>
  </cols>
  <sheetData>
    <row r="1" spans="1:31" x14ac:dyDescent="0.2">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x14ac:dyDescent="0.2">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x14ac:dyDescent="0.2">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x14ac:dyDescent="0.2">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x14ac:dyDescent="0.25">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x14ac:dyDescent="0.25">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x14ac:dyDescent="0.25">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x14ac:dyDescent="0.25">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 customHeight="1" thickBot="1" x14ac:dyDescent="0.25">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x14ac:dyDescent="0.25">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x14ac:dyDescent="0.2">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x14ac:dyDescent="0.2">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x14ac:dyDescent="0.2">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x14ac:dyDescent="0.2">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x14ac:dyDescent="0.2">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x14ac:dyDescent="0.25">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x14ac:dyDescent="0.25">
      <c r="A17" s="298"/>
      <c r="B17" s="298"/>
      <c r="C17" s="298"/>
      <c r="D17" s="298"/>
      <c r="E17" s="677" t="str">
        <f>HYPERLINK(Idiomas!D10,Idiomas!D9)</f>
        <v>▼ Descargar Excel Administrador Porra ▼</v>
      </c>
      <c r="F17" s="678"/>
      <c r="G17" s="678"/>
      <c r="H17" s="678"/>
      <c r="I17" s="67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x14ac:dyDescent="0.2">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x14ac:dyDescent="0.2">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x14ac:dyDescent="0.2">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x14ac:dyDescent="0.25">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x14ac:dyDescent="0.25">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x14ac:dyDescent="0.25">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x14ac:dyDescent="0.2">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x14ac:dyDescent="0.2">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x14ac:dyDescent="0.2">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x14ac:dyDescent="0.2">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x14ac:dyDescent="0.2">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x14ac:dyDescent="0.2">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x14ac:dyDescent="0.2">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x14ac:dyDescent="0.2">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x14ac:dyDescent="0.2">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x14ac:dyDescent="0.2">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x14ac:dyDescent="0.2">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x14ac:dyDescent="0.2">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x14ac:dyDescent="0.2">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x14ac:dyDescent="0.2">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x14ac:dyDescent="0.2">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x14ac:dyDescent="0.2">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x14ac:dyDescent="0.2">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x14ac:dyDescent="0.2">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x14ac:dyDescent="0.2">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x14ac:dyDescent="0.2">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x14ac:dyDescent="0.2">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x14ac:dyDescent="0.2">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x14ac:dyDescent="0.2">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x14ac:dyDescent="0.2">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x14ac:dyDescent="0.2">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x14ac:dyDescent="0.2">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x14ac:dyDescent="0.2">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02" zoomScaleNormal="100" workbookViewId="0">
      <selection activeCell="AE139" sqref="AE139"/>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3" max="103" width="0"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3203125" hidden="1" customWidth="1"/>
    <col min="119" max="119" width="10.83203125" hidden="1" customWidth="1"/>
    <col min="120" max="120" width="11" hidden="1" customWidth="1"/>
    <col min="121" max="123" width="10.83203125" hidden="1" customWidth="1"/>
    <col min="124" max="124" width="0" hidden="1" customWidth="1"/>
    <col min="125" max="16384" width="10.83203125" hidden="1"/>
  </cols>
  <sheetData>
    <row r="1" spans="1:121" ht="30" customHeight="1" thickBot="1" x14ac:dyDescent="0.25">
      <c r="A1" s="16"/>
      <c r="B1" s="16"/>
      <c r="C1" s="16"/>
      <c r="D1" s="16"/>
      <c r="E1" s="16"/>
      <c r="F1" s="16"/>
      <c r="G1" s="16"/>
      <c r="H1" s="16"/>
      <c r="I1" s="16"/>
      <c r="J1" s="16"/>
      <c r="K1" s="16"/>
      <c r="L1" s="16"/>
      <c r="M1" s="16"/>
      <c r="N1" s="16"/>
      <c r="O1" s="16"/>
      <c r="P1" s="16"/>
      <c r="Q1" s="16"/>
      <c r="R1" s="16"/>
      <c r="S1" s="16"/>
      <c r="T1" s="16"/>
      <c r="U1" s="16"/>
      <c r="V1" s="287"/>
      <c r="W1" s="634" t="str">
        <f>Idiomas!D8</f>
        <v>XXIII Mundial USA/MEX/CAN 2026</v>
      </c>
      <c r="X1" s="634"/>
      <c r="Y1" s="634"/>
      <c r="Z1" s="634"/>
      <c r="AA1" s="634"/>
      <c r="AB1" s="634"/>
      <c r="AC1" s="634"/>
      <c r="AD1" s="634"/>
      <c r="AE1" s="634"/>
      <c r="AF1" s="634"/>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x14ac:dyDescent="0.25">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0" t="s">
        <v>0</v>
      </c>
      <c r="X4" s="24">
        <f ca="1">Horarios!C4</f>
        <v>46184.875</v>
      </c>
      <c r="Y4" s="25">
        <f ca="1">Horarios!C4</f>
        <v>46184.875</v>
      </c>
      <c r="Z4" s="26" t="str">
        <f>Idiomas!D61</f>
        <v>J1</v>
      </c>
      <c r="AA4" s="27" t="str">
        <f ca="1">+A5</f>
        <v>México</v>
      </c>
      <c r="AB4" s="49" t="str" cm="1">
        <f t="array" aca="1" ref="AB4" ca="1">Ver_flag_local</f>
        <v>🇲🇽</v>
      </c>
      <c r="AC4" s="50">
        <v>2</v>
      </c>
      <c r="AD4" s="51">
        <v>0</v>
      </c>
      <c r="AE4" s="595" t="str" cm="1">
        <f t="array" aca="1" ref="AE4" ca="1">Ver_flag_visit</f>
        <v>🇿🇦</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x14ac:dyDescent="0.2">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0"/>
      <c r="X5" s="24">
        <f ca="1">Horarios!C5</f>
        <v>46185.166666666664</v>
      </c>
      <c r="Y5" s="25">
        <f ca="1">Horarios!C5</f>
        <v>46185.166666666664</v>
      </c>
      <c r="Z5" s="26" t="str">
        <f>$Z$4</f>
        <v>J1</v>
      </c>
      <c r="AA5" s="27" t="str">
        <f ca="1">A7</f>
        <v>Corea del Sur</v>
      </c>
      <c r="AB5" s="49" t="str" cm="1">
        <f t="array" aca="1" ref="AB5" ca="1">Ver_flag_local</f>
        <v>🇰🇷</v>
      </c>
      <c r="AC5" s="50">
        <v>2</v>
      </c>
      <c r="AD5" s="51">
        <v>1</v>
      </c>
      <c r="AE5" s="595" t="str" cm="1">
        <f t="array" aca="1" ref="AE5" ca="1">Ver_flag_visit</f>
        <v>🇨🇿</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x14ac:dyDescent="0.2">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0"/>
      <c r="X6" s="24">
        <f ca="1">Horarios!C6</f>
        <v>46191.75</v>
      </c>
      <c r="Y6" s="25">
        <f ca="1">Horarios!C6</f>
        <v>46191.75</v>
      </c>
      <c r="Z6" s="26" t="str">
        <f>Idiomas!D62</f>
        <v>J2</v>
      </c>
      <c r="AA6" s="27" t="str">
        <f ca="1">A8</f>
        <v>República Checa</v>
      </c>
      <c r="AB6" s="49" t="str" cm="1">
        <f t="array" aca="1" ref="AB6" ca="1">Ver_flag_local</f>
        <v>🇨🇿</v>
      </c>
      <c r="AC6" s="50">
        <v>1</v>
      </c>
      <c r="AD6" s="51">
        <v>1</v>
      </c>
      <c r="AE6" s="595" t="str" cm="1">
        <f t="array" aca="1" ref="AE6" ca="1">Ver_flag_visit</f>
        <v>🇿🇦</v>
      </c>
      <c r="AF6" s="32" t="str">
        <f ca="1">A6</f>
        <v>Sudáfrica</v>
      </c>
      <c r="AG6" s="323">
        <f t="shared" si="13"/>
        <v>1</v>
      </c>
      <c r="AH6" s="195">
        <v>25</v>
      </c>
      <c r="AI6" s="181" t="str">
        <f>AJ6&amp;$B$4</f>
        <v>1A</v>
      </c>
      <c r="AJ6" s="40">
        <v>1</v>
      </c>
      <c r="AK6" s="597" t="str" cm="1">
        <f t="array" aca="1" ref="AK6" ca="1">Ver_flag_visit</f>
        <v>🇲🇽</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0"/>
      <c r="X7" s="24">
        <f ca="1">Horarios!C7</f>
        <v>46192.125</v>
      </c>
      <c r="Y7" s="25">
        <f ca="1">Horarios!C7</f>
        <v>46192.125</v>
      </c>
      <c r="Z7" s="26" t="str">
        <f>$Z$6</f>
        <v>J2</v>
      </c>
      <c r="AA7" s="27" t="str">
        <f ca="1">A5</f>
        <v>México</v>
      </c>
      <c r="AB7" s="49" t="str" cm="1">
        <f t="array" aca="1" ref="AB7" ca="1">Ver_flag_local</f>
        <v>🇲🇽</v>
      </c>
      <c r="AC7" s="50">
        <v>1</v>
      </c>
      <c r="AD7" s="51">
        <v>0</v>
      </c>
      <c r="AE7" s="595" t="str" cm="1">
        <f t="array" aca="1" ref="AE7" ca="1">Ver_flag_visit</f>
        <v>🇰🇷</v>
      </c>
      <c r="AF7" s="32" t="str">
        <f ca="1">A7</f>
        <v>Corea del Sur</v>
      </c>
      <c r="AG7" s="323">
        <f t="shared" si="13"/>
        <v>1</v>
      </c>
      <c r="AH7" s="195">
        <v>28</v>
      </c>
      <c r="AI7" s="181" t="str">
        <f>AJ7&amp;$B$4</f>
        <v>2A</v>
      </c>
      <c r="AJ7" s="42">
        <v>2</v>
      </c>
      <c r="AK7" s="598" t="str" cm="1">
        <f t="array" aca="1" ref="AK7" ca="1">Ver_flag_visit</f>
        <v>🇿🇦</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6"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0"/>
      <c r="X8" s="24">
        <f ca="1">Horarios!C8</f>
        <v>46198.125</v>
      </c>
      <c r="Y8" s="25">
        <f ca="1">Horarios!C8</f>
        <v>46198.125</v>
      </c>
      <c r="Z8" s="26" t="str">
        <f>Idiomas!D63</f>
        <v>J3</v>
      </c>
      <c r="AA8" s="27" t="str">
        <f ca="1">A8</f>
        <v>República Checa</v>
      </c>
      <c r="AB8" s="49" t="str" cm="1">
        <f t="array" aca="1" ref="AB8" ca="1">Ver_flag_local</f>
        <v>🇨🇿</v>
      </c>
      <c r="AC8" s="50">
        <v>0</v>
      </c>
      <c r="AD8" s="51">
        <v>3</v>
      </c>
      <c r="AE8" s="595" t="str" cm="1">
        <f t="array" aca="1" ref="AE8" ca="1">Ver_flag_visit</f>
        <v>🇲🇽</v>
      </c>
      <c r="AF8" s="32" t="str">
        <f ca="1">A5</f>
        <v>México</v>
      </c>
      <c r="AG8" s="323">
        <f t="shared" si="13"/>
        <v>1</v>
      </c>
      <c r="AH8" s="195">
        <v>53</v>
      </c>
      <c r="AI8" s="181" t="str">
        <f>AJ8&amp;$B$4</f>
        <v>3A</v>
      </c>
      <c r="AJ8" s="42">
        <v>3</v>
      </c>
      <c r="AK8" s="598" t="str" cm="1">
        <f t="array" aca="1" ref="AK8" ca="1">Ver_flag_visit</f>
        <v>🇰🇷</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 customHeight="1" thickBot="1" x14ac:dyDescent="0.25">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1"/>
      <c r="X9" s="28">
        <f ca="1">Horarios!C9</f>
        <v>46198.125</v>
      </c>
      <c r="Y9" s="29">
        <f ca="1">Horarios!C9</f>
        <v>46198.125</v>
      </c>
      <c r="Z9" s="30" t="str">
        <f>$Z$8</f>
        <v>J3</v>
      </c>
      <c r="AA9" s="31" t="str">
        <f ca="1">A6</f>
        <v>Sudáfrica</v>
      </c>
      <c r="AB9" s="52" t="str" cm="1">
        <f t="array" aca="1" ref="AB9" ca="1">Ver_flag_local</f>
        <v>🇿🇦</v>
      </c>
      <c r="AC9" s="53">
        <v>1</v>
      </c>
      <c r="AD9" s="54">
        <v>0</v>
      </c>
      <c r="AE9" s="596" t="str" cm="1">
        <f t="array" aca="1" ref="AE9" ca="1">Ver_flag_visit</f>
        <v>🇰🇷</v>
      </c>
      <c r="AF9" s="33" t="str">
        <f ca="1">A7</f>
        <v>Corea del Sur</v>
      </c>
      <c r="AG9" s="323">
        <f t="shared" si="13"/>
        <v>1</v>
      </c>
      <c r="AH9" s="195">
        <v>54</v>
      </c>
      <c r="AI9" s="181" t="str">
        <f>AJ9&amp;$B$4</f>
        <v>4A</v>
      </c>
      <c r="AJ9" s="44">
        <v>4</v>
      </c>
      <c r="AK9" s="599" t="str" cm="1">
        <f t="array" aca="1" ref="AK9" ca="1">Ver_flag_visit</f>
        <v>🇨🇿</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 customHeight="1" thickBot="1" x14ac:dyDescent="0.25">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32" t="s">
        <v>1</v>
      </c>
      <c r="X12" s="24">
        <f ca="1">Horarios!C12</f>
        <v>46185.875</v>
      </c>
      <c r="Y12" s="25">
        <f ca="1">Horarios!C12</f>
        <v>46185.875</v>
      </c>
      <c r="Z12" s="26" t="str">
        <f>$Z$4</f>
        <v>J1</v>
      </c>
      <c r="AA12" s="27" t="str">
        <f ca="1">A13</f>
        <v>Canadá</v>
      </c>
      <c r="AB12" s="49" t="str" cm="1">
        <f t="array" aca="1" ref="AB12" ca="1">Ver_flag_local</f>
        <v>🇨🇦</v>
      </c>
      <c r="AC12" s="50">
        <v>1</v>
      </c>
      <c r="AD12" s="51">
        <v>1</v>
      </c>
      <c r="AE12" s="595" t="str" cm="1">
        <f t="array" aca="1" ref="AE12" ca="1">Ver_flag_visit</f>
        <v>🇧🇦</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x14ac:dyDescent="0.2">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2"/>
      <c r="X13" s="24">
        <f ca="1">Horarios!C13</f>
        <v>46186.875</v>
      </c>
      <c r="Y13" s="25">
        <f ca="1">Horarios!C13</f>
        <v>46186.875</v>
      </c>
      <c r="Z13" s="26" t="str">
        <f>$Z$4</f>
        <v>J1</v>
      </c>
      <c r="AA13" s="27" t="str">
        <f ca="1">A15</f>
        <v>Catar</v>
      </c>
      <c r="AB13" s="49" t="str" cm="1">
        <f t="array" aca="1" ref="AB13" ca="1">Ver_flag_local</f>
        <v>🇶🇦</v>
      </c>
      <c r="AC13" s="50">
        <v>1</v>
      </c>
      <c r="AD13" s="51">
        <v>1</v>
      </c>
      <c r="AE13" s="595" t="str" cm="1">
        <f t="array" aca="1" ref="AE13" ca="1">Ver_flag_visit</f>
        <v>🇨🇭</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 customHeight="1" x14ac:dyDescent="0.2">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32"/>
      <c r="X14" s="24">
        <f ca="1">Horarios!C14</f>
        <v>46191.875</v>
      </c>
      <c r="Y14" s="25">
        <f ca="1">Horarios!C14</f>
        <v>46191.875</v>
      </c>
      <c r="Z14" s="26" t="str">
        <f>$Z$6</f>
        <v>J2</v>
      </c>
      <c r="AA14" s="27" t="str">
        <f ca="1">A16</f>
        <v>Suiza</v>
      </c>
      <c r="AB14" s="49" t="str" cm="1">
        <f t="array" aca="1" ref="AB14" ca="1">Ver_flag_local</f>
        <v>🇨🇭</v>
      </c>
      <c r="AC14" s="50">
        <v>4</v>
      </c>
      <c r="AD14" s="51">
        <v>1</v>
      </c>
      <c r="AE14" s="595" t="str" cm="1">
        <f t="array" aca="1" ref="AE14" ca="1">Ver_flag_visit</f>
        <v>🇧🇦</v>
      </c>
      <c r="AF14" s="32" t="str">
        <f ca="1">A14</f>
        <v>Bosnia y Herzegovina</v>
      </c>
      <c r="AG14" s="323">
        <f t="shared" si="66"/>
        <v>1</v>
      </c>
      <c r="AH14" s="195">
        <v>26</v>
      </c>
      <c r="AI14" s="181" t="str">
        <f>AJ14&amp;$B$12</f>
        <v>1B</v>
      </c>
      <c r="AJ14" s="71">
        <v>1</v>
      </c>
      <c r="AK14" s="601" t="str" cm="1">
        <f t="array" aca="1" ref="AK14" ca="1">Ver_flag_visit</f>
        <v>🇨🇭</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x14ac:dyDescent="0.2">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32"/>
      <c r="X15" s="24">
        <f ca="1">Horarios!C15</f>
        <v>46192</v>
      </c>
      <c r="Y15" s="25">
        <f ca="1">Horarios!C15</f>
        <v>46192</v>
      </c>
      <c r="Z15" s="26" t="str">
        <f>$Z$6</f>
        <v>J2</v>
      </c>
      <c r="AA15" s="27" t="str">
        <f ca="1">A13</f>
        <v>Canadá</v>
      </c>
      <c r="AB15" s="49" t="str" cm="1">
        <f t="array" aca="1" ref="AB15" ca="1">Ver_flag_local</f>
        <v>🇨🇦</v>
      </c>
      <c r="AC15" s="50">
        <v>6</v>
      </c>
      <c r="AD15" s="51">
        <v>0</v>
      </c>
      <c r="AE15" s="595" t="str" cm="1">
        <f t="array" aca="1" ref="AE15" ca="1">Ver_flag_visit</f>
        <v>🇶🇦</v>
      </c>
      <c r="AF15" s="32" t="str">
        <f ca="1">A15</f>
        <v>Catar</v>
      </c>
      <c r="AG15" s="323">
        <f t="shared" si="66"/>
        <v>1</v>
      </c>
      <c r="AH15" s="195">
        <v>27</v>
      </c>
      <c r="AI15" s="181" t="str">
        <f t="shared" ref="AI15:AI17" si="70">AJ15&amp;$B$12</f>
        <v>2B</v>
      </c>
      <c r="AJ15" s="73">
        <v>2</v>
      </c>
      <c r="AK15" s="602" t="str" cm="1">
        <f t="array" aca="1" ref="AK15" ca="1">Ver_flag_visit</f>
        <v>🇨🇦</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 customHeight="1" x14ac:dyDescent="0.2">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32"/>
      <c r="X16" s="24">
        <f ca="1">Horarios!C16</f>
        <v>46197.875</v>
      </c>
      <c r="Y16" s="25">
        <f ca="1">Horarios!C16</f>
        <v>46197.875</v>
      </c>
      <c r="Z16" s="26" t="str">
        <f>$Z$8</f>
        <v>J3</v>
      </c>
      <c r="AA16" s="27" t="str">
        <f ca="1">A16</f>
        <v>Suiza</v>
      </c>
      <c r="AB16" s="49" t="str" cm="1">
        <f t="array" aca="1" ref="AB16" ca="1">Ver_flag_local</f>
        <v>🇨🇭</v>
      </c>
      <c r="AC16" s="50">
        <v>2</v>
      </c>
      <c r="AD16" s="51">
        <v>1</v>
      </c>
      <c r="AE16" s="595" t="str" cm="1">
        <f t="array" aca="1" ref="AE16" ca="1">Ver_flag_visit</f>
        <v>🇨🇦</v>
      </c>
      <c r="AF16" s="32" t="str">
        <f ca="1">A13</f>
        <v>Canadá</v>
      </c>
      <c r="AG16" s="323">
        <f t="shared" si="66"/>
        <v>1</v>
      </c>
      <c r="AH16" s="195">
        <v>51</v>
      </c>
      <c r="AI16" s="181" t="str">
        <f t="shared" si="70"/>
        <v>3B</v>
      </c>
      <c r="AJ16" s="73">
        <v>3</v>
      </c>
      <c r="AK16" s="602" t="str" cm="1">
        <f t="array" aca="1" ref="AK16" ca="1">Ver_flag_visit</f>
        <v>🇧🇦</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x14ac:dyDescent="0.25">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33"/>
      <c r="X17" s="28">
        <f ca="1">Horarios!C17</f>
        <v>46197.875</v>
      </c>
      <c r="Y17" s="29">
        <f ca="1">Horarios!C17</f>
        <v>46197.875</v>
      </c>
      <c r="Z17" s="30" t="str">
        <f>$Z$8</f>
        <v>J3</v>
      </c>
      <c r="AA17" s="31" t="str">
        <f ca="1">A14</f>
        <v>Bosnia y Herzegovina</v>
      </c>
      <c r="AB17" s="52" t="str" cm="1">
        <f t="array" aca="1" ref="AB17" ca="1">Ver_flag_local</f>
        <v>🇧🇦</v>
      </c>
      <c r="AC17" s="53">
        <v>3</v>
      </c>
      <c r="AD17" s="54">
        <v>1</v>
      </c>
      <c r="AE17" s="596" t="str" cm="1">
        <f t="array" aca="1" ref="AE17" ca="1">Ver_flag_visit</f>
        <v>🇶🇦</v>
      </c>
      <c r="AF17" s="33" t="str">
        <f ca="1">A15</f>
        <v>Catar</v>
      </c>
      <c r="AG17" s="323">
        <f t="shared" si="66"/>
        <v>1</v>
      </c>
      <c r="AH17" s="195">
        <v>52</v>
      </c>
      <c r="AI17" s="181" t="str">
        <f t="shared" si="70"/>
        <v>4B</v>
      </c>
      <c r="AJ17" s="75">
        <v>4</v>
      </c>
      <c r="AK17" s="603" t="str" cm="1">
        <f t="array" aca="1" ref="AK17" ca="1">Ver_flag_visit</f>
        <v>🇶🇦</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6" customHeight="1" thickBot="1" x14ac:dyDescent="0.25">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41" t="s">
        <v>2</v>
      </c>
      <c r="X20" s="24">
        <f ca="1">Horarios!C20</f>
        <v>46187</v>
      </c>
      <c r="Y20" s="25">
        <f ca="1">Horarios!C20</f>
        <v>46187</v>
      </c>
      <c r="Z20" s="26" t="str">
        <f>$Z$4</f>
        <v>J1</v>
      </c>
      <c r="AA20" s="27" t="str">
        <f ca="1">A21</f>
        <v>Brasil</v>
      </c>
      <c r="AB20" s="49" t="str" cm="1">
        <f t="array" aca="1" ref="AB20" ca="1">Ver_flag_local</f>
        <v>🇧🇷</v>
      </c>
      <c r="AC20" s="50">
        <v>1</v>
      </c>
      <c r="AD20" s="51">
        <v>1</v>
      </c>
      <c r="AE20" s="595" t="str" cm="1">
        <f t="array" aca="1" ref="AE20" ca="1">Ver_flag_visit</f>
        <v>🇲🇦</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x14ac:dyDescent="0.2">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1"/>
      <c r="X21" s="24">
        <f ca="1">Horarios!C21</f>
        <v>46187.125</v>
      </c>
      <c r="Y21" s="25">
        <f ca="1">Horarios!C21</f>
        <v>46187.125</v>
      </c>
      <c r="Z21" s="26" t="str">
        <f>$Z$4</f>
        <v>J1</v>
      </c>
      <c r="AA21" s="27" t="str">
        <f ca="1">A23</f>
        <v>Haití</v>
      </c>
      <c r="AB21" s="49" t="str" cm="1">
        <f t="array" aca="1" ref="AB21" ca="1">Ver_flag_local</f>
        <v>🇭🇹</v>
      </c>
      <c r="AC21" s="50">
        <v>0</v>
      </c>
      <c r="AD21" s="51">
        <v>1</v>
      </c>
      <c r="AE21" s="595" t="str" cm="1">
        <f t="array" aca="1" ref="AE21" ca="1">Ver_flag_visit</f>
        <v>🏴󠁧󠁢󠁳󠁣󠁴󠁿</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6" customHeight="1" x14ac:dyDescent="0.2">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41"/>
      <c r="X22" s="24">
        <f ca="1">Horarios!C22</f>
        <v>46193</v>
      </c>
      <c r="Y22" s="25">
        <f ca="1">Horarios!C22</f>
        <v>46193</v>
      </c>
      <c r="Z22" s="26" t="str">
        <f>$Z$6</f>
        <v>J2</v>
      </c>
      <c r="AA22" s="27" t="str">
        <f ca="1">A24</f>
        <v>Escocia</v>
      </c>
      <c r="AB22" s="49" t="str" cm="1">
        <f t="array" aca="1" ref="AB22" ca="1">Ver_flag_local</f>
        <v>🏴󠁧󠁢󠁳󠁣󠁴󠁿</v>
      </c>
      <c r="AC22" s="50">
        <v>0</v>
      </c>
      <c r="AD22" s="51">
        <v>1</v>
      </c>
      <c r="AE22" s="595" t="str" cm="1">
        <f t="array" aca="1" ref="AE22" ca="1">Ver_flag_visit</f>
        <v>🇲🇦</v>
      </c>
      <c r="AF22" s="32" t="str">
        <f ca="1">A22</f>
        <v>Marruecos</v>
      </c>
      <c r="AG22" s="323">
        <f t="shared" si="84"/>
        <v>1</v>
      </c>
      <c r="AH22" s="195">
        <v>30</v>
      </c>
      <c r="AI22" s="181" t="str">
        <f>AJ22&amp;$B$20</f>
        <v>1C</v>
      </c>
      <c r="AJ22" s="40">
        <v>1</v>
      </c>
      <c r="AK22" s="601" t="str" cm="1">
        <f t="array" aca="1" ref="AK22" ca="1">Ver_flag_visit</f>
        <v>🇧🇷</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x14ac:dyDescent="0.2">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41"/>
      <c r="X23" s="24">
        <f ca="1">Horarios!C23</f>
        <v>46193.104166666664</v>
      </c>
      <c r="Y23" s="25">
        <f ca="1">Horarios!C23</f>
        <v>46193.104166666664</v>
      </c>
      <c r="Z23" s="26" t="str">
        <f>$Z$6</f>
        <v>J2</v>
      </c>
      <c r="AA23" s="27" t="str">
        <f ca="1">A21</f>
        <v>Brasil</v>
      </c>
      <c r="AB23" s="49" t="str" cm="1">
        <f t="array" aca="1" ref="AB23" ca="1">Ver_flag_local</f>
        <v>🇧🇷</v>
      </c>
      <c r="AC23" s="50">
        <v>3</v>
      </c>
      <c r="AD23" s="51">
        <v>0</v>
      </c>
      <c r="AE23" s="595" t="str" cm="1">
        <f t="array" aca="1" ref="AE23" ca="1">Ver_flag_visit</f>
        <v>🇭🇹</v>
      </c>
      <c r="AF23" s="32" t="str">
        <f ca="1">A23</f>
        <v>Haití</v>
      </c>
      <c r="AG23" s="323">
        <f t="shared" si="84"/>
        <v>1</v>
      </c>
      <c r="AH23" s="195">
        <v>29</v>
      </c>
      <c r="AI23" s="181" t="str">
        <f t="shared" ref="AI23:AI25" si="88">AJ23&amp;$B$20</f>
        <v>2C</v>
      </c>
      <c r="AJ23" s="42">
        <v>2</v>
      </c>
      <c r="AK23" s="602" t="str" cm="1">
        <f t="array" aca="1" ref="AK23" ca="1">Ver_flag_visit</f>
        <v>🇲🇦</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 customHeight="1" x14ac:dyDescent="0.2">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41"/>
      <c r="X24" s="24">
        <f ca="1">Horarios!C24</f>
        <v>46198</v>
      </c>
      <c r="Y24" s="25">
        <f ca="1">Horarios!C24</f>
        <v>46198</v>
      </c>
      <c r="Z24" s="26" t="str">
        <f>$Z$8</f>
        <v>J3</v>
      </c>
      <c r="AA24" s="27" t="str">
        <f ca="1">A24</f>
        <v>Escocia</v>
      </c>
      <c r="AB24" s="49" t="str" cm="1">
        <f t="array" aca="1" ref="AB24" ca="1">Ver_flag_local</f>
        <v>🏴󠁧󠁢󠁳󠁣󠁴󠁿</v>
      </c>
      <c r="AC24" s="50">
        <v>0</v>
      </c>
      <c r="AD24" s="51">
        <v>3</v>
      </c>
      <c r="AE24" s="595" t="str" cm="1">
        <f t="array" aca="1" ref="AE24" ca="1">Ver_flag_visit</f>
        <v>🇧🇷</v>
      </c>
      <c r="AF24" s="32" t="str">
        <f ca="1">A21</f>
        <v>Brasil</v>
      </c>
      <c r="AG24" s="323">
        <f t="shared" si="84"/>
        <v>1</v>
      </c>
      <c r="AH24" s="195">
        <v>49</v>
      </c>
      <c r="AI24" s="181" t="str">
        <f t="shared" si="88"/>
        <v>3C</v>
      </c>
      <c r="AJ24" s="42">
        <v>3</v>
      </c>
      <c r="AK24" s="602" t="str" cm="1">
        <f t="array" aca="1" ref="AK24" ca="1">Ver_flag_visit</f>
        <v>🏴󠁧󠁢󠁳󠁣󠁴󠁿</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 customHeight="1" thickBot="1" x14ac:dyDescent="0.25">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42"/>
      <c r="X25" s="28">
        <f ca="1">Horarios!C25</f>
        <v>46198</v>
      </c>
      <c r="Y25" s="29">
        <f ca="1">Horarios!C25</f>
        <v>46198</v>
      </c>
      <c r="Z25" s="30" t="str">
        <f>$Z$8</f>
        <v>J3</v>
      </c>
      <c r="AA25" s="31" t="str">
        <f ca="1">A22</f>
        <v>Marruecos</v>
      </c>
      <c r="AB25" s="52" t="str" cm="1">
        <f t="array" aca="1" ref="AB25" ca="1">Ver_flag_local</f>
        <v>🇲🇦</v>
      </c>
      <c r="AC25" s="53">
        <v>4</v>
      </c>
      <c r="AD25" s="54">
        <v>2</v>
      </c>
      <c r="AE25" s="596" t="str" cm="1">
        <f t="array" aca="1" ref="AE25" ca="1">Ver_flag_visit</f>
        <v>🇭🇹</v>
      </c>
      <c r="AF25" s="33" t="str">
        <f ca="1">A23</f>
        <v>Haití</v>
      </c>
      <c r="AG25" s="323">
        <f t="shared" si="84"/>
        <v>1</v>
      </c>
      <c r="AH25" s="195">
        <v>50</v>
      </c>
      <c r="AI25" s="181" t="str">
        <f t="shared" si="88"/>
        <v>4C</v>
      </c>
      <c r="AJ25" s="44">
        <v>4</v>
      </c>
      <c r="AK25" s="604" t="str" cm="1">
        <f t="array" aca="1" ref="AK25" ca="1">Ver_flag_visit</f>
        <v>🇭🇹</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 customHeight="1" thickBot="1" x14ac:dyDescent="0.25">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43" t="s">
        <v>74</v>
      </c>
      <c r="X28" s="24">
        <f ca="1">Horarios!C28</f>
        <v>46186.125</v>
      </c>
      <c r="Y28" s="25">
        <f ca="1">Horarios!C28</f>
        <v>46186.125</v>
      </c>
      <c r="Z28" s="26" t="str">
        <f>$Z$4</f>
        <v>J1</v>
      </c>
      <c r="AA28" s="27" t="str">
        <f ca="1">A29</f>
        <v>Estados Unidos</v>
      </c>
      <c r="AB28" s="49" t="str" cm="1">
        <f t="array" aca="1" ref="AB28" ca="1">Ver_flag_local</f>
        <v>🇺🇸</v>
      </c>
      <c r="AC28" s="50">
        <v>4</v>
      </c>
      <c r="AD28" s="51">
        <v>1</v>
      </c>
      <c r="AE28" s="595" t="str" cm="1">
        <f t="array" aca="1" ref="AE28" ca="1">Ver_flag_visit</f>
        <v>🇵🇾</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x14ac:dyDescent="0.2">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43"/>
      <c r="X29" s="24">
        <f ca="1">Horarios!C29</f>
        <v>46187.25</v>
      </c>
      <c r="Y29" s="25">
        <f ca="1">Horarios!C29</f>
        <v>46187.25</v>
      </c>
      <c r="Z29" s="26" t="str">
        <f>$Z$4</f>
        <v>J1</v>
      </c>
      <c r="AA29" s="27" t="str">
        <f ca="1">A31</f>
        <v>Australia</v>
      </c>
      <c r="AB29" s="49" t="str" cm="1">
        <f t="array" aca="1" ref="AB29" ca="1">Ver_flag_local</f>
        <v>🇦🇺</v>
      </c>
      <c r="AC29" s="50">
        <v>2</v>
      </c>
      <c r="AD29" s="51">
        <v>0</v>
      </c>
      <c r="AE29" s="595" t="str" cm="1">
        <f t="array" aca="1" ref="AE29" ca="1">Ver_flag_visit</f>
        <v>🇹🇷</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 customHeight="1" x14ac:dyDescent="0.2">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43"/>
      <c r="X30" s="24">
        <f ca="1">Horarios!C30</f>
        <v>46192.875</v>
      </c>
      <c r="Y30" s="25">
        <f ca="1">Horarios!C30</f>
        <v>46192.875</v>
      </c>
      <c r="Z30" s="26" t="str">
        <f>$Z$6</f>
        <v>J2</v>
      </c>
      <c r="AA30" s="27" t="str">
        <f ca="1">A29</f>
        <v>Estados Unidos</v>
      </c>
      <c r="AB30" s="49" t="str" cm="1">
        <f t="array" aca="1" ref="AB30" ca="1">Ver_flag_local</f>
        <v>🇺🇸</v>
      </c>
      <c r="AC30" s="50">
        <v>2</v>
      </c>
      <c r="AD30" s="51">
        <v>0</v>
      </c>
      <c r="AE30" s="595" t="str" cm="1">
        <f t="array" aca="1" ref="AE30" ca="1">Ver_flag_visit</f>
        <v>🇦🇺</v>
      </c>
      <c r="AF30" s="32" t="str">
        <f ca="1">A31</f>
        <v>Australia</v>
      </c>
      <c r="AG30" s="323">
        <f t="shared" si="104"/>
        <v>1</v>
      </c>
      <c r="AH30" s="195">
        <v>32</v>
      </c>
      <c r="AI30" s="181" t="str">
        <f>AJ30&amp;$B$28</f>
        <v>1D</v>
      </c>
      <c r="AJ30" s="40">
        <v>1</v>
      </c>
      <c r="AK30" s="601" t="str" cm="1">
        <f t="array" aca="1" ref="AK30" ca="1">Ver_flag_visit</f>
        <v>🇺🇸</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 customHeight="1" x14ac:dyDescent="0.2">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43"/>
      <c r="X31" s="24">
        <f ca="1">Horarios!C31</f>
        <v>46193.208333333336</v>
      </c>
      <c r="Y31" s="25">
        <f ca="1">Horarios!C31</f>
        <v>46193.208333333336</v>
      </c>
      <c r="Z31" s="26" t="str">
        <f>$Z$6</f>
        <v>J2</v>
      </c>
      <c r="AA31" s="27" t="str">
        <f ca="1">A32</f>
        <v>Turquía</v>
      </c>
      <c r="AB31" s="49" t="str" cm="1">
        <f t="array" aca="1" ref="AB31" ca="1">Ver_flag_local</f>
        <v>🇹🇷</v>
      </c>
      <c r="AC31" s="50">
        <v>0</v>
      </c>
      <c r="AD31" s="51">
        <v>1</v>
      </c>
      <c r="AE31" s="595" t="str" cm="1">
        <f t="array" aca="1" ref="AE31" ca="1">Ver_flag_visit</f>
        <v>🇵🇾</v>
      </c>
      <c r="AF31" s="32" t="str">
        <f ca="1">A30</f>
        <v>Paraguay</v>
      </c>
      <c r="AG31" s="323">
        <f t="shared" si="104"/>
        <v>1</v>
      </c>
      <c r="AH31" s="195">
        <v>31</v>
      </c>
      <c r="AI31" s="181" t="str">
        <f t="shared" ref="AI31:AI33" si="108">AJ31&amp;$B$28</f>
        <v>2D</v>
      </c>
      <c r="AJ31" s="42">
        <v>2</v>
      </c>
      <c r="AK31" s="602" t="str" cm="1">
        <f t="array" aca="1" ref="AK31" ca="1">Ver_flag_visit</f>
        <v>🇦🇺</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 customHeight="1" x14ac:dyDescent="0.2">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43"/>
      <c r="X32" s="24">
        <f ca="1">Horarios!C32</f>
        <v>46199.166666666664</v>
      </c>
      <c r="Y32" s="25">
        <f ca="1">Horarios!C32</f>
        <v>46199.166666666664</v>
      </c>
      <c r="Z32" s="26" t="str">
        <f>$Z$8</f>
        <v>J3</v>
      </c>
      <c r="AA32" s="27" t="str">
        <f ca="1">A32</f>
        <v>Turquía</v>
      </c>
      <c r="AB32" s="49" t="str" cm="1">
        <f t="array" aca="1" ref="AB32" ca="1">Ver_flag_local</f>
        <v>🇹🇷</v>
      </c>
      <c r="AC32" s="50">
        <v>3</v>
      </c>
      <c r="AD32" s="51">
        <v>2</v>
      </c>
      <c r="AE32" s="595" t="str" cm="1">
        <f t="array" aca="1" ref="AE32" ca="1">Ver_flag_visit</f>
        <v>🇺🇸</v>
      </c>
      <c r="AF32" s="32" t="str">
        <f ca="1">A29</f>
        <v>Estados Unidos</v>
      </c>
      <c r="AG32" s="323">
        <f t="shared" si="104"/>
        <v>1</v>
      </c>
      <c r="AH32" s="195">
        <v>59</v>
      </c>
      <c r="AI32" s="181" t="str">
        <f t="shared" si="108"/>
        <v>3D</v>
      </c>
      <c r="AJ32" s="42">
        <v>3</v>
      </c>
      <c r="AK32" s="602" t="str" cm="1">
        <f t="array" aca="1" ref="AK32" ca="1">Ver_flag_visit</f>
        <v>🇵🇾</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x14ac:dyDescent="0.25">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44"/>
      <c r="X33" s="28">
        <f ca="1">Horarios!C33</f>
        <v>46199.166666666664</v>
      </c>
      <c r="Y33" s="29">
        <f ca="1">Horarios!C33</f>
        <v>46199.166666666664</v>
      </c>
      <c r="Z33" s="30" t="str">
        <f>$Z$8</f>
        <v>J3</v>
      </c>
      <c r="AA33" s="31" t="str">
        <f ca="1">A30</f>
        <v>Paraguay</v>
      </c>
      <c r="AB33" s="52" t="str" cm="1">
        <f t="array" aca="1" ref="AB33" ca="1">Ver_flag_local</f>
        <v>🇵🇾</v>
      </c>
      <c r="AC33" s="53">
        <v>0</v>
      </c>
      <c r="AD33" s="54">
        <v>0</v>
      </c>
      <c r="AE33" s="596" t="str" cm="1">
        <f t="array" aca="1" ref="AE33" ca="1">Ver_flag_visit</f>
        <v>🇦🇺</v>
      </c>
      <c r="AF33" s="33" t="str">
        <f ca="1">A31</f>
        <v>Australia</v>
      </c>
      <c r="AG33" s="323">
        <f t="shared" si="104"/>
        <v>1</v>
      </c>
      <c r="AH33" s="195">
        <v>60</v>
      </c>
      <c r="AI33" s="181" t="str">
        <f t="shared" si="108"/>
        <v>4D</v>
      </c>
      <c r="AJ33" s="44">
        <v>4</v>
      </c>
      <c r="AK33" s="604" t="str" cm="1">
        <f t="array" aca="1" ref="AK33" ca="1">Ver_flag_visit</f>
        <v>🇹🇷</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6" customHeight="1" thickBot="1" x14ac:dyDescent="0.25">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45" t="s">
        <v>3</v>
      </c>
      <c r="X36" s="24">
        <f ca="1">Horarios!C36</f>
        <v>46187.791666666664</v>
      </c>
      <c r="Y36" s="25">
        <f ca="1">Horarios!C36</f>
        <v>46187.791666666664</v>
      </c>
      <c r="Z36" s="26" t="str">
        <f>$Z$4</f>
        <v>J1</v>
      </c>
      <c r="AA36" s="27" t="str">
        <f ca="1">A37</f>
        <v>Alemania</v>
      </c>
      <c r="AB36" s="49" t="str" cm="1">
        <f t="array" aca="1" ref="AB36" ca="1">Ver_flag_local</f>
        <v>🇩🇪</v>
      </c>
      <c r="AC36" s="50">
        <v>7</v>
      </c>
      <c r="AD36" s="51">
        <v>1</v>
      </c>
      <c r="AE36" s="595" t="str" cm="1">
        <f t="array" aca="1" ref="AE36" ca="1">Ver_flag_visit</f>
        <v>🇨🇼</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6" customHeight="1" x14ac:dyDescent="0.2">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45"/>
      <c r="X37" s="24">
        <f ca="1">Horarios!C37</f>
        <v>46188.041666666664</v>
      </c>
      <c r="Y37" s="25">
        <f ca="1">Horarios!C37</f>
        <v>46188.041666666664</v>
      </c>
      <c r="Z37" s="26" t="str">
        <f>$Z$4</f>
        <v>J1</v>
      </c>
      <c r="AA37" s="27" t="str">
        <f ca="1">A39</f>
        <v>Costa de Marfil</v>
      </c>
      <c r="AB37" s="49" t="str" cm="1">
        <f t="array" aca="1" ref="AB37" ca="1">Ver_flag_local</f>
        <v>🇨🇮</v>
      </c>
      <c r="AC37" s="50">
        <v>1</v>
      </c>
      <c r="AD37" s="51">
        <v>0</v>
      </c>
      <c r="AE37" s="595" t="str" cm="1">
        <f t="array" aca="1" ref="AE37" ca="1">Ver_flag_visit</f>
        <v>🇪🇨</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6" customHeight="1" x14ac:dyDescent="0.2">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45"/>
      <c r="X38" s="24">
        <f ca="1">Horarios!C38</f>
        <v>46193.916666666664</v>
      </c>
      <c r="Y38" s="25">
        <f ca="1">Horarios!C38</f>
        <v>46193.916666666664</v>
      </c>
      <c r="Z38" s="26" t="str">
        <f>$Z$6</f>
        <v>J2</v>
      </c>
      <c r="AA38" s="27" t="str">
        <f ca="1">A37</f>
        <v>Alemania</v>
      </c>
      <c r="AB38" s="49" t="str" cm="1">
        <f t="array" aca="1" ref="AB38" ca="1">Ver_flag_local</f>
        <v>🇩🇪</v>
      </c>
      <c r="AC38" s="50">
        <v>2</v>
      </c>
      <c r="AD38" s="51">
        <v>1</v>
      </c>
      <c r="AE38" s="595" t="str" cm="1">
        <f t="array" aca="1" ref="AE38" ca="1">Ver_flag_visit</f>
        <v>🇨🇮</v>
      </c>
      <c r="AF38" s="32" t="str">
        <f ca="1">A39</f>
        <v>Costa de Marfil</v>
      </c>
      <c r="AG38" s="323">
        <f t="shared" si="124"/>
        <v>1</v>
      </c>
      <c r="AH38" s="195">
        <v>33</v>
      </c>
      <c r="AI38" s="181" t="str">
        <f>AJ38&amp;$B$36</f>
        <v>1E</v>
      </c>
      <c r="AJ38" s="40">
        <v>1</v>
      </c>
      <c r="AK38" s="601" t="str" cm="1">
        <f t="array" aca="1" ref="AK38" ca="1">Ver_flag_visit</f>
        <v>🇩🇪</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x14ac:dyDescent="0.2">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45"/>
      <c r="X39" s="24">
        <f ca="1">Horarios!C39</f>
        <v>46194.083333333336</v>
      </c>
      <c r="Y39" s="25">
        <f ca="1">Horarios!C39</f>
        <v>46194.083333333336</v>
      </c>
      <c r="Z39" s="26" t="str">
        <f>$Z$6</f>
        <v>J2</v>
      </c>
      <c r="AA39" s="27" t="str">
        <f ca="1">A40</f>
        <v>Ecuador</v>
      </c>
      <c r="AB39" s="49" t="str" cm="1">
        <f t="array" aca="1" ref="AB39" ca="1">Ver_flag_local</f>
        <v>🇪🇨</v>
      </c>
      <c r="AC39" s="50">
        <v>0</v>
      </c>
      <c r="AD39" s="51">
        <v>0</v>
      </c>
      <c r="AE39" s="595" t="str" cm="1">
        <f t="array" aca="1" ref="AE39" ca="1">Ver_flag_visit</f>
        <v>🇨🇼</v>
      </c>
      <c r="AF39" s="32" t="str">
        <f ca="1">A38</f>
        <v>Curazao</v>
      </c>
      <c r="AG39" s="323">
        <f t="shared" si="124"/>
        <v>1</v>
      </c>
      <c r="AH39" s="195">
        <v>34</v>
      </c>
      <c r="AI39" s="181" t="str">
        <f t="shared" ref="AI39:AI41" si="128">AJ39&amp;$B$36</f>
        <v>2E</v>
      </c>
      <c r="AJ39" s="42">
        <v>2</v>
      </c>
      <c r="AK39" s="602" t="str" cm="1">
        <f t="array" aca="1" ref="AK39" ca="1">Ver_flag_visit</f>
        <v>🇨🇮</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 customHeight="1" x14ac:dyDescent="0.2">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45"/>
      <c r="X40" s="24">
        <f ca="1">Horarios!C40</f>
        <v>46198.916666666664</v>
      </c>
      <c r="Y40" s="25">
        <f ca="1">Horarios!C40</f>
        <v>46198.916666666664</v>
      </c>
      <c r="Z40" s="26" t="str">
        <f>$Z$8</f>
        <v>J3</v>
      </c>
      <c r="AA40" s="27" t="str">
        <f ca="1">A38</f>
        <v>Curazao</v>
      </c>
      <c r="AB40" s="49" t="str" cm="1">
        <f t="array" aca="1" ref="AB40" ca="1">Ver_flag_local</f>
        <v>🇨🇼</v>
      </c>
      <c r="AC40" s="50">
        <v>0</v>
      </c>
      <c r="AD40" s="51">
        <v>2</v>
      </c>
      <c r="AE40" s="595" t="str" cm="1">
        <f t="array" aca="1" ref="AE40" ca="1">Ver_flag_visit</f>
        <v>🇨🇮</v>
      </c>
      <c r="AF40" s="32" t="str">
        <f ca="1">A39</f>
        <v>Costa de Marfil</v>
      </c>
      <c r="AG40" s="323">
        <f t="shared" si="124"/>
        <v>1</v>
      </c>
      <c r="AH40" s="195">
        <v>55</v>
      </c>
      <c r="AI40" s="181" t="str">
        <f t="shared" si="128"/>
        <v>3E</v>
      </c>
      <c r="AJ40" s="42">
        <v>3</v>
      </c>
      <c r="AK40" s="602" t="str" cm="1">
        <f t="array" aca="1" ref="AK40" ca="1">Ver_flag_visit</f>
        <v>🇪🇨</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x14ac:dyDescent="0.25">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46"/>
      <c r="X41" s="28">
        <f ca="1">Horarios!C41</f>
        <v>46198.916666666664</v>
      </c>
      <c r="Y41" s="29">
        <f ca="1">Horarios!C41</f>
        <v>46198.916666666664</v>
      </c>
      <c r="Z41" s="30" t="str">
        <f>$Z$8</f>
        <v>J3</v>
      </c>
      <c r="AA41" s="31" t="str">
        <f ca="1">A40</f>
        <v>Ecuador</v>
      </c>
      <c r="AB41" s="52" t="str" cm="1">
        <f t="array" aca="1" ref="AB41" ca="1">Ver_flag_local</f>
        <v>🇪🇨</v>
      </c>
      <c r="AC41" s="53">
        <v>2</v>
      </c>
      <c r="AD41" s="54">
        <v>1</v>
      </c>
      <c r="AE41" s="596" t="str" cm="1">
        <f t="array" aca="1" ref="AE41" ca="1">Ver_flag_visit</f>
        <v>🇩🇪</v>
      </c>
      <c r="AF41" s="33" t="str">
        <f ca="1">A37</f>
        <v>Alemania</v>
      </c>
      <c r="AG41" s="323">
        <f t="shared" si="124"/>
        <v>1</v>
      </c>
      <c r="AH41" s="195">
        <v>56</v>
      </c>
      <c r="AI41" s="181" t="str">
        <f t="shared" si="128"/>
        <v>4E</v>
      </c>
      <c r="AJ41" s="44">
        <v>4</v>
      </c>
      <c r="AK41" s="604" t="str" cm="1">
        <f t="array" aca="1" ref="AK41" ca="1">Ver_flag_visit</f>
        <v>🇨🇼</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 customHeight="1" thickBot="1" x14ac:dyDescent="0.25">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55" t="s">
        <v>4</v>
      </c>
      <c r="X44" s="24">
        <f ca="1">Horarios!C44</f>
        <v>46187.916666666664</v>
      </c>
      <c r="Y44" s="25">
        <f ca="1">Horarios!C44</f>
        <v>46187.916666666664</v>
      </c>
      <c r="Z44" s="26" t="str">
        <f>$Z$4</f>
        <v>J1</v>
      </c>
      <c r="AA44" s="27" t="str">
        <f ca="1">A45</f>
        <v>Países Bajos</v>
      </c>
      <c r="AB44" s="49" t="str" cm="1">
        <f t="array" aca="1" ref="AB44" ca="1">Ver_flag_local</f>
        <v>🇳🇱</v>
      </c>
      <c r="AC44" s="50">
        <v>2</v>
      </c>
      <c r="AD44" s="51">
        <v>2</v>
      </c>
      <c r="AE44" s="595" t="str" cm="1">
        <f t="array" aca="1" ref="AE44" ca="1">Ver_flag_visit</f>
        <v>🇯🇵</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x14ac:dyDescent="0.2">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55"/>
      <c r="X45" s="24">
        <f ca="1">Horarios!C45</f>
        <v>46188.166666666664</v>
      </c>
      <c r="Y45" s="25">
        <f ca="1">Horarios!C45</f>
        <v>46188.166666666664</v>
      </c>
      <c r="Z45" s="26" t="str">
        <f>$Z$4</f>
        <v>J1</v>
      </c>
      <c r="AA45" s="27" t="str">
        <f ca="1">A47</f>
        <v>Suecia</v>
      </c>
      <c r="AB45" s="49" t="str" cm="1">
        <f t="array" aca="1" ref="AB45" ca="1">Ver_flag_local</f>
        <v>🇸🇪</v>
      </c>
      <c r="AC45" s="50">
        <v>5</v>
      </c>
      <c r="AD45" s="51">
        <v>1</v>
      </c>
      <c r="AE45" s="595" t="str" cm="1">
        <f t="array" aca="1" ref="AE45" ca="1">Ver_flag_visit</f>
        <v>🇹🇳</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 customHeight="1" x14ac:dyDescent="0.2">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55"/>
      <c r="X46" s="24">
        <f ca="1">Horarios!C46</f>
        <v>46193.791666666664</v>
      </c>
      <c r="Y46" s="25">
        <f ca="1">Horarios!C46</f>
        <v>46193.791666666664</v>
      </c>
      <c r="Z46" s="26" t="str">
        <f>$Z$6</f>
        <v>J2</v>
      </c>
      <c r="AA46" s="27" t="str">
        <f ca="1">A45</f>
        <v>Países Bajos</v>
      </c>
      <c r="AB46" s="49" t="str" cm="1">
        <f t="array" aca="1" ref="AB46" ca="1">Ver_flag_local</f>
        <v>🇳🇱</v>
      </c>
      <c r="AC46" s="50">
        <v>5</v>
      </c>
      <c r="AD46" s="51">
        <v>1</v>
      </c>
      <c r="AE46" s="595" t="str" cm="1">
        <f t="array" aca="1" ref="AE46" ca="1">Ver_flag_visit</f>
        <v>🇸🇪</v>
      </c>
      <c r="AF46" s="32" t="str">
        <f ca="1">A47</f>
        <v>Suecia</v>
      </c>
      <c r="AG46" s="323">
        <f t="shared" si="144"/>
        <v>1</v>
      </c>
      <c r="AH46" s="195">
        <v>35</v>
      </c>
      <c r="AI46" s="181" t="str">
        <f>AJ46&amp;$B$44</f>
        <v>1F</v>
      </c>
      <c r="AJ46" s="40">
        <v>1</v>
      </c>
      <c r="AK46" s="601" t="str" cm="1">
        <f t="array" aca="1" ref="AK46" ca="1">Ver_flag_visit</f>
        <v>🇳🇱</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6" customHeight="1" x14ac:dyDescent="0.2">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55"/>
      <c r="X47" s="24">
        <f ca="1">Horarios!C47</f>
        <v>46194.25</v>
      </c>
      <c r="Y47" s="25">
        <f ca="1">Horarios!C47</f>
        <v>46194.25</v>
      </c>
      <c r="Z47" s="26" t="str">
        <f>$Z$6</f>
        <v>J2</v>
      </c>
      <c r="AA47" s="27" t="str">
        <f ca="1">A48</f>
        <v>Túnez</v>
      </c>
      <c r="AB47" s="49" t="str" cm="1">
        <f t="array" aca="1" ref="AB47" ca="1">Ver_flag_local</f>
        <v>🇹🇳</v>
      </c>
      <c r="AC47" s="50">
        <v>0</v>
      </c>
      <c r="AD47" s="51">
        <v>4</v>
      </c>
      <c r="AE47" s="595" t="str" cm="1">
        <f t="array" aca="1" ref="AE47" ca="1">Ver_flag_visit</f>
        <v>🇯🇵</v>
      </c>
      <c r="AF47" s="32" t="str">
        <f ca="1">A46</f>
        <v>Japón</v>
      </c>
      <c r="AG47" s="323">
        <f t="shared" si="144"/>
        <v>1</v>
      </c>
      <c r="AH47" s="195">
        <v>36</v>
      </c>
      <c r="AI47" s="181" t="str">
        <f t="shared" ref="AI47:AI49" si="148">AJ47&amp;$B$44</f>
        <v>2F</v>
      </c>
      <c r="AJ47" s="42">
        <v>2</v>
      </c>
      <c r="AK47" s="602" t="str" cm="1">
        <f t="array" aca="1" ref="AK47" ca="1">Ver_flag_visit</f>
        <v>🇯🇵</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6" customHeight="1" x14ac:dyDescent="0.2">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55"/>
      <c r="X48" s="24">
        <f ca="1">Horarios!C48</f>
        <v>46199.041666666664</v>
      </c>
      <c r="Y48" s="25">
        <f ca="1">Horarios!C48</f>
        <v>46199.041666666664</v>
      </c>
      <c r="Z48" s="26" t="str">
        <f>$Z$8</f>
        <v>J3</v>
      </c>
      <c r="AA48" s="27" t="str">
        <f ca="1">A46</f>
        <v>Japón</v>
      </c>
      <c r="AB48" s="49" t="str" cm="1">
        <f t="array" aca="1" ref="AB48" ca="1">Ver_flag_local</f>
        <v>🇯🇵</v>
      </c>
      <c r="AC48" s="50">
        <v>1</v>
      </c>
      <c r="AD48" s="51">
        <v>1</v>
      </c>
      <c r="AE48" s="595" t="str" cm="1">
        <f t="array" aca="1" ref="AE48" ca="1">Ver_flag_visit</f>
        <v>🇸🇪</v>
      </c>
      <c r="AF48" s="32" t="str">
        <f ca="1">A47</f>
        <v>Suecia</v>
      </c>
      <c r="AG48" s="323">
        <f t="shared" si="144"/>
        <v>1</v>
      </c>
      <c r="AH48" s="195">
        <v>57</v>
      </c>
      <c r="AI48" s="181" t="str">
        <f t="shared" si="148"/>
        <v>3F</v>
      </c>
      <c r="AJ48" s="42">
        <v>3</v>
      </c>
      <c r="AK48" s="602" t="str" cm="1">
        <f t="array" aca="1" ref="AK48" ca="1">Ver_flag_visit</f>
        <v>🇸🇪</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x14ac:dyDescent="0.25">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56"/>
      <c r="X49" s="28">
        <f ca="1">Horarios!C49</f>
        <v>46199.041666666664</v>
      </c>
      <c r="Y49" s="29">
        <f ca="1">Horarios!C49</f>
        <v>46199.041666666664</v>
      </c>
      <c r="Z49" s="30" t="str">
        <f>$Z$8</f>
        <v>J3</v>
      </c>
      <c r="AA49" s="31" t="str">
        <f ca="1">A48</f>
        <v>Túnez</v>
      </c>
      <c r="AB49" s="52" t="str" cm="1">
        <f t="array" aca="1" ref="AB49" ca="1">Ver_flag_local</f>
        <v>🇹🇳</v>
      </c>
      <c r="AC49" s="53">
        <v>1</v>
      </c>
      <c r="AD49" s="54">
        <v>3</v>
      </c>
      <c r="AE49" s="596" t="str" cm="1">
        <f t="array" aca="1" ref="AE49" ca="1">Ver_flag_visit</f>
        <v>🇳🇱</v>
      </c>
      <c r="AF49" s="33" t="str">
        <f ca="1">A45</f>
        <v>Países Bajos</v>
      </c>
      <c r="AG49" s="323">
        <f t="shared" si="144"/>
        <v>1</v>
      </c>
      <c r="AH49" s="195">
        <v>58</v>
      </c>
      <c r="AI49" s="181" t="str">
        <f t="shared" si="148"/>
        <v>4F</v>
      </c>
      <c r="AJ49" s="44">
        <v>4</v>
      </c>
      <c r="AK49" s="604" t="str" cm="1">
        <f t="array" aca="1" ref="AK49" ca="1">Ver_flag_visit</f>
        <v>🇹🇳</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6</v>
      </c>
      <c r="BK51" s="16">
        <f t="shared" ca="1" si="21"/>
        <v>6</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 customHeight="1" thickBot="1" x14ac:dyDescent="0.25">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75" t="s">
        <v>6</v>
      </c>
      <c r="X52" s="24">
        <f ca="1">Horarios!C52</f>
        <v>46188.875</v>
      </c>
      <c r="Y52" s="25">
        <f ca="1">Horarios!C52</f>
        <v>46188.875</v>
      </c>
      <c r="Z52" s="26" t="str">
        <f>$Z$4</f>
        <v>J1</v>
      </c>
      <c r="AA52" s="27" t="str">
        <f ca="1">A53</f>
        <v>Bélgica</v>
      </c>
      <c r="AB52" s="49" t="str" cm="1">
        <f t="array" aca="1" ref="AB52" ca="1">Ver_flag_local</f>
        <v>🇧🇪</v>
      </c>
      <c r="AC52" s="50">
        <v>1</v>
      </c>
      <c r="AD52" s="51">
        <v>1</v>
      </c>
      <c r="AE52" s="595" t="str" cm="1">
        <f t="array" aca="1" ref="AE52" ca="1">Ver_flag_visit</f>
        <v>🇪🇬</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x14ac:dyDescent="0.2">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75"/>
      <c r="X53" s="24">
        <f ca="1">Horarios!C53</f>
        <v>46189.125</v>
      </c>
      <c r="Y53" s="25">
        <f ca="1">Horarios!C53</f>
        <v>46189.125</v>
      </c>
      <c r="Z53" s="26" t="str">
        <f>$Z$4</f>
        <v>J1</v>
      </c>
      <c r="AA53" s="27" t="str">
        <f ca="1">A55</f>
        <v>Irán</v>
      </c>
      <c r="AB53" s="49" t="str" cm="1">
        <f t="array" aca="1" ref="AB53" ca="1">Ver_flag_local</f>
        <v>🇮🇷</v>
      </c>
      <c r="AC53" s="50">
        <v>2</v>
      </c>
      <c r="AD53" s="51">
        <v>2</v>
      </c>
      <c r="AE53" s="595" t="str" cm="1">
        <f t="array" aca="1" ref="AE53" ca="1">Ver_flag_visit</f>
        <v>🇳🇿</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5</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 customHeight="1" x14ac:dyDescent="0.2">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75"/>
      <c r="X54" s="24">
        <f ca="1">Horarios!C54</f>
        <v>46194.875</v>
      </c>
      <c r="Y54" s="25">
        <f ca="1">Horarios!C54</f>
        <v>46194.875</v>
      </c>
      <c r="Z54" s="26" t="str">
        <f>$Z$6</f>
        <v>J2</v>
      </c>
      <c r="AA54" s="27" t="str">
        <f ca="1">A53</f>
        <v>Bélgica</v>
      </c>
      <c r="AB54" s="49" t="str" cm="1">
        <f t="array" aca="1" ref="AB54" ca="1">Ver_flag_local</f>
        <v>🇧🇪</v>
      </c>
      <c r="AC54" s="50">
        <v>0</v>
      </c>
      <c r="AD54" s="51">
        <v>0</v>
      </c>
      <c r="AE54" s="595" t="str" cm="1">
        <f t="array" aca="1" ref="AE54" ca="1">Ver_flag_visit</f>
        <v>🇮🇷</v>
      </c>
      <c r="AF54" s="32" t="str">
        <f ca="1">A55</f>
        <v>Irán</v>
      </c>
      <c r="AG54" s="323">
        <f t="shared" si="162"/>
        <v>1</v>
      </c>
      <c r="AH54" s="195">
        <v>39</v>
      </c>
      <c r="AI54" s="181" t="str">
        <f>AJ54&amp;$B$52</f>
        <v>1G</v>
      </c>
      <c r="AJ54" s="40">
        <v>1</v>
      </c>
      <c r="AK54" s="601" t="str" cm="1">
        <f t="array" aca="1" ref="AK54" ca="1">Ver_flag_visit</f>
        <v>🇧🇪</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75"/>
      <c r="X55" s="24">
        <f ca="1">Horarios!C55</f>
        <v>46195.125</v>
      </c>
      <c r="Y55" s="25">
        <f ca="1">Horarios!C55</f>
        <v>46195.125</v>
      </c>
      <c r="Z55" s="26" t="str">
        <f>$Z$6</f>
        <v>J2</v>
      </c>
      <c r="AA55" s="27" t="str">
        <f ca="1">A56</f>
        <v>Nueva Zelanda</v>
      </c>
      <c r="AB55" s="49" t="str" cm="1">
        <f t="array" aca="1" ref="AB55" ca="1">Ver_flag_local</f>
        <v>🇳🇿</v>
      </c>
      <c r="AC55" s="50">
        <v>1</v>
      </c>
      <c r="AD55" s="51">
        <v>3</v>
      </c>
      <c r="AE55" s="595" t="str" cm="1">
        <f t="array" aca="1" ref="AE55" ca="1">Ver_flag_visit</f>
        <v>🇪🇬</v>
      </c>
      <c r="AF55" s="32" t="str">
        <f ca="1">A54</f>
        <v>Egipto</v>
      </c>
      <c r="AG55" s="323">
        <f t="shared" si="162"/>
        <v>1</v>
      </c>
      <c r="AH55" s="195">
        <v>40</v>
      </c>
      <c r="AI55" s="181" t="str">
        <f t="shared" ref="AI55:AI57" si="166">AJ55&amp;$B$52</f>
        <v>2G</v>
      </c>
      <c r="AJ55" s="42">
        <v>2</v>
      </c>
      <c r="AK55" s="602" t="str" cm="1">
        <f t="array" aca="1" ref="AK55" ca="1">Ver_flag_visit</f>
        <v>🇪🇬</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75"/>
      <c r="X56" s="24">
        <f ca="1">Horarios!C56</f>
        <v>46200.208333333336</v>
      </c>
      <c r="Y56" s="25">
        <f ca="1">Horarios!C56</f>
        <v>46200.208333333336</v>
      </c>
      <c r="Z56" s="26" t="str">
        <f>$Z$8</f>
        <v>J3</v>
      </c>
      <c r="AA56" s="27" t="str">
        <f ca="1">A54</f>
        <v>Egipto</v>
      </c>
      <c r="AB56" s="49" t="str" cm="1">
        <f t="array" aca="1" ref="AB56" ca="1">Ver_flag_local</f>
        <v>🇪🇬</v>
      </c>
      <c r="AC56" s="50">
        <v>1</v>
      </c>
      <c r="AD56" s="51">
        <v>1</v>
      </c>
      <c r="AE56" s="595" t="str" cm="1">
        <f t="array" aca="1" ref="AE56" ca="1">Ver_flag_visit</f>
        <v>🇮🇷</v>
      </c>
      <c r="AF56" s="32" t="str">
        <f ca="1">A55</f>
        <v>Irán</v>
      </c>
      <c r="AG56" s="323">
        <f t="shared" si="162"/>
        <v>1</v>
      </c>
      <c r="AH56" s="195">
        <v>63</v>
      </c>
      <c r="AI56" s="181" t="str">
        <f t="shared" si="166"/>
        <v>3G</v>
      </c>
      <c r="AJ56" s="42">
        <v>3</v>
      </c>
      <c r="AK56" s="602" t="str" cm="1">
        <f t="array" aca="1" ref="AK56" ca="1">Ver_flag_visit</f>
        <v>🇮🇷</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76"/>
      <c r="X57" s="28">
        <f ca="1">Horarios!C57</f>
        <v>46200.208333333336</v>
      </c>
      <c r="Y57" s="29">
        <f ca="1">Horarios!C57</f>
        <v>46200.208333333336</v>
      </c>
      <c r="Z57" s="30" t="str">
        <f>$Z$8</f>
        <v>J3</v>
      </c>
      <c r="AA57" s="31" t="str">
        <f ca="1">A56</f>
        <v>Nueva Zelanda</v>
      </c>
      <c r="AB57" s="52" t="str" cm="1">
        <f t="array" aca="1" ref="AB57" ca="1">Ver_flag_local</f>
        <v>🇳🇿</v>
      </c>
      <c r="AC57" s="53">
        <v>1</v>
      </c>
      <c r="AD57" s="54">
        <v>5</v>
      </c>
      <c r="AE57" s="596" t="str" cm="1">
        <f t="array" aca="1" ref="AE57" ca="1">Ver_flag_visit</f>
        <v>🇧🇪</v>
      </c>
      <c r="AF57" s="33" t="str">
        <f ca="1">A53</f>
        <v>Bélgica</v>
      </c>
      <c r="AG57" s="323">
        <f t="shared" si="162"/>
        <v>1</v>
      </c>
      <c r="AH57" s="195">
        <v>64</v>
      </c>
      <c r="AI57" s="181" t="str">
        <f t="shared" si="166"/>
        <v>4G</v>
      </c>
      <c r="AJ57" s="44">
        <v>4</v>
      </c>
      <c r="AK57" s="604" t="str" cm="1">
        <f t="array" aca="1" ref="AK57" ca="1">Ver_flag_visit</f>
        <v>🇳🇿</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6" customHeight="1" thickBot="1" x14ac:dyDescent="0.25">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57" t="s">
        <v>447</v>
      </c>
      <c r="X60" s="24">
        <f ca="1">Horarios!C60</f>
        <v>46188.75</v>
      </c>
      <c r="Y60" s="25">
        <f ca="1">Horarios!C60</f>
        <v>46188.75</v>
      </c>
      <c r="Z60" s="26" t="str">
        <f>$Z$4</f>
        <v>J1</v>
      </c>
      <c r="AA60" s="27" t="str">
        <f ca="1">A61</f>
        <v>España</v>
      </c>
      <c r="AB60" s="49" t="str" cm="1">
        <f t="array" aca="1" ref="AB60" ca="1">Ver_flag_local</f>
        <v>🇪🇸</v>
      </c>
      <c r="AC60" s="50">
        <v>0</v>
      </c>
      <c r="AD60" s="51">
        <v>0</v>
      </c>
      <c r="AE60" s="595" t="str" cm="1">
        <f t="array" aca="1" ref="AE60" ca="1">Ver_flag_visit</f>
        <v>🇨🇻</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t="e" cm="1" vm="1">
        <f t="array" aca="1" ref="DN60" ca="1">OFFSET(Horarios!$P$3,DJ60-1,0,DL60,1)</f>
        <v>#VALUE!</v>
      </c>
      <c r="DO60" s="16"/>
      <c r="DP60" s="16">
        <v>3</v>
      </c>
      <c r="DQ60" s="16" t="str">
        <f t="shared" ca="1" si="198"/>
        <v>Ecuador</v>
      </c>
    </row>
    <row r="61" spans="1:121" ht="16" customHeight="1" x14ac:dyDescent="0.2">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57"/>
      <c r="X61" s="24">
        <f ca="1">Horarios!C61</f>
        <v>46189</v>
      </c>
      <c r="Y61" s="25">
        <f ca="1">Horarios!C61</f>
        <v>46189</v>
      </c>
      <c r="Z61" s="26" t="str">
        <f>$Z$4</f>
        <v>J1</v>
      </c>
      <c r="AA61" s="27" t="str">
        <f ca="1">A63</f>
        <v>Arabia Saudita</v>
      </c>
      <c r="AB61" s="49" t="str" cm="1">
        <f t="array" aca="1" ref="AB61" ca="1">Ver_flag_local</f>
        <v>🇸🇦</v>
      </c>
      <c r="AC61" s="50">
        <v>1</v>
      </c>
      <c r="AD61" s="51">
        <v>1</v>
      </c>
      <c r="AE61" s="595" t="str" cm="1">
        <f t="array" aca="1" ref="AE61" ca="1">Ver_flag_visit</f>
        <v>🇺🇾</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t="e" cm="1" vm="1">
        <f t="array" aca="1" ref="DN61" ca="1">OFFSET(Horarios!$P$3,DJ61-1,0,DL61,1)</f>
        <v>#VALUE!</v>
      </c>
      <c r="DO61" s="16"/>
      <c r="DP61" s="16">
        <v>4</v>
      </c>
      <c r="DQ61" s="16" t="str">
        <f t="shared" ca="1" si="198"/>
        <v>Ghana</v>
      </c>
    </row>
    <row r="62" spans="1:121" ht="16" customHeight="1" x14ac:dyDescent="0.2">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57"/>
      <c r="X62" s="24">
        <f ca="1">Horarios!C62</f>
        <v>46194.75</v>
      </c>
      <c r="Y62" s="25">
        <f ca="1">Horarios!C62</f>
        <v>46194.75</v>
      </c>
      <c r="Z62" s="26" t="str">
        <f>$Z$6</f>
        <v>J2</v>
      </c>
      <c r="AA62" s="27" t="str">
        <f ca="1">A61</f>
        <v>España</v>
      </c>
      <c r="AB62" s="49" t="str" cm="1">
        <f t="array" aca="1" ref="AB62" ca="1">Ver_flag_local</f>
        <v>🇪🇸</v>
      </c>
      <c r="AC62" s="50">
        <v>4</v>
      </c>
      <c r="AD62" s="51">
        <v>0</v>
      </c>
      <c r="AE62" s="595" t="str" cm="1">
        <f t="array" aca="1" ref="AE62" ca="1">Ver_flag_visit</f>
        <v>🇸🇦</v>
      </c>
      <c r="AF62" s="32" t="str">
        <f ca="1">A63</f>
        <v>Arabia Saudita</v>
      </c>
      <c r="AG62" s="323">
        <f t="shared" si="212"/>
        <v>1</v>
      </c>
      <c r="AH62" s="195">
        <v>38</v>
      </c>
      <c r="AI62" s="181" t="str">
        <f>AJ62&amp;$B$60</f>
        <v>1H</v>
      </c>
      <c r="AJ62" s="40">
        <v>1</v>
      </c>
      <c r="AK62" s="601" t="str" cm="1">
        <f t="array" aca="1" ref="AK62" ca="1">Ver_flag_visit</f>
        <v>🇪🇸</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6" customHeight="1" x14ac:dyDescent="0.2">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57"/>
      <c r="X63" s="24">
        <f ca="1">Horarios!C63</f>
        <v>46195</v>
      </c>
      <c r="Y63" s="25">
        <f ca="1">Horarios!C63</f>
        <v>46195</v>
      </c>
      <c r="Z63" s="26" t="str">
        <f>$Z$6</f>
        <v>J2</v>
      </c>
      <c r="AA63" s="27" t="str">
        <f ca="1">A64</f>
        <v>Uruguay</v>
      </c>
      <c r="AB63" s="49" t="str" cm="1">
        <f t="array" aca="1" ref="AB63" ca="1">Ver_flag_local</f>
        <v>🇺🇾</v>
      </c>
      <c r="AC63" s="50">
        <v>2</v>
      </c>
      <c r="AD63" s="51">
        <v>2</v>
      </c>
      <c r="AE63" s="595" t="str" cm="1">
        <f t="array" aca="1" ref="AE63" ca="1">Ver_flag_visit</f>
        <v>🇨🇻</v>
      </c>
      <c r="AF63" s="32" t="str">
        <f ca="1">A62</f>
        <v>Cabo Verde</v>
      </c>
      <c r="AG63" s="323">
        <f t="shared" si="212"/>
        <v>1</v>
      </c>
      <c r="AH63" s="195">
        <v>37</v>
      </c>
      <c r="AI63" s="181" t="str">
        <f t="shared" ref="AI63:AI65" si="216">AJ63&amp;$B$60</f>
        <v>2H</v>
      </c>
      <c r="AJ63" s="42">
        <v>2</v>
      </c>
      <c r="AK63" s="602" t="str" cm="1">
        <f t="array" aca="1" ref="AK63" ca="1">Ver_flag_visit</f>
        <v>🇨🇻</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6" customHeight="1" x14ac:dyDescent="0.2">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57"/>
      <c r="X64" s="24">
        <f ca="1">Horarios!C64</f>
        <v>46200.083333333336</v>
      </c>
      <c r="Y64" s="25">
        <f ca="1">Horarios!C64</f>
        <v>46200.083333333336</v>
      </c>
      <c r="Z64" s="26" t="str">
        <f>$Z$8</f>
        <v>J3</v>
      </c>
      <c r="AA64" s="27" t="str">
        <f ca="1">A62</f>
        <v>Cabo Verde</v>
      </c>
      <c r="AB64" s="49" t="str" cm="1">
        <f t="array" aca="1" ref="AB64" ca="1">Ver_flag_local</f>
        <v>🇨🇻</v>
      </c>
      <c r="AC64" s="50">
        <v>0</v>
      </c>
      <c r="AD64" s="51">
        <v>0</v>
      </c>
      <c r="AE64" s="595" t="str" cm="1">
        <f t="array" aca="1" ref="AE64" ca="1">Ver_flag_visit</f>
        <v>🇸🇦</v>
      </c>
      <c r="AF64" s="32" t="str">
        <f ca="1">A63</f>
        <v>Arabia Saudita</v>
      </c>
      <c r="AG64" s="323">
        <f t="shared" si="212"/>
        <v>1</v>
      </c>
      <c r="AH64" s="195">
        <v>65</v>
      </c>
      <c r="AI64" s="181" t="str">
        <f t="shared" si="216"/>
        <v>3H</v>
      </c>
      <c r="AJ64" s="42">
        <v>3</v>
      </c>
      <c r="AK64" s="602" t="str" cm="1">
        <f t="array" aca="1" ref="AK64" ca="1">Ver_flag_visit</f>
        <v>🇺🇾</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6" customHeight="1" thickBot="1" x14ac:dyDescent="0.25">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58"/>
      <c r="X65" s="28">
        <f ca="1">Horarios!C65</f>
        <v>46200.083333333336</v>
      </c>
      <c r="Y65" s="29">
        <f ca="1">Horarios!C65</f>
        <v>46200.083333333336</v>
      </c>
      <c r="Z65" s="30" t="str">
        <f>$Z$8</f>
        <v>J3</v>
      </c>
      <c r="AA65" s="31" t="str">
        <f ca="1">A64</f>
        <v>Uruguay</v>
      </c>
      <c r="AB65" s="52" t="str" cm="1">
        <f t="array" aca="1" ref="AB65" ca="1">Ver_flag_local</f>
        <v>🇺🇾</v>
      </c>
      <c r="AC65" s="53">
        <v>0</v>
      </c>
      <c r="AD65" s="54">
        <v>1</v>
      </c>
      <c r="AE65" s="596" t="str" cm="1">
        <f t="array" aca="1" ref="AE65" ca="1">Ver_flag_visit</f>
        <v>🇪🇸</v>
      </c>
      <c r="AF65" s="33" t="str">
        <f ca="1">A61</f>
        <v>España</v>
      </c>
      <c r="AG65" s="323">
        <f t="shared" si="212"/>
        <v>1</v>
      </c>
      <c r="AH65" s="195">
        <v>66</v>
      </c>
      <c r="AI65" s="181" t="str">
        <f t="shared" si="216"/>
        <v>4H</v>
      </c>
      <c r="AJ65" s="44">
        <v>4</v>
      </c>
      <c r="AK65" s="604" t="str" cm="1">
        <f t="array" aca="1" ref="AK65" ca="1">Ver_flag_visit</f>
        <v>🇸🇦</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6" customHeight="1" thickBot="1" x14ac:dyDescent="0.25">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63" t="s">
        <v>448</v>
      </c>
      <c r="X68" s="24">
        <f ca="1">Horarios!C68</f>
        <v>46189.875</v>
      </c>
      <c r="Y68" s="25">
        <f ca="1">Horarios!C68</f>
        <v>46189.875</v>
      </c>
      <c r="Z68" s="26" t="str">
        <f>$Z$4</f>
        <v>J1</v>
      </c>
      <c r="AA68" s="27" t="str">
        <f ca="1">A69</f>
        <v>Francia</v>
      </c>
      <c r="AB68" s="49" t="str" cm="1">
        <f t="array" aca="1" ref="AB68" ca="1">Ver_flag_local</f>
        <v>🇫🇷</v>
      </c>
      <c r="AC68" s="50">
        <v>3</v>
      </c>
      <c r="AD68" s="51">
        <v>1</v>
      </c>
      <c r="AE68" s="595" t="str" cm="1">
        <f t="array" aca="1" ref="AE68" ca="1">Ver_flag_visit</f>
        <v>🇸🇳</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6" customHeight="1" x14ac:dyDescent="0.2">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63"/>
      <c r="X69" s="24">
        <f ca="1">Horarios!C69</f>
        <v>46190</v>
      </c>
      <c r="Y69" s="25">
        <f ca="1">Horarios!C69</f>
        <v>46190</v>
      </c>
      <c r="Z69" s="26" t="str">
        <f>$Z$4</f>
        <v>J1</v>
      </c>
      <c r="AA69" s="27" t="str">
        <f ca="1">A71</f>
        <v>Irak</v>
      </c>
      <c r="AB69" s="49" t="str" cm="1">
        <f t="array" aca="1" ref="AB69" ca="1">Ver_flag_local</f>
        <v>🇮🇶</v>
      </c>
      <c r="AC69" s="50">
        <v>1</v>
      </c>
      <c r="AD69" s="51">
        <v>4</v>
      </c>
      <c r="AE69" s="595" t="str" cm="1">
        <f t="array" aca="1" ref="AE69" ca="1">Ver_flag_visit</f>
        <v>🇳🇴</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6" customHeight="1" x14ac:dyDescent="0.2">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63"/>
      <c r="X70" s="24">
        <f ca="1">Horarios!C70</f>
        <v>46195.958333333336</v>
      </c>
      <c r="Y70" s="25">
        <f ca="1">Horarios!C70</f>
        <v>46195.958333333336</v>
      </c>
      <c r="Z70" s="26" t="str">
        <f>$Z$6</f>
        <v>J2</v>
      </c>
      <c r="AA70" s="27" t="str">
        <f ca="1">A69</f>
        <v>Francia</v>
      </c>
      <c r="AB70" s="49" t="str" cm="1">
        <f t="array" aca="1" ref="AB70" ca="1">Ver_flag_local</f>
        <v>🇫🇷</v>
      </c>
      <c r="AC70" s="50">
        <v>3</v>
      </c>
      <c r="AD70" s="51">
        <v>0</v>
      </c>
      <c r="AE70" s="595" t="str" cm="1">
        <f t="array" aca="1" ref="AE70" ca="1">Ver_flag_visit</f>
        <v>🇮🇶</v>
      </c>
      <c r="AF70" s="32" t="str">
        <f ca="1">A71</f>
        <v>Irak</v>
      </c>
      <c r="AG70" s="323">
        <f t="shared" si="230"/>
        <v>1</v>
      </c>
      <c r="AH70" s="195">
        <v>42</v>
      </c>
      <c r="AI70" s="181" t="str">
        <f>AJ70&amp;$B$68</f>
        <v>1I</v>
      </c>
      <c r="AJ70" s="40">
        <v>1</v>
      </c>
      <c r="AK70" s="601" t="str" cm="1">
        <f t="array" aca="1" ref="AK70" ca="1">Ver_flag_visit</f>
        <v>🇫🇷</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63"/>
      <c r="X71" s="24">
        <f ca="1">Horarios!C71</f>
        <v>46196.083333333336</v>
      </c>
      <c r="Y71" s="25">
        <f ca="1">Horarios!C71</f>
        <v>46196.083333333336</v>
      </c>
      <c r="Z71" s="26" t="str">
        <f>$Z$6</f>
        <v>J2</v>
      </c>
      <c r="AA71" s="27" t="str">
        <f ca="1">A72</f>
        <v>Noruega</v>
      </c>
      <c r="AB71" s="49" t="str" cm="1">
        <f t="array" aca="1" ref="AB71" ca="1">Ver_flag_local</f>
        <v>🇳🇴</v>
      </c>
      <c r="AC71" s="50">
        <v>3</v>
      </c>
      <c r="AD71" s="51">
        <v>2</v>
      </c>
      <c r="AE71" s="595" t="str" cm="1">
        <f t="array" aca="1" ref="AE71" ca="1">Ver_flag_visit</f>
        <v>🇸🇳</v>
      </c>
      <c r="AF71" s="32" t="str">
        <f ca="1">A70</f>
        <v>Senegal</v>
      </c>
      <c r="AG71" s="323">
        <f t="shared" si="230"/>
        <v>1</v>
      </c>
      <c r="AH71" s="195">
        <v>41</v>
      </c>
      <c r="AI71" s="181" t="str">
        <f t="shared" ref="AI71:AI73" si="234">AJ71&amp;$B$68</f>
        <v>2I</v>
      </c>
      <c r="AJ71" s="42">
        <v>2</v>
      </c>
      <c r="AK71" s="602" t="str" cm="1">
        <f t="array" aca="1" ref="AK71" ca="1">Ver_flag_visit</f>
        <v>🇳🇴</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63"/>
      <c r="X72" s="24">
        <f ca="1">Horarios!C72</f>
        <v>46199.875</v>
      </c>
      <c r="Y72" s="25">
        <f ca="1">Horarios!C72</f>
        <v>46199.875</v>
      </c>
      <c r="Z72" s="26" t="str">
        <f>$Z$8</f>
        <v>J3</v>
      </c>
      <c r="AA72" s="27" t="str">
        <f ca="1">A72</f>
        <v>Noruega</v>
      </c>
      <c r="AB72" s="49" t="str" cm="1">
        <f t="array" aca="1" ref="AB72" ca="1">Ver_flag_local</f>
        <v>🇳🇴</v>
      </c>
      <c r="AC72" s="50">
        <v>1</v>
      </c>
      <c r="AD72" s="51">
        <v>4</v>
      </c>
      <c r="AE72" s="595" t="str" cm="1">
        <f t="array" aca="1" ref="AE72" ca="1">Ver_flag_visit</f>
        <v>🇫🇷</v>
      </c>
      <c r="AF72" s="32" t="str">
        <f ca="1">A69</f>
        <v>Francia</v>
      </c>
      <c r="AG72" s="323">
        <f t="shared" si="230"/>
        <v>1</v>
      </c>
      <c r="AH72" s="195">
        <v>61</v>
      </c>
      <c r="AI72" s="181" t="str">
        <f t="shared" si="234"/>
        <v>3I</v>
      </c>
      <c r="AJ72" s="42">
        <v>3</v>
      </c>
      <c r="AK72" s="602" t="str" cm="1">
        <f t="array" aca="1" ref="AK72" ca="1">Ver_flag_visit</f>
        <v>🇸🇳</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64"/>
      <c r="X73" s="28">
        <f ca="1">Horarios!C73</f>
        <v>46199.875</v>
      </c>
      <c r="Y73" s="29">
        <f ca="1">Horarios!C73</f>
        <v>46199.875</v>
      </c>
      <c r="Z73" s="30" t="str">
        <f>$Z$8</f>
        <v>J3</v>
      </c>
      <c r="AA73" s="31" t="str">
        <f ca="1">A70</f>
        <v>Senegal</v>
      </c>
      <c r="AB73" s="52" t="str" cm="1">
        <f t="array" aca="1" ref="AB73" ca="1">Ver_flag_local</f>
        <v>🇸🇳</v>
      </c>
      <c r="AC73" s="53">
        <v>5</v>
      </c>
      <c r="AD73" s="54">
        <v>0</v>
      </c>
      <c r="AE73" s="596" t="str" cm="1">
        <f t="array" aca="1" ref="AE73" ca="1">Ver_flag_visit</f>
        <v>🇮🇶</v>
      </c>
      <c r="AF73" s="33" t="str">
        <f ca="1">A71</f>
        <v>Irak</v>
      </c>
      <c r="AG73" s="323">
        <f t="shared" si="230"/>
        <v>1</v>
      </c>
      <c r="AH73" s="195">
        <v>62</v>
      </c>
      <c r="AI73" s="181" t="str">
        <f t="shared" si="234"/>
        <v>4I</v>
      </c>
      <c r="AJ73" s="44">
        <v>4</v>
      </c>
      <c r="AK73" s="604" t="str" cm="1">
        <f t="array" aca="1" ref="AK73" ca="1">Ver_flag_visit</f>
        <v>🇮🇶</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x14ac:dyDescent="0.25">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9" t="s">
        <v>5</v>
      </c>
      <c r="X76" s="24">
        <f ca="1">Horarios!C76</f>
        <v>46190.125</v>
      </c>
      <c r="Y76" s="25">
        <f ca="1">Horarios!C76</f>
        <v>46190.125</v>
      </c>
      <c r="Z76" s="26" t="str">
        <f>$Z$4</f>
        <v>J1</v>
      </c>
      <c r="AA76" s="27" t="str">
        <f ca="1">A77</f>
        <v>Argentina</v>
      </c>
      <c r="AB76" s="49" t="str" cm="1">
        <f t="array" aca="1" ref="AB76" ca="1">Ver_flag_local</f>
        <v>🇦🇷</v>
      </c>
      <c r="AC76" s="50">
        <v>3</v>
      </c>
      <c r="AD76" s="51">
        <v>0</v>
      </c>
      <c r="AE76" s="595" t="str" cm="1">
        <f t="array" aca="1" ref="AE76" ca="1">Ver_flag_visit</f>
        <v>🇩🇿</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x14ac:dyDescent="0.2">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9"/>
      <c r="X77" s="24">
        <f ca="1">Horarios!C77</f>
        <v>46190.25</v>
      </c>
      <c r="Y77" s="25">
        <f ca="1">Horarios!C77</f>
        <v>46190.25</v>
      </c>
      <c r="Z77" s="26" t="str">
        <f>$Z$4</f>
        <v>J1</v>
      </c>
      <c r="AA77" s="27" t="str">
        <f ca="1">A79</f>
        <v>Austria</v>
      </c>
      <c r="AB77" s="49" t="str" cm="1">
        <f t="array" aca="1" ref="AB77" ca="1">Ver_flag_local</f>
        <v>🇦🇹</v>
      </c>
      <c r="AC77" s="50">
        <v>3</v>
      </c>
      <c r="AD77" s="51">
        <v>1</v>
      </c>
      <c r="AE77" s="595" t="str" cm="1">
        <f t="array" aca="1" ref="AE77" ca="1">Ver_flag_visit</f>
        <v>🇯🇴</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9"/>
      <c r="X78" s="24">
        <f ca="1">Horarios!C78</f>
        <v>46195.791666666664</v>
      </c>
      <c r="Y78" s="25">
        <f ca="1">Horarios!C78</f>
        <v>46195.791666666664</v>
      </c>
      <c r="Z78" s="26" t="str">
        <f>$Z$6</f>
        <v>J2</v>
      </c>
      <c r="AA78" s="27" t="str">
        <f ca="1">A77</f>
        <v>Argentina</v>
      </c>
      <c r="AB78" s="49" t="str" cm="1">
        <f t="array" aca="1" ref="AB78" ca="1">Ver_flag_local</f>
        <v>🇦🇷</v>
      </c>
      <c r="AC78" s="50">
        <v>2</v>
      </c>
      <c r="AD78" s="51">
        <v>0</v>
      </c>
      <c r="AE78" s="595" t="str" cm="1">
        <f t="array" aca="1" ref="AE78" ca="1">Ver_flag_visit</f>
        <v>🇦🇹</v>
      </c>
      <c r="AF78" s="32" t="str">
        <f ca="1">A79</f>
        <v>Austria</v>
      </c>
      <c r="AG78" s="323">
        <f t="shared" si="248"/>
        <v>1</v>
      </c>
      <c r="AH78" s="195">
        <v>43</v>
      </c>
      <c r="AI78" s="181" t="str">
        <f>AJ78&amp;$B$76</f>
        <v>1J</v>
      </c>
      <c r="AJ78" s="40">
        <v>1</v>
      </c>
      <c r="AK78" s="601" t="str" cm="1">
        <f t="array" aca="1" ref="AK78" ca="1">Ver_flag_visit</f>
        <v>🇦🇷</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9"/>
      <c r="X79" s="24">
        <f ca="1">Horarios!C79</f>
        <v>46196.208333333336</v>
      </c>
      <c r="Y79" s="25">
        <f ca="1">Horarios!C79</f>
        <v>46196.208333333336</v>
      </c>
      <c r="Z79" s="26" t="str">
        <f>$Z$6</f>
        <v>J2</v>
      </c>
      <c r="AA79" s="27" t="str">
        <f ca="1">A80</f>
        <v>Jordania</v>
      </c>
      <c r="AB79" s="49" t="str" cm="1">
        <f t="array" aca="1" ref="AB79" ca="1">Ver_flag_local</f>
        <v>🇯🇴</v>
      </c>
      <c r="AC79" s="50">
        <v>1</v>
      </c>
      <c r="AD79" s="51">
        <v>2</v>
      </c>
      <c r="AE79" s="595" t="str" cm="1">
        <f t="array" aca="1" ref="AE79" ca="1">Ver_flag_visit</f>
        <v>🇩🇿</v>
      </c>
      <c r="AF79" s="32" t="str">
        <f ca="1">A78</f>
        <v>Argelia</v>
      </c>
      <c r="AG79" s="323">
        <f t="shared" si="248"/>
        <v>1</v>
      </c>
      <c r="AH79" s="195">
        <v>44</v>
      </c>
      <c r="AI79" s="181" t="str">
        <f t="shared" ref="AI79:AI81" si="252">AJ79&amp;$B$76</f>
        <v>2J</v>
      </c>
      <c r="AJ79" s="42">
        <v>2</v>
      </c>
      <c r="AK79" s="602" t="str" cm="1">
        <f t="array" aca="1" ref="AK79" ca="1">Ver_flag_visit</f>
        <v>🇦🇹</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9"/>
      <c r="X80" s="24">
        <f ca="1">Horarios!C80</f>
        <v>46201.166666666664</v>
      </c>
      <c r="Y80" s="25">
        <f ca="1">Horarios!C80</f>
        <v>46201.166666666664</v>
      </c>
      <c r="Z80" s="26" t="str">
        <f>$Z$8</f>
        <v>J3</v>
      </c>
      <c r="AA80" s="27" t="str">
        <f ca="1">A78</f>
        <v>Argelia</v>
      </c>
      <c r="AB80" s="49" t="str" cm="1">
        <f t="array" aca="1" ref="AB80" ca="1">Ver_flag_local</f>
        <v>🇩🇿</v>
      </c>
      <c r="AC80" s="50">
        <v>3</v>
      </c>
      <c r="AD80" s="51">
        <v>3</v>
      </c>
      <c r="AE80" s="595" t="str" cm="1">
        <f t="array" aca="1" ref="AE80" ca="1">Ver_flag_visit</f>
        <v>🇦🇹</v>
      </c>
      <c r="AF80" s="32" t="str">
        <f ca="1">A79</f>
        <v>Austria</v>
      </c>
      <c r="AG80" s="323">
        <f t="shared" si="248"/>
        <v>1</v>
      </c>
      <c r="AH80" s="195">
        <v>69</v>
      </c>
      <c r="AI80" s="181" t="str">
        <f t="shared" si="252"/>
        <v>3J</v>
      </c>
      <c r="AJ80" s="42">
        <v>3</v>
      </c>
      <c r="AK80" s="602" t="str" cm="1">
        <f t="array" aca="1" ref="AK80" ca="1">Ver_flag_visit</f>
        <v>🇩🇿</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x14ac:dyDescent="0.25">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0"/>
      <c r="X81" s="28">
        <f ca="1">Horarios!C81</f>
        <v>46201.166666666664</v>
      </c>
      <c r="Y81" s="29">
        <f ca="1">Horarios!C81</f>
        <v>46201.166666666664</v>
      </c>
      <c r="Z81" s="30" t="str">
        <f>$Z$8</f>
        <v>J3</v>
      </c>
      <c r="AA81" s="31" t="str">
        <f ca="1">A80</f>
        <v>Jordania</v>
      </c>
      <c r="AB81" s="52" t="str" cm="1">
        <f t="array" aca="1" ref="AB81" ca="1">Ver_flag_local</f>
        <v>🇯🇴</v>
      </c>
      <c r="AC81" s="53">
        <v>1</v>
      </c>
      <c r="AD81" s="54">
        <v>3</v>
      </c>
      <c r="AE81" s="596" t="str" cm="1">
        <f t="array" aca="1" ref="AE81" ca="1">Ver_flag_visit</f>
        <v>🇦🇷</v>
      </c>
      <c r="AF81" s="33" t="str">
        <f ca="1">A77</f>
        <v>Argentina</v>
      </c>
      <c r="AG81" s="323">
        <f t="shared" si="248"/>
        <v>1</v>
      </c>
      <c r="AH81" s="195">
        <v>70</v>
      </c>
      <c r="AI81" s="181" t="str">
        <f t="shared" si="252"/>
        <v>4J</v>
      </c>
      <c r="AJ81" s="44">
        <v>4</v>
      </c>
      <c r="AK81" s="604" t="str" cm="1">
        <f t="array" aca="1" ref="AK81" ca="1">Ver_flag_visit</f>
        <v>🇯🇴</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x14ac:dyDescent="0.25">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65" t="s">
        <v>449</v>
      </c>
      <c r="X84" s="24">
        <f ca="1">Horarios!C84</f>
        <v>46190.791666666664</v>
      </c>
      <c r="Y84" s="25">
        <f ca="1">Horarios!C84</f>
        <v>46190.791666666664</v>
      </c>
      <c r="Z84" s="26" t="str">
        <f>$Z$4</f>
        <v>J1</v>
      </c>
      <c r="AA84" s="27" t="str">
        <f ca="1">A85</f>
        <v>Portugal</v>
      </c>
      <c r="AB84" s="49" t="str" cm="1">
        <f t="array" aca="1" ref="AB84" ca="1">Ver_flag_local</f>
        <v>🇵🇹</v>
      </c>
      <c r="AC84" s="50">
        <v>1</v>
      </c>
      <c r="AD84" s="51">
        <v>1</v>
      </c>
      <c r="AE84" s="595" t="str" cm="1">
        <f t="array" aca="1" ref="AE84" ca="1">Ver_flag_visit</f>
        <v>🇨🇩</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x14ac:dyDescent="0.2">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65"/>
      <c r="X85" s="24">
        <f ca="1">Horarios!C85</f>
        <v>46191.166666666664</v>
      </c>
      <c r="Y85" s="25">
        <f ca="1">Horarios!C85</f>
        <v>46191.166666666664</v>
      </c>
      <c r="Z85" s="26" t="str">
        <f>$Z$4</f>
        <v>J1</v>
      </c>
      <c r="AA85" s="27" t="str">
        <f ca="1">A87</f>
        <v>Uzbekistán</v>
      </c>
      <c r="AB85" s="49" t="str" cm="1">
        <f t="array" aca="1" ref="AB85" ca="1">Ver_flag_local</f>
        <v>🇺🇿</v>
      </c>
      <c r="AC85" s="50">
        <v>1</v>
      </c>
      <c r="AD85" s="51">
        <v>3</v>
      </c>
      <c r="AE85" s="595" t="str" cm="1">
        <f t="array" aca="1" ref="AE85" ca="1">Ver_flag_visit</f>
        <v>🇨🇴</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65"/>
      <c r="X86" s="24">
        <f ca="1">Horarios!C86</f>
        <v>46196.791666666664</v>
      </c>
      <c r="Y86" s="25">
        <f ca="1">Horarios!C86</f>
        <v>46196.791666666664</v>
      </c>
      <c r="Z86" s="26" t="str">
        <f>$Z$6</f>
        <v>J2</v>
      </c>
      <c r="AA86" s="27" t="str">
        <f ca="1">A85</f>
        <v>Portugal</v>
      </c>
      <c r="AB86" s="49" t="str" cm="1">
        <f t="array" aca="1" ref="AB86" ca="1">Ver_flag_local</f>
        <v>🇵🇹</v>
      </c>
      <c r="AC86" s="50">
        <v>5</v>
      </c>
      <c r="AD86" s="51">
        <v>0</v>
      </c>
      <c r="AE86" s="595" t="str" cm="1">
        <f t="array" aca="1" ref="AE86" ca="1">Ver_flag_visit</f>
        <v>🇺🇿</v>
      </c>
      <c r="AF86" s="32" t="str">
        <f ca="1">A87</f>
        <v>Uzbekistán</v>
      </c>
      <c r="AG86" s="323">
        <f t="shared" si="266"/>
        <v>1</v>
      </c>
      <c r="AH86" s="195">
        <v>47</v>
      </c>
      <c r="AI86" s="181" t="str">
        <f>AJ86&amp;$B$84</f>
        <v>1K</v>
      </c>
      <c r="AJ86" s="40">
        <v>1</v>
      </c>
      <c r="AK86" s="601" t="str" cm="1">
        <f t="array" aca="1" ref="AK86" ca="1">Ver_flag_visit</f>
        <v>🇨🇴</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6" customHeight="1" x14ac:dyDescent="0.2">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65"/>
      <c r="X87" s="24">
        <f ca="1">Horarios!C87</f>
        <v>46197.166666666664</v>
      </c>
      <c r="Y87" s="25">
        <f ca="1">Horarios!C87</f>
        <v>46197.166666666664</v>
      </c>
      <c r="Z87" s="26" t="str">
        <f>$Z$6</f>
        <v>J2</v>
      </c>
      <c r="AA87" s="27" t="str">
        <f ca="1">A88</f>
        <v>Colombia</v>
      </c>
      <c r="AB87" s="49" t="str" cm="1">
        <f t="array" aca="1" ref="AB87" ca="1">Ver_flag_local</f>
        <v>🇨🇴</v>
      </c>
      <c r="AC87" s="50">
        <v>1</v>
      </c>
      <c r="AD87" s="51">
        <v>0</v>
      </c>
      <c r="AE87" s="595" t="str" cm="1">
        <f t="array" aca="1" ref="AE87" ca="1">Ver_flag_visit</f>
        <v>🇨🇩</v>
      </c>
      <c r="AF87" s="32" t="str">
        <f ca="1">A86</f>
        <v>RD Congo</v>
      </c>
      <c r="AG87" s="323">
        <f t="shared" si="266"/>
        <v>1</v>
      </c>
      <c r="AH87" s="195">
        <v>48</v>
      </c>
      <c r="AI87" s="181" t="str">
        <f t="shared" ref="AI87:AI89" si="270">AJ87&amp;$B$84</f>
        <v>2K</v>
      </c>
      <c r="AJ87" s="42">
        <v>2</v>
      </c>
      <c r="AK87" s="602" t="str" cm="1">
        <f t="array" aca="1" ref="AK87" ca="1">Ver_flag_visit</f>
        <v>🇵🇹</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6" customHeight="1" x14ac:dyDescent="0.2">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65"/>
      <c r="X88" s="24">
        <f ca="1">Horarios!C88</f>
        <v>46201.0625</v>
      </c>
      <c r="Y88" s="25">
        <f ca="1">Horarios!C88</f>
        <v>46201.0625</v>
      </c>
      <c r="Z88" s="26" t="str">
        <f>$Z$8</f>
        <v>J3</v>
      </c>
      <c r="AA88" s="27" t="str">
        <f ca="1">A88</f>
        <v>Colombia</v>
      </c>
      <c r="AB88" s="49" t="str" cm="1">
        <f t="array" aca="1" ref="AB88" ca="1">Ver_flag_local</f>
        <v>🇨🇴</v>
      </c>
      <c r="AC88" s="50">
        <v>0</v>
      </c>
      <c r="AD88" s="51">
        <v>0</v>
      </c>
      <c r="AE88" s="595" t="str" cm="1">
        <f t="array" aca="1" ref="AE88" ca="1">Ver_flag_visit</f>
        <v>🇵🇹</v>
      </c>
      <c r="AF88" s="32" t="str">
        <f ca="1">A85</f>
        <v>Portugal</v>
      </c>
      <c r="AG88" s="323">
        <f t="shared" si="266"/>
        <v>1</v>
      </c>
      <c r="AH88" s="195">
        <v>71</v>
      </c>
      <c r="AI88" s="181" t="str">
        <f t="shared" si="270"/>
        <v>3K</v>
      </c>
      <c r="AJ88" s="42">
        <v>3</v>
      </c>
      <c r="AK88" s="602" t="str" cm="1">
        <f t="array" aca="1" ref="AK88" ca="1">Ver_flag_visit</f>
        <v>🇨🇩</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66"/>
      <c r="X89" s="28">
        <f ca="1">Horarios!C89</f>
        <v>46201.0625</v>
      </c>
      <c r="Y89" s="29">
        <f ca="1">Horarios!C89</f>
        <v>46201.0625</v>
      </c>
      <c r="Z89" s="30" t="str">
        <f>$Z$8</f>
        <v>J3</v>
      </c>
      <c r="AA89" s="31" t="str">
        <f ca="1">A86</f>
        <v>RD Congo</v>
      </c>
      <c r="AB89" s="52" t="str" cm="1">
        <f t="array" aca="1" ref="AB89" ca="1">Ver_flag_local</f>
        <v>🇨🇩</v>
      </c>
      <c r="AC89" s="53">
        <v>3</v>
      </c>
      <c r="AD89" s="54">
        <v>1</v>
      </c>
      <c r="AE89" s="596" t="str" cm="1">
        <f t="array" aca="1" ref="AE89" ca="1">Ver_flag_visit</f>
        <v>🇺🇿</v>
      </c>
      <c r="AF89" s="33" t="str">
        <f ca="1">A87</f>
        <v>Uzbekistán</v>
      </c>
      <c r="AG89" s="323">
        <f t="shared" si="266"/>
        <v>1</v>
      </c>
      <c r="AH89" s="195">
        <v>72</v>
      </c>
      <c r="AI89" s="181" t="str">
        <f t="shared" si="270"/>
        <v>4K</v>
      </c>
      <c r="AJ89" s="44">
        <v>4</v>
      </c>
      <c r="AK89" s="604" t="str" cm="1">
        <f t="array" aca="1" ref="AK89" ca="1">Ver_flag_visit</f>
        <v>🇺🇿</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x14ac:dyDescent="0.25">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1" t="s">
        <v>247</v>
      </c>
      <c r="X92" s="24">
        <f ca="1">Horarios!C92</f>
        <v>46190.916666666664</v>
      </c>
      <c r="Y92" s="25">
        <f ca="1">Horarios!C92</f>
        <v>46190.916666666664</v>
      </c>
      <c r="Z92" s="26" t="str">
        <f>$Z$4</f>
        <v>J1</v>
      </c>
      <c r="AA92" s="27" t="str">
        <f ca="1">A93</f>
        <v>Inglaterra</v>
      </c>
      <c r="AB92" s="49" t="str" cm="1">
        <f t="array" aca="1" ref="AB92" ca="1">Ver_flag_local</f>
        <v>🏴󠁧󠁢󠁥󠁮󠁧󠁿</v>
      </c>
      <c r="AC92" s="50">
        <v>4</v>
      </c>
      <c r="AD92" s="51">
        <v>2</v>
      </c>
      <c r="AE92" s="595" t="str" cm="1">
        <f t="array" aca="1" ref="AE92" ca="1">Ver_flag_visit</f>
        <v>🇭🇷</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x14ac:dyDescent="0.2">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1"/>
      <c r="X93" s="24">
        <f ca="1">Horarios!C93</f>
        <v>46191.041666666664</v>
      </c>
      <c r="Y93" s="25">
        <f ca="1">Horarios!C93</f>
        <v>46191.041666666664</v>
      </c>
      <c r="Z93" s="26" t="str">
        <f>$Z$4</f>
        <v>J1</v>
      </c>
      <c r="AA93" s="27" t="str">
        <f ca="1">A95</f>
        <v>Ghana</v>
      </c>
      <c r="AB93" s="49" t="str" cm="1">
        <f t="array" aca="1" ref="AB93" ca="1">Ver_flag_local</f>
        <v>🇬🇭</v>
      </c>
      <c r="AC93" s="50">
        <v>1</v>
      </c>
      <c r="AD93" s="51">
        <v>0</v>
      </c>
      <c r="AE93" s="595" t="str" cm="1">
        <f t="array" aca="1" ref="AE93" ca="1">Ver_flag_visit</f>
        <v>🇵🇦</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1"/>
      <c r="X94" s="24">
        <f ca="1">Horarios!C94</f>
        <v>46196.916666666664</v>
      </c>
      <c r="Y94" s="25">
        <f ca="1">Horarios!C94</f>
        <v>46196.916666666664</v>
      </c>
      <c r="Z94" s="26" t="str">
        <f>$Z$6</f>
        <v>J2</v>
      </c>
      <c r="AA94" s="27" t="str">
        <f ca="1">A93</f>
        <v>Inglaterra</v>
      </c>
      <c r="AB94" s="49" t="str" cm="1">
        <f t="array" aca="1" ref="AB94" ca="1">Ver_flag_local</f>
        <v>🏴󠁧󠁢󠁥󠁮󠁧󠁿</v>
      </c>
      <c r="AC94" s="50">
        <v>0</v>
      </c>
      <c r="AD94" s="51">
        <v>0</v>
      </c>
      <c r="AE94" s="595" t="str" cm="1">
        <f t="array" aca="1" ref="AE94" ca="1">Ver_flag_visit</f>
        <v>🇬🇭</v>
      </c>
      <c r="AF94" s="32" t="str">
        <f ca="1">A95</f>
        <v>Ghana</v>
      </c>
      <c r="AG94" s="323">
        <f t="shared" si="284"/>
        <v>1</v>
      </c>
      <c r="AH94" s="195">
        <v>45</v>
      </c>
      <c r="AI94" s="181" t="str">
        <f>AJ94&amp;$B$92</f>
        <v>1L</v>
      </c>
      <c r="AJ94" s="40">
        <v>1</v>
      </c>
      <c r="AK94" s="601" t="str" cm="1">
        <f t="array" aca="1" ref="AK94" ca="1">Ver_flag_visit</f>
        <v>🏴󠁧󠁢󠁥󠁮󠁧󠁿</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1"/>
      <c r="X95" s="24">
        <f ca="1">Horarios!C95</f>
        <v>46197.041666666664</v>
      </c>
      <c r="Y95" s="25">
        <f ca="1">Horarios!C95</f>
        <v>46197.041666666664</v>
      </c>
      <c r="Z95" s="26" t="str">
        <f>$Z$6</f>
        <v>J2</v>
      </c>
      <c r="AA95" s="27" t="str">
        <f ca="1">A96</f>
        <v>Panamá</v>
      </c>
      <c r="AB95" s="49" t="str" cm="1">
        <f t="array" aca="1" ref="AB95" ca="1">Ver_flag_local</f>
        <v>🇵🇦</v>
      </c>
      <c r="AC95" s="50">
        <v>1</v>
      </c>
      <c r="AD95" s="51">
        <v>2</v>
      </c>
      <c r="AE95" s="595" t="str" cm="1">
        <f t="array" aca="1" ref="AE95" ca="1">Ver_flag_visit</f>
        <v>🇭🇷</v>
      </c>
      <c r="AF95" s="32" t="str">
        <f ca="1">A94</f>
        <v>Croacia</v>
      </c>
      <c r="AG95" s="323">
        <f t="shared" si="284"/>
        <v>1</v>
      </c>
      <c r="AH95" s="195">
        <v>46</v>
      </c>
      <c r="AI95" s="181" t="str">
        <f t="shared" ref="AI95:AI97" si="288">AJ95&amp;$B$92</f>
        <v>2L</v>
      </c>
      <c r="AJ95" s="42">
        <v>2</v>
      </c>
      <c r="AK95" s="602" t="str" cm="1">
        <f t="array" aca="1" ref="AK95" ca="1">Ver_flag_visit</f>
        <v>🇭🇷</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6</v>
      </c>
      <c r="AS95" s="39">
        <f t="shared" ca="1" si="287"/>
        <v>6</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1"/>
      <c r="X96" s="24">
        <f ca="1">Horarios!C96</f>
        <v>46200.958333333336</v>
      </c>
      <c r="Y96" s="25">
        <f ca="1">Horarios!C96</f>
        <v>46200.958333333336</v>
      </c>
      <c r="Z96" s="26" t="str">
        <f>$Z$8</f>
        <v>J3</v>
      </c>
      <c r="AA96" s="27" t="str">
        <f ca="1">A96</f>
        <v>Panamá</v>
      </c>
      <c r="AB96" s="49" t="str" cm="1">
        <f t="array" aca="1" ref="AB96" ca="1">Ver_flag_local</f>
        <v>🇵🇦</v>
      </c>
      <c r="AC96" s="50">
        <v>0</v>
      </c>
      <c r="AD96" s="51">
        <v>2</v>
      </c>
      <c r="AE96" s="595" t="str" cm="1">
        <f t="array" aca="1" ref="AE96" ca="1">Ver_flag_visit</f>
        <v>🏴󠁧󠁢󠁥󠁮󠁧󠁿</v>
      </c>
      <c r="AF96" s="32" t="str">
        <f ca="1">A93</f>
        <v>Inglaterra</v>
      </c>
      <c r="AG96" s="323">
        <f t="shared" si="284"/>
        <v>1</v>
      </c>
      <c r="AH96" s="195">
        <v>67</v>
      </c>
      <c r="AI96" s="181" t="str">
        <f t="shared" si="288"/>
        <v>3L</v>
      </c>
      <c r="AJ96" s="42">
        <v>3</v>
      </c>
      <c r="AK96" s="602" t="str" cm="1">
        <f t="array" aca="1" ref="AK96" ca="1">Ver_flag_visit</f>
        <v>🇬🇭</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62"/>
      <c r="X97" s="28">
        <f ca="1">Horarios!C97</f>
        <v>46200.958333333336</v>
      </c>
      <c r="Y97" s="29">
        <f ca="1">Horarios!C97</f>
        <v>46200.958333333336</v>
      </c>
      <c r="Z97" s="30" t="str">
        <f>$Z$8</f>
        <v>J3</v>
      </c>
      <c r="AA97" s="31" t="str">
        <f ca="1">A94</f>
        <v>Croacia</v>
      </c>
      <c r="AB97" s="52" t="str" cm="1">
        <f t="array" aca="1" ref="AB97" ca="1">Ver_flag_local</f>
        <v>🇭🇷</v>
      </c>
      <c r="AC97" s="53">
        <v>2</v>
      </c>
      <c r="AD97" s="54">
        <v>1</v>
      </c>
      <c r="AE97" s="596" t="str" cm="1">
        <f t="array" aca="1" ref="AE97" ca="1">Ver_flag_visit</f>
        <v>🇬🇭</v>
      </c>
      <c r="AF97" s="33" t="str">
        <f ca="1">A95</f>
        <v>Ghana</v>
      </c>
      <c r="AG97" s="323">
        <f t="shared" si="284"/>
        <v>1</v>
      </c>
      <c r="AH97" s="195">
        <v>68</v>
      </c>
      <c r="AI97" s="181" t="str">
        <f t="shared" si="288"/>
        <v>4L</v>
      </c>
      <c r="AJ97" s="44">
        <v>4</v>
      </c>
      <c r="AK97" s="604" t="str" cm="1">
        <f t="array" aca="1" ref="AK97" ca="1">Ver_flag_visit</f>
        <v>🇵🇦</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5</v>
      </c>
      <c r="AT97" s="48">
        <f t="shared" ca="1" si="287"/>
        <v>-4</v>
      </c>
      <c r="AU97" s="330">
        <f ca="1">INDEX($DL$6:$DL$53,MATCH(AI97,$DP$6:$DP$53,0))</f>
        <v>1</v>
      </c>
      <c r="AV97" s="182" t="str">
        <f ca="1">INDEX($BD$6:$BD$53,MATCH(AI97,$BM$6:$BM$53,0))</f>
        <v>Panamá</v>
      </c>
      <c r="AW97" s="210"/>
      <c r="AX97" s="171"/>
      <c r="AY97" s="205" t="str">
        <f ca="1">+A96</f>
        <v>Panamá</v>
      </c>
      <c r="AZ97" s="206"/>
      <c r="BA97" s="176"/>
    </row>
    <row r="98" spans="1:62" ht="16"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6" thickBot="1" x14ac:dyDescent="0.25">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x14ac:dyDescent="0.2">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x14ac:dyDescent="0.25">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67" t="s">
        <v>493</v>
      </c>
      <c r="X101" s="24">
        <f ca="1">Horarios!C101</f>
        <v>46201.875</v>
      </c>
      <c r="Y101" s="25">
        <f ca="1">Horarios!C101</f>
        <v>46201.875</v>
      </c>
      <c r="Z101" s="280">
        <f>AH101</f>
        <v>73</v>
      </c>
      <c r="AA101" s="88" t="str">
        <f t="shared" ref="AA101:AA116" ca="1" si="292">+INDEX($M$101:$M$147,MATCH(AH101,$J$101:$J$147,0))</f>
        <v>Sudáfrica</v>
      </c>
      <c r="AB101" s="89"/>
      <c r="AC101" s="51">
        <v>1</v>
      </c>
      <c r="AD101" s="51">
        <v>3</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6" customHeight="1" x14ac:dyDescent="0.2">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67"/>
      <c r="X102" s="24">
        <f ca="1">Horarios!C102</f>
        <v>46202.791666666664</v>
      </c>
      <c r="Y102" s="25">
        <f ca="1">Horarios!C102</f>
        <v>46202.791666666664</v>
      </c>
      <c r="Z102" s="280">
        <f t="shared" ref="Z102:Z116" si="296">AH102</f>
        <v>76</v>
      </c>
      <c r="AA102" s="88" t="str">
        <f t="shared" ca="1" si="292"/>
        <v>Brasil</v>
      </c>
      <c r="AB102" s="89"/>
      <c r="AC102" s="92">
        <v>2</v>
      </c>
      <c r="AD102" s="92">
        <v>1</v>
      </c>
      <c r="AE102" s="89"/>
      <c r="AF102" s="91" t="str">
        <f t="shared" ca="1" si="293"/>
        <v>Japón</v>
      </c>
      <c r="AG102" s="327">
        <f t="shared" ca="1" si="294"/>
        <v>1</v>
      </c>
      <c r="AH102" s="195">
        <v>76</v>
      </c>
      <c r="AI102" s="182">
        <v>1</v>
      </c>
      <c r="AJ102" s="80">
        <v>1</v>
      </c>
      <c r="AK102" s="605" t="str" cm="1">
        <f t="array" aca="1" ref="AK102" ca="1">Ver_flag_visit</f>
        <v>🇨🇩</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6" customHeight="1" x14ac:dyDescent="0.2">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67"/>
      <c r="X103" s="24">
        <f ca="1">Horarios!C103</f>
        <v>46202.9375</v>
      </c>
      <c r="Y103" s="25">
        <f ca="1">Horarios!C103</f>
        <v>46202.9375</v>
      </c>
      <c r="Z103" s="280">
        <f t="shared" si="296"/>
        <v>74</v>
      </c>
      <c r="AA103" s="88" t="str">
        <f t="shared" ca="1" si="292"/>
        <v>Alemania</v>
      </c>
      <c r="AB103" s="89"/>
      <c r="AC103" s="92">
        <v>3</v>
      </c>
      <c r="AD103" s="92">
        <v>0</v>
      </c>
      <c r="AE103" s="89"/>
      <c r="AF103" s="91" t="str">
        <f t="shared" ca="1" si="293"/>
        <v>Paraguay</v>
      </c>
      <c r="AG103" s="327">
        <f t="shared" ca="1" si="294"/>
        <v>1</v>
      </c>
      <c r="AH103" s="195">
        <v>74</v>
      </c>
      <c r="AI103" s="182">
        <v>2</v>
      </c>
      <c r="AJ103" s="42">
        <v>2</v>
      </c>
      <c r="AK103" s="602" t="str" cm="1">
        <f t="array" aca="1" ref="AK103" ca="1">Ver_flag_visit</f>
        <v>🇸🇪</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6" customHeight="1" x14ac:dyDescent="0.2">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67"/>
      <c r="X104" s="24">
        <f ca="1">Horarios!C104</f>
        <v>46203.125</v>
      </c>
      <c r="Y104" s="25">
        <f ca="1">Horarios!C104</f>
        <v>46203.125</v>
      </c>
      <c r="Z104" s="280">
        <f t="shared" si="296"/>
        <v>75</v>
      </c>
      <c r="AA104" s="88" t="str">
        <f t="shared" ca="1" si="292"/>
        <v>Países Bajos</v>
      </c>
      <c r="AB104" s="89"/>
      <c r="AC104" s="92">
        <v>0</v>
      </c>
      <c r="AD104" s="92">
        <v>1</v>
      </c>
      <c r="AE104" s="89"/>
      <c r="AF104" s="91" t="str">
        <f t="shared" ca="1" si="293"/>
        <v>Marruecos</v>
      </c>
      <c r="AG104" s="327">
        <f t="shared" ca="1" si="294"/>
        <v>1</v>
      </c>
      <c r="AH104" s="195">
        <v>75</v>
      </c>
      <c r="AI104" s="182">
        <v>3</v>
      </c>
      <c r="AJ104" s="42">
        <v>3</v>
      </c>
      <c r="AK104" s="602" t="str" cm="1">
        <f t="array" aca="1" ref="AK104" ca="1">Ver_flag_visit</f>
        <v>🇪🇨</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c r="AX104" s="170"/>
      <c r="AY104" s="276"/>
      <c r="AZ104" s="279" t="str">
        <f t="shared" ca="1" si="303"/>
        <v>1B - 3J</v>
      </c>
      <c r="BA104" s="176"/>
      <c r="BF104" t="str">
        <f t="shared" ca="1" si="304"/>
        <v>F</v>
      </c>
      <c r="BG104">
        <f t="shared" ca="1" si="305"/>
        <v>4</v>
      </c>
      <c r="BI104">
        <v>2</v>
      </c>
      <c r="BJ104" t="str">
        <f t="shared" ca="1" si="306"/>
        <v>D</v>
      </c>
    </row>
    <row r="105" spans="1:62" ht="16" customHeight="1" x14ac:dyDescent="0.2">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67"/>
      <c r="X105" s="24">
        <f ca="1">Horarios!C105</f>
        <v>46203.791666666664</v>
      </c>
      <c r="Y105" s="25">
        <f ca="1">Horarios!C105</f>
        <v>46203.791666666664</v>
      </c>
      <c r="Z105" s="280">
        <f t="shared" si="296"/>
        <v>78</v>
      </c>
      <c r="AA105" s="88" t="str">
        <f t="shared" ca="1" si="292"/>
        <v>Costa de Marfil</v>
      </c>
      <c r="AB105" s="89"/>
      <c r="AC105" s="92">
        <v>0</v>
      </c>
      <c r="AD105" s="92">
        <v>1</v>
      </c>
      <c r="AE105" s="89"/>
      <c r="AF105" s="91" t="str">
        <f t="shared" ca="1" si="293"/>
        <v>Noruega</v>
      </c>
      <c r="AG105" s="327">
        <f t="shared" ca="1" si="294"/>
        <v>1</v>
      </c>
      <c r="AH105" s="195">
        <v>78</v>
      </c>
      <c r="AI105" s="182">
        <v>4</v>
      </c>
      <c r="AJ105" s="42">
        <v>4</v>
      </c>
      <c r="AK105" s="602" t="str" cm="1">
        <f t="array" aca="1" ref="AK105" ca="1">Ver_flag_visit</f>
        <v>🇬🇭</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c r="AX105" s="170"/>
      <c r="AY105" s="276"/>
      <c r="AZ105" s="279" t="str">
        <f t="shared" ca="1" si="303"/>
        <v>1D - 3B</v>
      </c>
      <c r="BA105" s="176"/>
      <c r="BF105" t="str">
        <f t="shared" ca="1" si="304"/>
        <v>E</v>
      </c>
      <c r="BG105">
        <f t="shared" ca="1" si="305"/>
        <v>3</v>
      </c>
      <c r="BI105">
        <v>3</v>
      </c>
      <c r="BJ105" t="str">
        <f t="shared" ca="1" si="306"/>
        <v>E</v>
      </c>
    </row>
    <row r="106" spans="1:62" ht="16" customHeight="1" x14ac:dyDescent="0.2">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67"/>
      <c r="X106" s="24">
        <f ca="1">Horarios!C106</f>
        <v>46203.958333333336</v>
      </c>
      <c r="Y106" s="25">
        <f ca="1">Horarios!C106</f>
        <v>46203.958333333336</v>
      </c>
      <c r="Z106" s="280">
        <f t="shared" si="296"/>
        <v>77</v>
      </c>
      <c r="AA106" s="88" t="str">
        <f t="shared" ca="1" si="292"/>
        <v>Francia</v>
      </c>
      <c r="AB106" s="89"/>
      <c r="AC106" s="92">
        <v>3</v>
      </c>
      <c r="AD106" s="92">
        <v>1</v>
      </c>
      <c r="AE106" s="89"/>
      <c r="AF106" s="91" t="str">
        <f t="shared" ca="1" si="293"/>
        <v>Suecia</v>
      </c>
      <c r="AG106" s="327">
        <f t="shared" ca="1" si="294"/>
        <v>1</v>
      </c>
      <c r="AH106" s="195">
        <v>77</v>
      </c>
      <c r="AI106" s="182">
        <v>5</v>
      </c>
      <c r="AJ106" s="42">
        <v>5</v>
      </c>
      <c r="AK106" s="602" t="str" cm="1">
        <f t="array" aca="1" ref="AK106" ca="1">Ver_flag_visit</f>
        <v>🇧🇦</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6" customHeight="1" x14ac:dyDescent="0.2">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67"/>
      <c r="X107" s="24">
        <f ca="1">Horarios!C107</f>
        <v>46204.125</v>
      </c>
      <c r="Y107" s="25">
        <f ca="1">Horarios!C107</f>
        <v>46204.125</v>
      </c>
      <c r="Z107" s="280">
        <f t="shared" si="296"/>
        <v>79</v>
      </c>
      <c r="AA107" s="88" t="str">
        <f t="shared" ca="1" si="292"/>
        <v>México</v>
      </c>
      <c r="AB107" s="89"/>
      <c r="AC107" s="92">
        <v>2</v>
      </c>
      <c r="AD107" s="92">
        <v>1</v>
      </c>
      <c r="AE107" s="89"/>
      <c r="AF107" s="91" t="str">
        <f t="shared" ca="1" si="293"/>
        <v>Ecuador</v>
      </c>
      <c r="AG107" s="327">
        <f t="shared" ca="1" si="294"/>
        <v>1</v>
      </c>
      <c r="AH107" s="195">
        <v>79</v>
      </c>
      <c r="AI107" s="182">
        <v>6</v>
      </c>
      <c r="AJ107" s="42">
        <v>6</v>
      </c>
      <c r="AK107" s="602" t="str" cm="1">
        <f t="array" aca="1" ref="AK107" ca="1">Ver_flag_visit</f>
        <v>🇩🇿</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6" customHeight="1" x14ac:dyDescent="0.2">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67"/>
      <c r="X108" s="24">
        <f ca="1">Horarios!C108</f>
        <v>46204.75</v>
      </c>
      <c r="Y108" s="25">
        <f ca="1">Horarios!C108</f>
        <v>46204.75</v>
      </c>
      <c r="Z108" s="280">
        <f t="shared" si="296"/>
        <v>80</v>
      </c>
      <c r="AA108" s="88" t="str">
        <f t="shared" ca="1" si="292"/>
        <v>Inglaterra</v>
      </c>
      <c r="AB108" s="89"/>
      <c r="AC108" s="92">
        <v>2</v>
      </c>
      <c r="AD108" s="92">
        <v>0</v>
      </c>
      <c r="AE108" s="89"/>
      <c r="AF108" s="91" t="str">
        <f t="shared" ca="1" si="293"/>
        <v>RD Congo</v>
      </c>
      <c r="AG108" s="327">
        <f t="shared" ca="1" si="294"/>
        <v>1</v>
      </c>
      <c r="AH108" s="195">
        <v>80</v>
      </c>
      <c r="AI108" s="182">
        <v>7</v>
      </c>
      <c r="AJ108" s="42">
        <v>7</v>
      </c>
      <c r="AK108" s="602" t="str" cm="1">
        <f t="array" aca="1" ref="AK108" ca="1">Ver_flag_visit</f>
        <v>🇵🇾</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6" customHeight="1" x14ac:dyDescent="0.2">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67"/>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Senegal</v>
      </c>
      <c r="AG109" s="327">
        <f t="shared" ca="1" si="294"/>
        <v>1</v>
      </c>
      <c r="AH109" s="195">
        <v>82</v>
      </c>
      <c r="AI109" s="182">
        <v>8</v>
      </c>
      <c r="AJ109" s="42">
        <v>8</v>
      </c>
      <c r="AK109" s="602" t="str" cm="1">
        <f t="array" aca="1" ref="AK109" ca="1">Ver_flag_visit</f>
        <v>🇸🇳</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6" customHeight="1" x14ac:dyDescent="0.2">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67"/>
      <c r="X110" s="24">
        <f ca="1">Horarios!C110</f>
        <v>46205.083333333336</v>
      </c>
      <c r="Y110" s="25">
        <f ca="1">Horarios!C110</f>
        <v>46205.083333333336</v>
      </c>
      <c r="Z110" s="280">
        <f t="shared" si="296"/>
        <v>81</v>
      </c>
      <c r="AA110" s="88" t="str">
        <f t="shared" ca="1" si="292"/>
        <v>Estados Unidos</v>
      </c>
      <c r="AB110" s="89"/>
      <c r="AC110" s="92">
        <v>2</v>
      </c>
      <c r="AD110" s="92">
        <v>1</v>
      </c>
      <c r="AE110" s="89"/>
      <c r="AF110" s="91" t="str">
        <f t="shared" ca="1" si="293"/>
        <v>Bosnia y Herzegovina</v>
      </c>
      <c r="AG110" s="327">
        <f t="shared" ca="1" si="294"/>
        <v>1</v>
      </c>
      <c r="AH110" s="195">
        <v>81</v>
      </c>
      <c r="AI110" s="182">
        <v>9</v>
      </c>
      <c r="AJ110" s="42">
        <v>9</v>
      </c>
      <c r="AK110" s="602" t="str" cm="1">
        <f t="array" aca="1" ref="AK110" ca="1">Ver_flag_visit</f>
        <v>🇮🇷</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6" customHeight="1" x14ac:dyDescent="0.2">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67"/>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str" cm="1">
        <f t="array" aca="1" ref="AK111" ca="1">Ver_flag_visit</f>
        <v>🇰🇷</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6" customHeight="1" x14ac:dyDescent="0.2">
      <c r="A112" s="16" t="s">
        <v>681</v>
      </c>
      <c r="B112" s="16" t="s">
        <v>688</v>
      </c>
      <c r="C112" s="16"/>
      <c r="D112" s="16" t="str">
        <f t="shared" ca="1" si="289"/>
        <v>Portugal</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67"/>
      <c r="X112" s="24">
        <f ca="1">Horarios!C112</f>
        <v>46206.041666666664</v>
      </c>
      <c r="Y112" s="25">
        <f ca="1">Horarios!C112</f>
        <v>46206.041666666664</v>
      </c>
      <c r="Z112" s="280">
        <f t="shared" si="296"/>
        <v>83</v>
      </c>
      <c r="AA112" s="88" t="str">
        <f t="shared" ca="1" si="292"/>
        <v>Portugal</v>
      </c>
      <c r="AB112" s="89">
        <v>4</v>
      </c>
      <c r="AC112" s="92">
        <v>1</v>
      </c>
      <c r="AD112" s="92">
        <v>1</v>
      </c>
      <c r="AE112" s="89">
        <v>3</v>
      </c>
      <c r="AF112" s="91" t="str">
        <f t="shared" ca="1" si="293"/>
        <v>Croacia</v>
      </c>
      <c r="AG112" s="327">
        <f t="shared" ca="1" si="294"/>
        <v>1</v>
      </c>
      <c r="AH112" s="195">
        <v>83</v>
      </c>
      <c r="AI112" s="182">
        <v>11</v>
      </c>
      <c r="AJ112" s="42">
        <v>11</v>
      </c>
      <c r="AK112" s="602" t="str" cm="1">
        <f t="array" aca="1" ref="AK112" ca="1">Ver_flag_visit</f>
        <v>🏴󠁧󠁢󠁳󠁣󠁴󠁿</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6" customHeight="1" thickBot="1" x14ac:dyDescent="0.25">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67"/>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Argelia</v>
      </c>
      <c r="AG113" s="327">
        <f t="shared" ca="1" si="294"/>
        <v>1</v>
      </c>
      <c r="AH113" s="195">
        <v>85</v>
      </c>
      <c r="AI113" s="182">
        <v>12</v>
      </c>
      <c r="AJ113" s="44">
        <v>12</v>
      </c>
      <c r="AK113" s="604" t="str" cm="1">
        <f t="array" aca="1" ref="AK113" ca="1">Ver_flag_visit</f>
        <v>🇺🇾</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6" customHeight="1" x14ac:dyDescent="0.2">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67"/>
      <c r="X114" s="24">
        <f ca="1">Horarios!C114</f>
        <v>46206.833333333336</v>
      </c>
      <c r="Y114" s="25">
        <f ca="1">Horarios!C114</f>
        <v>46206.833333333336</v>
      </c>
      <c r="Z114" s="280">
        <f t="shared" si="296"/>
        <v>88</v>
      </c>
      <c r="AA114" s="88" t="str">
        <f t="shared" ca="1" si="292"/>
        <v>Australia</v>
      </c>
      <c r="AB114" s="89">
        <v>3</v>
      </c>
      <c r="AC114" s="92">
        <v>2</v>
      </c>
      <c r="AD114" s="92">
        <v>2</v>
      </c>
      <c r="AE114" s="89">
        <v>4</v>
      </c>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67"/>
      <c r="X115" s="24">
        <f ca="1">Horarios!C115</f>
        <v>46207</v>
      </c>
      <c r="Y115" s="25">
        <f ca="1">Horarios!C115</f>
        <v>46207</v>
      </c>
      <c r="Z115" s="280">
        <f t="shared" si="296"/>
        <v>86</v>
      </c>
      <c r="AA115" s="88" t="str">
        <f t="shared" ca="1" si="292"/>
        <v>Argentina</v>
      </c>
      <c r="AB115" s="89"/>
      <c r="AC115" s="92">
        <v>2</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68"/>
      <c r="X116" s="28">
        <f ca="1">Horarios!C116</f>
        <v>46207.145833333336</v>
      </c>
      <c r="Y116" s="29">
        <f ca="1">Horarios!C116</f>
        <v>46207.145833333336</v>
      </c>
      <c r="Z116" s="281">
        <f t="shared" si="296"/>
        <v>87</v>
      </c>
      <c r="AA116" s="93" t="str">
        <f t="shared" ca="1" si="292"/>
        <v>Colombia</v>
      </c>
      <c r="AB116" s="94"/>
      <c r="AC116" s="277">
        <v>2</v>
      </c>
      <c r="AD116" s="277">
        <v>1</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 customHeight="1" x14ac:dyDescent="0.2">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9"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1</v>
      </c>
      <c r="AD120" s="96">
        <v>2</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x14ac:dyDescent="0.2">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Marruecos</v>
      </c>
      <c r="O121" s="16"/>
      <c r="P121" s="16"/>
      <c r="Q121" s="16"/>
      <c r="R121" s="16"/>
      <c r="S121" s="16"/>
      <c r="T121" s="16"/>
      <c r="U121" s="16"/>
      <c r="V121" s="17"/>
      <c r="W121" s="669"/>
      <c r="X121" s="24">
        <f ca="1">Horarios!C121</f>
        <v>46207.958333333336</v>
      </c>
      <c r="Y121" s="25">
        <f ca="1">Horarios!C121</f>
        <v>46207.958333333336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6" customHeight="1" x14ac:dyDescent="0.2">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9"/>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x14ac:dyDescent="0.2">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9"/>
      <c r="X123" s="24">
        <f ca="1">Horarios!C123</f>
        <v>46209.083333333336</v>
      </c>
      <c r="Y123" s="25">
        <f ca="1">Horarios!C123</f>
        <v>46209.083333333336</v>
      </c>
      <c r="Z123" s="280">
        <f t="shared" si="319"/>
        <v>92</v>
      </c>
      <c r="AA123" s="88" t="str">
        <f t="shared" ca="1" si="320"/>
        <v>México</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x14ac:dyDescent="0.2">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Portugal</v>
      </c>
      <c r="N124" s="16" t="str">
        <f t="shared" ca="1" si="318"/>
        <v>España</v>
      </c>
      <c r="O124" s="16"/>
      <c r="P124" s="16"/>
      <c r="Q124" s="16"/>
      <c r="R124" s="16"/>
      <c r="S124" s="16"/>
      <c r="T124" s="16"/>
      <c r="U124" s="16"/>
      <c r="V124" s="17"/>
      <c r="W124" s="669"/>
      <c r="X124" s="24">
        <f ca="1">Horarios!C124</f>
        <v>46209.875</v>
      </c>
      <c r="Y124" s="25">
        <f ca="1">Horarios!C124</f>
        <v>46209.875</v>
      </c>
      <c r="Z124" s="280">
        <f t="shared" si="319"/>
        <v>93</v>
      </c>
      <c r="AA124" s="88" t="str">
        <f t="shared" ca="1" si="320"/>
        <v>Portugal</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 customHeight="1" x14ac:dyDescent="0.2">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9"/>
      <c r="X125" s="24">
        <f ca="1">Horarios!C125</f>
        <v>46210.083333333336</v>
      </c>
      <c r="Y125" s="25">
        <f ca="1">Horarios!C125</f>
        <v>46210.083333333336</v>
      </c>
      <c r="Z125" s="280">
        <f t="shared" si="319"/>
        <v>94</v>
      </c>
      <c r="AA125" s="88" t="str">
        <f t="shared" ca="1" si="320"/>
        <v>Estados Unidos</v>
      </c>
      <c r="AB125" s="89"/>
      <c r="AC125" s="99">
        <v>2</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x14ac:dyDescent="0.2">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69"/>
      <c r="X126" s="24">
        <f ca="1">Horarios!C126</f>
        <v>46210.75</v>
      </c>
      <c r="Y126" s="25">
        <f ca="1">Horarios!C126</f>
        <v>46210.75</v>
      </c>
      <c r="Z126" s="280">
        <f t="shared" si="319"/>
        <v>95</v>
      </c>
      <c r="AA126" s="88" t="str">
        <f t="shared" ca="1" si="320"/>
        <v>Argentina</v>
      </c>
      <c r="AB126" s="89"/>
      <c r="AC126" s="99">
        <v>2</v>
      </c>
      <c r="AD126" s="99">
        <v>0</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x14ac:dyDescent="0.25">
      <c r="A127" s="16" t="s">
        <v>755</v>
      </c>
      <c r="B127" s="16" t="s">
        <v>756</v>
      </c>
      <c r="C127" s="16"/>
      <c r="D127" s="16" t="str">
        <f t="shared" ca="1" si="317"/>
        <v>Colombia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70"/>
      <c r="X127" s="28">
        <f ca="1">Horarios!C127</f>
        <v>46210.916666666664</v>
      </c>
      <c r="Y127" s="29">
        <f ca="1">Horarios!C127</f>
        <v>46210.916666666664</v>
      </c>
      <c r="Z127" s="281">
        <f t="shared" si="319"/>
        <v>96</v>
      </c>
      <c r="AA127" s="93" t="str">
        <f t="shared" ca="1" si="320"/>
        <v>Suiza</v>
      </c>
      <c r="AB127" s="94"/>
      <c r="AC127" s="100">
        <v>0</v>
      </c>
      <c r="AD127" s="100">
        <v>1</v>
      </c>
      <c r="AE127" s="94"/>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x14ac:dyDescent="0.2">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71"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3</v>
      </c>
      <c r="AD131" s="96">
        <v>1</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x14ac:dyDescent="0.2">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Estados Unidos</v>
      </c>
      <c r="O132" s="16"/>
      <c r="P132" s="16"/>
      <c r="Q132" s="16"/>
      <c r="R132" s="16"/>
      <c r="S132" s="16"/>
      <c r="T132" s="16"/>
      <c r="U132" s="16"/>
      <c r="V132" s="17"/>
      <c r="W132" s="671"/>
      <c r="X132" s="24">
        <f ca="1">Horarios!C132</f>
        <v>46213.875</v>
      </c>
      <c r="Y132" s="25">
        <f ca="1">Horarios!C132</f>
        <v>46213.875</v>
      </c>
      <c r="Z132" s="282">
        <f t="shared" si="324"/>
        <v>98</v>
      </c>
      <c r="AA132" s="88" t="str">
        <f t="shared" ca="1" si="325"/>
        <v>España</v>
      </c>
      <c r="AB132" s="89"/>
      <c r="AC132" s="99">
        <v>2</v>
      </c>
      <c r="AD132" s="99">
        <v>0</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x14ac:dyDescent="0.2">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71"/>
      <c r="X133" s="24">
        <f ca="1">Horarios!C133</f>
        <v>46214.958333333336</v>
      </c>
      <c r="Y133" s="25">
        <f ca="1">Horarios!C133</f>
        <v>46214.958333333336</v>
      </c>
      <c r="Z133" s="282">
        <f t="shared" si="324"/>
        <v>99</v>
      </c>
      <c r="AA133" s="88" t="str">
        <f t="shared" ca="1" si="325"/>
        <v>Brasil</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x14ac:dyDescent="0.25">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Colombia</v>
      </c>
      <c r="O134" s="16"/>
      <c r="P134" s="16"/>
      <c r="Q134" s="16"/>
      <c r="R134" s="16"/>
      <c r="S134" s="16"/>
      <c r="T134" s="16"/>
      <c r="U134" s="16"/>
      <c r="V134" s="17"/>
      <c r="W134" s="672"/>
      <c r="X134" s="28">
        <f ca="1">Horarios!C134</f>
        <v>46215.125</v>
      </c>
      <c r="Y134" s="29">
        <f ca="1">Horarios!C134</f>
        <v>46215.125</v>
      </c>
      <c r="Z134" s="283">
        <f t="shared" si="324"/>
        <v>100</v>
      </c>
      <c r="AA134" s="93" t="str">
        <f t="shared" ca="1" si="325"/>
        <v>Argentina</v>
      </c>
      <c r="AB134" s="94"/>
      <c r="AC134" s="100">
        <v>2</v>
      </c>
      <c r="AD134" s="100">
        <v>1</v>
      </c>
      <c r="AE134" s="94"/>
      <c r="AF134" s="117" t="str">
        <f ca="1">+INDEX($N$101:$N$147,MATCH(AH134,$J$101:$J$147,0))</f>
        <v>Colombia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x14ac:dyDescent="0.25">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x14ac:dyDescent="0.2">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x14ac:dyDescent="0.2">
      <c r="A138" s="16" t="s">
        <v>765</v>
      </c>
      <c r="B138" s="16" t="s">
        <v>766</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73" t="s">
        <v>37</v>
      </c>
      <c r="X138" s="24">
        <f ca="1">Horarios!C138</f>
        <v>46217.875</v>
      </c>
      <c r="Y138" s="25">
        <f ca="1">Horarios!C138</f>
        <v>46217.875</v>
      </c>
      <c r="Z138" s="282">
        <f t="shared" ref="Z138:Z139" si="326">AH138</f>
        <v>101</v>
      </c>
      <c r="AA138" s="88" t="str">
        <f t="shared" ref="AA138:AA139" ca="1" si="327">+INDEX($M$101:$M$147,MATCH(AH138,$J$101:$J$147,0))</f>
        <v>Francia</v>
      </c>
      <c r="AB138" s="89"/>
      <c r="AC138" s="101">
        <v>2</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x14ac:dyDescent="0.25">
      <c r="A139" s="16" t="s">
        <v>767</v>
      </c>
      <c r="B139" s="16" t="s">
        <v>768</v>
      </c>
      <c r="C139" s="16"/>
      <c r="D139" s="16" t="str">
        <f ca="1">IF(AND(OR(AC139="",AD139="")),"W"&amp;AH139,IF(AC139&gt;AD139,AA139,IF(AC139&lt;AD139,AF139,IF(AND(AC139=AD139,AB139=AE139),"W"&amp;AH139,IF(AND(AC139=AD139,OR(AB139="",AE139="")),"W"&amp;AH139,IF(AND(AC139=AD139,AB139&gt;AE139),AA139,AF139))))))</f>
        <v>Inglaterra</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725</v>
      </c>
      <c r="M139" s="16" t="str">
        <f ca="1">+INDEX($D$101:$D$147,MATCH(E139,$AH$101:$AH$147,0))</f>
        <v>Inglaterra</v>
      </c>
      <c r="N139" s="16" t="str">
        <f ca="1">+INDEX($D$101:$D$147,MATCH(F139,$AH$101:$AH$147,0))</f>
        <v>Argentina</v>
      </c>
      <c r="O139" s="16"/>
      <c r="P139" s="16"/>
      <c r="Q139" s="16"/>
      <c r="R139" s="16"/>
      <c r="S139" s="16"/>
      <c r="T139" s="16"/>
      <c r="U139" s="16"/>
      <c r="V139" s="17"/>
      <c r="W139" s="674"/>
      <c r="X139" s="123">
        <f ca="1">Horarios!C139</f>
        <v>46218.875</v>
      </c>
      <c r="Y139" s="124">
        <f ca="1">Horarios!C139</f>
        <v>46218.875</v>
      </c>
      <c r="Z139" s="284">
        <f t="shared" si="326"/>
        <v>102</v>
      </c>
      <c r="AA139" s="139" t="str">
        <f t="shared" ca="1" si="327"/>
        <v>Inglaterra</v>
      </c>
      <c r="AB139" s="140"/>
      <c r="AC139" s="100">
        <v>2</v>
      </c>
      <c r="AD139" s="100">
        <v>1</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x14ac:dyDescent="0.25">
      <c r="A143" s="16" t="s">
        <v>769</v>
      </c>
      <c r="B143" s="16" t="s">
        <v>770</v>
      </c>
      <c r="C143" s="16"/>
      <c r="D143" s="16" t="str">
        <f ca="1">IF(AND(OR(AC143="",AD143="")),"W"&amp;AH143,IF(AC143&gt;AD143,AA143,IF(AC143&lt;AD143,AF143,IF(AND(AC143=AD143,AB143=AE143),"W"&amp;AH143,IF(AND(AC143=AD143,OR(AB143="",AE143="")),"W"&amp;AH143,IF(AND(AC143=AD143,AB143&gt;AE143),AA143,AF143))))))</f>
        <v>España</v>
      </c>
      <c r="E143" s="16">
        <v>101</v>
      </c>
      <c r="F143" s="16">
        <v>102</v>
      </c>
      <c r="G143" s="16"/>
      <c r="H143" s="16"/>
      <c r="I143" s="16"/>
      <c r="J143" s="16">
        <v>103</v>
      </c>
      <c r="K143" s="16">
        <v>46221.875</v>
      </c>
      <c r="L143" s="16" t="s">
        <v>726</v>
      </c>
      <c r="M143" s="16" t="str">
        <f ca="1">+INDEX($D$101:$D$147,MATCH(E143,$AH$101:$AH$147,0))</f>
        <v>Francia</v>
      </c>
      <c r="N143" s="16" t="str">
        <f ca="1">+INDEX($D$101:$D$147,MATCH(F143,$AH$101:$AH$147,0))</f>
        <v>Inglaterra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c r="AC143" s="105">
        <v>2</v>
      </c>
      <c r="AD143" s="105">
        <v>1</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x14ac:dyDescent="0.25">
      <c r="A147" s="16" t="s">
        <v>771</v>
      </c>
      <c r="B147" s="16" t="s">
        <v>772</v>
      </c>
      <c r="C147" s="16"/>
      <c r="D147" s="16" t="str">
        <f ca="1">IF(AND(OR(AC147="",AD147="")),"W"&amp;AH147,IF(AC147&gt;AD147,AA147,IF(AC147&lt;AD147,AF147,IF(AND(AC147=AD147,AB147=AE147),"W"&amp;AH147,IF(AND(AC147=AD147,OR(AB147="",AE147="")),"W"&amp;AH147,IF(AND(AC147=AD147,AB147&gt;AE147),AA147,AF147))))))</f>
        <v>Francia</v>
      </c>
      <c r="E147" s="16">
        <v>101</v>
      </c>
      <c r="F147" s="16">
        <v>102</v>
      </c>
      <c r="G147" s="16"/>
      <c r="H147" s="16" t="str">
        <f ca="1">IF(AND(OR(AC147="",AD147="")),"LF",IF(AC147&gt;AD147,AF147,IF(AC147&lt;AD147,AA147,IF(AND(AC147=AD147,AB147=AE147),"LF",IF(AND(AC147=AD147,OR(AB147="",AE147="")),"LF",IF(AND(AC147=AD147,AB147&gt;AE147),AF147,AA147))))))</f>
        <v>Inglaterra</v>
      </c>
      <c r="I147" s="16"/>
      <c r="J147" s="16">
        <v>104</v>
      </c>
      <c r="K147" s="16">
        <v>46222.875</v>
      </c>
      <c r="L147" s="16" t="s">
        <v>727</v>
      </c>
      <c r="M147" s="16" t="str">
        <f ca="1">+INDEX($D$101:$D$147,MATCH(E147,$AH$101:$AH$147,0))</f>
        <v>Francia</v>
      </c>
      <c r="N147" s="16" t="str">
        <f ca="1">+INDEX($D$101:$D$147,MATCH(F147,$AH$101:$AH$147,0))</f>
        <v>Inglaterra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Francia</v>
      </c>
      <c r="AB147" s="216"/>
      <c r="AC147" s="105">
        <v>2</v>
      </c>
      <c r="AD147" s="105">
        <v>0</v>
      </c>
      <c r="AE147" s="216"/>
      <c r="AF147" s="106" t="str">
        <f ca="1">IF(AND(OR(AC139="",AD139="")),"W"&amp;AH139,IF(AC139&gt;AD139,AA139,IF(AC139&lt;AD139,AF139,IF(AND(AC139=AD139,AB139=AE139),"W"&amp;AH139,IF(AND(AC139=AD139,OR(AB139="",AE139="")),"W"&amp;AH139,IF(AND(AC139=AD139,AB139&gt;AE139),AA139,AF139))))))</f>
        <v>Inglaterra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Francia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Inglaterra</v>
      </c>
      <c r="AB151" s="111"/>
      <c r="AC151" s="111"/>
      <c r="AD151" s="111"/>
      <c r="AE151" s="111"/>
      <c r="AF151" s="107"/>
      <c r="AG151" s="327">
        <f ca="1">IF(AA151="LF",0,1)</f>
        <v>1</v>
      </c>
      <c r="AH151" s="184"/>
      <c r="AI151" s="184"/>
      <c r="AJ151" s="635" t="str">
        <f ca="1">IF(SUM(COUNTIF(AG4:AG97,0),COUNTIF(AG101:AG160,0)&gt;0),AL148,AL149)</f>
        <v>PORRA COMPLETA:</v>
      </c>
      <c r="AK151" s="636"/>
      <c r="AL151" s="636"/>
      <c r="AM151" s="636"/>
      <c r="AN151" s="636"/>
      <c r="AO151" s="636"/>
      <c r="AP151" s="636"/>
      <c r="AQ151" s="636"/>
      <c r="AR151" s="636"/>
      <c r="AS151" s="636"/>
      <c r="AT151" s="636"/>
      <c r="AU151" s="637"/>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España</v>
      </c>
      <c r="AB152" s="110"/>
      <c r="AC152" s="110"/>
      <c r="AD152" s="110"/>
      <c r="AE152" s="110"/>
      <c r="AF152" s="103"/>
      <c r="AG152" s="327">
        <f ca="1">IF(AA152="W34",0,1)</f>
        <v>1</v>
      </c>
      <c r="AH152" s="184"/>
      <c r="AI152" s="184"/>
      <c r="AJ152" s="638"/>
      <c r="AK152" s="639"/>
      <c r="AL152" s="639"/>
      <c r="AM152" s="639"/>
      <c r="AN152" s="639"/>
      <c r="AO152" s="639"/>
      <c r="AP152" s="639"/>
      <c r="AQ152" s="639"/>
      <c r="AR152" s="639"/>
      <c r="AS152" s="639"/>
      <c r="AT152" s="639"/>
      <c r="AU152" s="640"/>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38"/>
      <c r="AK153" s="639"/>
      <c r="AL153" s="639"/>
      <c r="AM153" s="639"/>
      <c r="AN153" s="639"/>
      <c r="AO153" s="639"/>
      <c r="AP153" s="639"/>
      <c r="AQ153" s="639"/>
      <c r="AR153" s="639"/>
      <c r="AS153" s="639"/>
      <c r="AT153" s="639"/>
      <c r="AU153" s="640"/>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38"/>
      <c r="AK154" s="639"/>
      <c r="AL154" s="639"/>
      <c r="AM154" s="639"/>
      <c r="AN154" s="639"/>
      <c r="AO154" s="639"/>
      <c r="AP154" s="639"/>
      <c r="AQ154" s="639"/>
      <c r="AR154" s="639"/>
      <c r="AS154" s="639"/>
      <c r="AT154" s="639"/>
      <c r="AU154" s="640"/>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1517</v>
      </c>
      <c r="AB155" s="400"/>
      <c r="AC155" s="400"/>
      <c r="AD155" s="400"/>
      <c r="AE155" s="400"/>
      <c r="AF155" s="401"/>
      <c r="AG155" s="327">
        <f>IF(AA155=$AH$154,0,IF(AA155="",0,1))</f>
        <v>1</v>
      </c>
      <c r="AH155" s="184"/>
      <c r="AI155" s="184"/>
      <c r="AJ155" s="649" t="str">
        <f ca="1">IF(SUM(COUNTIF(AG4:AG97,0),COUNTIF(AG101:AG160,0)&gt;0),AM148,AM149)</f>
        <v>Guarda el archivo y envialo al administrador de tu porra</v>
      </c>
      <c r="AK155" s="650"/>
      <c r="AL155" s="650"/>
      <c r="AM155" s="650"/>
      <c r="AN155" s="650"/>
      <c r="AO155" s="650"/>
      <c r="AP155" s="650"/>
      <c r="AQ155" s="650"/>
      <c r="AR155" s="650"/>
      <c r="AS155" s="650"/>
      <c r="AT155" s="650"/>
      <c r="AU155" s="651"/>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1517</v>
      </c>
      <c r="AB156" s="402"/>
      <c r="AC156" s="402"/>
      <c r="AD156" s="402"/>
      <c r="AE156" s="402"/>
      <c r="AF156" s="403"/>
      <c r="AG156" s="327">
        <f>IF(AA156=$AH$154,0,IF(AA156="",0,1))</f>
        <v>1</v>
      </c>
      <c r="AH156" s="184"/>
      <c r="AI156" s="184"/>
      <c r="AJ156" s="649"/>
      <c r="AK156" s="650"/>
      <c r="AL156" s="650"/>
      <c r="AM156" s="650"/>
      <c r="AN156" s="650"/>
      <c r="AO156" s="650"/>
      <c r="AP156" s="650"/>
      <c r="AQ156" s="650"/>
      <c r="AR156" s="650"/>
      <c r="AS156" s="650"/>
      <c r="AT156" s="650"/>
      <c r="AU156" s="651"/>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52"/>
      <c r="AK157" s="653"/>
      <c r="AL157" s="653"/>
      <c r="AM157" s="653"/>
      <c r="AN157" s="653"/>
      <c r="AO157" s="653"/>
      <c r="AP157" s="653"/>
      <c r="AQ157" s="653"/>
      <c r="AR157" s="653"/>
      <c r="AS157" s="653"/>
      <c r="AT157" s="653"/>
      <c r="AU157" s="654"/>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1517</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1517</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47" t="str">
        <f>+Idiomas!D12</f>
        <v>Donar</v>
      </c>
      <c r="AP162" s="648"/>
      <c r="AQ162" s="145"/>
      <c r="AR162" s="145"/>
      <c r="AS162" s="145"/>
      <c r="AT162" s="145"/>
      <c r="AU162" s="332"/>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x14ac:dyDescent="0.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369" customWidth="1"/>
    <col min="5" max="8" width="10.83203125" style="369" customWidth="1"/>
    <col min="9" max="9" width="3.1640625" style="369" customWidth="1"/>
    <col min="10" max="12" width="10.83203125" style="369" customWidth="1"/>
    <col min="13" max="13" width="3.6640625" style="369" customWidth="1"/>
    <col min="14" max="14" width="4.6640625" style="369" customWidth="1"/>
    <col min="15" max="15" width="4" customWidth="1"/>
    <col min="16" max="16" width="4.83203125" customWidth="1"/>
    <col min="17" max="16384" width="10.83203125" style="1" hidden="1"/>
  </cols>
  <sheetData>
    <row r="1" spans="1:14" ht="20" customHeight="1" x14ac:dyDescent="0.25">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 customHeight="1" thickBot="1" x14ac:dyDescent="0.3">
      <c r="A2" s="290"/>
      <c r="B2" s="291"/>
      <c r="C2" s="291"/>
      <c r="D2" s="368"/>
      <c r="E2" s="698"/>
      <c r="F2" s="698"/>
      <c r="G2" s="698"/>
      <c r="H2" s="698"/>
      <c r="I2" s="698"/>
      <c r="J2" s="698"/>
      <c r="K2" s="698"/>
      <c r="L2" s="698"/>
      <c r="M2" s="698"/>
      <c r="N2" s="698"/>
    </row>
    <row r="3" spans="1:14" ht="35" customHeight="1" thickBot="1" x14ac:dyDescent="0.3">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x14ac:dyDescent="0.25">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9" customHeight="1" x14ac:dyDescent="0.2">
      <c r="A5" s="353"/>
      <c r="B5" s="354" t="str">
        <f>Idiomas!D125</f>
        <v>FASE DE GRUPOS</v>
      </c>
      <c r="C5" s="346" t="str">
        <f>Home!C10</f>
        <v>Larry</v>
      </c>
      <c r="E5" s="689" t="str">
        <f>Idiomas!D109</f>
        <v>·Si haceis jornada a jornada seguir las instrucciones de cada jornada</v>
      </c>
      <c r="F5" s="689"/>
      <c r="G5" s="689"/>
      <c r="H5" s="689"/>
      <c r="I5" s="689"/>
      <c r="J5" s="378"/>
      <c r="K5" s="378"/>
      <c r="L5" s="378"/>
      <c r="M5" s="379"/>
      <c r="N5" s="377"/>
    </row>
    <row r="6" spans="1:14" ht="15" customHeight="1" x14ac:dyDescent="0.2">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x14ac:dyDescent="0.2">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3"/>
      <c r="E7" s="685"/>
      <c r="F7" s="685"/>
      <c r="G7" s="685"/>
      <c r="H7" s="685"/>
      <c r="I7" s="381"/>
      <c r="J7" s="370"/>
      <c r="K7" s="370"/>
      <c r="L7" s="370"/>
      <c r="M7" s="379"/>
      <c r="N7" s="377"/>
    </row>
    <row r="8" spans="1:14" ht="15" customHeight="1" x14ac:dyDescent="0.2">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3"/>
      <c r="E8" s="685"/>
      <c r="F8" s="685"/>
      <c r="G8" s="685"/>
      <c r="H8" s="685"/>
      <c r="I8" s="381"/>
      <c r="J8" s="370"/>
      <c r="K8" s="370"/>
      <c r="L8" s="370"/>
      <c r="M8" s="379"/>
      <c r="N8" s="377"/>
    </row>
    <row r="9" spans="1:14" ht="15" customHeight="1" x14ac:dyDescent="0.2">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3"/>
      <c r="E9" s="685"/>
      <c r="F9" s="685"/>
      <c r="G9" s="685"/>
      <c r="H9" s="685"/>
      <c r="I9" s="381"/>
      <c r="J9" s="370"/>
      <c r="K9" s="370"/>
      <c r="L9" s="370"/>
      <c r="M9" s="379"/>
      <c r="N9" s="377"/>
    </row>
    <row r="10" spans="1:14" ht="15" customHeight="1" x14ac:dyDescent="0.2">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3"/>
      <c r="E10" s="370"/>
      <c r="F10" s="370"/>
      <c r="G10" s="370"/>
      <c r="H10" s="370"/>
      <c r="I10" s="381"/>
      <c r="J10" s="370"/>
      <c r="K10" s="370"/>
      <c r="L10" s="370"/>
      <c r="M10" s="379"/>
      <c r="N10" s="377"/>
    </row>
    <row r="11" spans="1:14" ht="15" customHeight="1" x14ac:dyDescent="0.2">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3"/>
      <c r="E11" s="370"/>
      <c r="F11" s="370"/>
      <c r="G11" s="370"/>
      <c r="H11" s="370"/>
      <c r="I11" s="381"/>
      <c r="J11" s="370"/>
      <c r="K11" s="370"/>
      <c r="L11" s="370"/>
      <c r="M11" s="379"/>
      <c r="N11" s="377"/>
    </row>
    <row r="12" spans="1:14" ht="15" customHeight="1" x14ac:dyDescent="0.2">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3"/>
      <c r="E12" s="370"/>
      <c r="F12" s="370"/>
      <c r="G12" s="370"/>
      <c r="H12" s="370"/>
      <c r="I12" s="381"/>
      <c r="J12" s="370"/>
      <c r="K12" s="370"/>
      <c r="L12" s="370"/>
      <c r="M12" s="379"/>
      <c r="N12" s="377"/>
    </row>
    <row r="13" spans="1:14" ht="15" customHeight="1" x14ac:dyDescent="0.2">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3"/>
      <c r="E13" s="370"/>
      <c r="F13" s="370"/>
      <c r="G13" s="370"/>
      <c r="H13" s="370"/>
      <c r="I13" s="381"/>
      <c r="J13" s="370"/>
      <c r="K13" s="370"/>
      <c r="L13" s="370"/>
      <c r="M13" s="379"/>
      <c r="N13" s="377"/>
    </row>
    <row r="14" spans="1:14" ht="15" customHeight="1" x14ac:dyDescent="0.2">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3"/>
      <c r="E14" s="370"/>
      <c r="F14" s="370"/>
      <c r="G14" s="370"/>
      <c r="H14" s="370"/>
      <c r="I14" s="381"/>
      <c r="J14" s="370"/>
      <c r="K14" s="370"/>
      <c r="L14" s="370"/>
      <c r="M14" s="379"/>
      <c r="N14" s="377"/>
    </row>
    <row r="15" spans="1:14" ht="15" customHeight="1" x14ac:dyDescent="0.2">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3"/>
      <c r="E15" s="370"/>
      <c r="F15" s="370"/>
      <c r="G15" s="370"/>
      <c r="H15" s="370"/>
      <c r="I15" s="381"/>
      <c r="J15" s="370"/>
      <c r="K15" s="370"/>
      <c r="L15" s="370"/>
      <c r="M15" s="379"/>
      <c r="N15" s="377"/>
    </row>
    <row r="16" spans="1:14" ht="15" customHeight="1" x14ac:dyDescent="0.2">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3"/>
      <c r="E16" s="370"/>
      <c r="F16" s="370"/>
      <c r="G16" s="370"/>
      <c r="H16" s="370"/>
      <c r="I16" s="381"/>
      <c r="J16" s="370"/>
      <c r="K16" s="370"/>
      <c r="L16" s="370"/>
      <c r="M16" s="379"/>
      <c r="N16" s="377"/>
    </row>
    <row r="17" spans="1:14" ht="15" customHeight="1" x14ac:dyDescent="0.2">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3"/>
      <c r="E17" s="370"/>
      <c r="F17" s="370"/>
      <c r="G17" s="370"/>
      <c r="H17" s="370"/>
      <c r="I17" s="381"/>
      <c r="J17" s="370"/>
      <c r="K17" s="370"/>
      <c r="L17" s="370"/>
      <c r="M17" s="379"/>
      <c r="N17" s="377"/>
    </row>
    <row r="18" spans="1:14" ht="15" customHeight="1" x14ac:dyDescent="0.2">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3"/>
      <c r="E18" s="370"/>
      <c r="F18" s="370"/>
      <c r="G18" s="370"/>
      <c r="H18" s="370"/>
      <c r="I18" s="381"/>
      <c r="J18" s="370"/>
      <c r="K18" s="370"/>
      <c r="L18" s="370"/>
      <c r="M18" s="379"/>
      <c r="N18" s="377"/>
    </row>
    <row r="19" spans="1:14" ht="15" customHeight="1" x14ac:dyDescent="0.2">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3"/>
      <c r="E19" s="370"/>
      <c r="F19" s="370"/>
      <c r="G19" s="370"/>
      <c r="H19" s="370"/>
      <c r="I19" s="381"/>
      <c r="J19" s="370"/>
      <c r="K19" s="370"/>
      <c r="L19" s="370"/>
      <c r="M19" s="379"/>
      <c r="N19" s="377"/>
    </row>
    <row r="20" spans="1:14" ht="15" customHeight="1" x14ac:dyDescent="0.2">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3"/>
      <c r="E20" s="370"/>
      <c r="F20" s="370"/>
      <c r="G20" s="370"/>
      <c r="H20" s="370"/>
      <c r="I20" s="381"/>
      <c r="J20" s="370"/>
      <c r="K20" s="370"/>
      <c r="L20" s="370"/>
      <c r="M20" s="379"/>
      <c r="N20" s="377"/>
    </row>
    <row r="21" spans="1:14" ht="15" customHeight="1" x14ac:dyDescent="0.2">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3"/>
      <c r="E21" s="370"/>
      <c r="F21" s="370"/>
      <c r="G21" s="370"/>
      <c r="H21" s="370"/>
      <c r="I21" s="381"/>
      <c r="J21" s="370"/>
      <c r="K21" s="370"/>
      <c r="L21" s="370"/>
      <c r="M21" s="379"/>
      <c r="N21" s="377"/>
    </row>
    <row r="22" spans="1:14" ht="15" customHeight="1" x14ac:dyDescent="0.2">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3"/>
      <c r="E22" s="370"/>
      <c r="F22" s="370"/>
      <c r="G22" s="370"/>
      <c r="H22" s="370"/>
      <c r="I22" s="381"/>
      <c r="J22" s="370"/>
      <c r="K22" s="370"/>
      <c r="L22" s="370"/>
      <c r="M22" s="379"/>
      <c r="N22" s="377"/>
    </row>
    <row r="23" spans="1:14" ht="15" customHeight="1" x14ac:dyDescent="0.2">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3"/>
      <c r="E23" s="370"/>
      <c r="F23" s="370"/>
      <c r="G23" s="370"/>
      <c r="H23" s="370"/>
      <c r="I23" s="381"/>
      <c r="J23" s="370"/>
      <c r="K23" s="370"/>
      <c r="L23" s="370"/>
      <c r="M23" s="379"/>
      <c r="N23" s="377"/>
    </row>
    <row r="24" spans="1:14" ht="15" customHeight="1" x14ac:dyDescent="0.2">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3"/>
      <c r="E24" s="370"/>
      <c r="F24" s="370"/>
      <c r="G24" s="370"/>
      <c r="H24" s="370"/>
      <c r="I24" s="381"/>
      <c r="J24" s="370"/>
      <c r="K24" s="370"/>
      <c r="L24" s="370"/>
      <c r="M24" s="379"/>
      <c r="N24" s="377"/>
    </row>
    <row r="25" spans="1:14" ht="15" customHeight="1" x14ac:dyDescent="0.2">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3"/>
      <c r="E25" s="370"/>
      <c r="F25" s="370"/>
      <c r="G25" s="370"/>
      <c r="H25" s="370"/>
      <c r="I25" s="381"/>
      <c r="J25" s="370"/>
      <c r="K25" s="370"/>
      <c r="L25" s="370"/>
      <c r="M25" s="379"/>
      <c r="N25" s="377"/>
    </row>
    <row r="26" spans="1:14" ht="15" customHeight="1" x14ac:dyDescent="0.2">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3"/>
      <c r="E26" s="370"/>
      <c r="F26" s="370"/>
      <c r="G26" s="370"/>
      <c r="H26" s="370"/>
      <c r="I26" s="381"/>
      <c r="J26" s="370"/>
      <c r="K26" s="370"/>
      <c r="L26" s="370"/>
      <c r="M26" s="379"/>
      <c r="N26" s="377"/>
    </row>
    <row r="27" spans="1:14" ht="15" customHeight="1" x14ac:dyDescent="0.2">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3"/>
      <c r="E27" s="370"/>
      <c r="F27" s="370"/>
      <c r="G27" s="370"/>
      <c r="H27" s="370"/>
      <c r="I27" s="381"/>
      <c r="J27" s="370"/>
      <c r="K27" s="370"/>
      <c r="L27" s="370"/>
      <c r="M27" s="379"/>
      <c r="N27" s="377"/>
    </row>
    <row r="28" spans="1:14" ht="15" customHeight="1" x14ac:dyDescent="0.2">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3"/>
      <c r="E28" s="370"/>
      <c r="F28" s="370"/>
      <c r="G28" s="370"/>
      <c r="H28" s="370"/>
      <c r="I28" s="381"/>
      <c r="J28" s="370"/>
      <c r="K28" s="370"/>
      <c r="L28" s="370"/>
      <c r="M28" s="379"/>
      <c r="N28" s="377"/>
    </row>
    <row r="29" spans="1:14" ht="15" customHeight="1" x14ac:dyDescent="0.2">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4"/>
      <c r="E29" s="372"/>
      <c r="F29" s="372"/>
      <c r="G29" s="372"/>
      <c r="H29" s="372"/>
      <c r="I29" s="381"/>
      <c r="J29" s="370"/>
      <c r="K29" s="370"/>
      <c r="L29" s="370"/>
      <c r="M29" s="379"/>
      <c r="N29" s="377"/>
    </row>
    <row r="30" spans="1:14" ht="15" customHeight="1" x14ac:dyDescent="0.2">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x14ac:dyDescent="0.2">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5"/>
      <c r="E31" s="685"/>
      <c r="F31" s="685"/>
      <c r="G31" s="685"/>
      <c r="H31" s="685"/>
      <c r="I31" s="381"/>
      <c r="J31" s="370"/>
      <c r="K31" s="370"/>
      <c r="L31" s="370"/>
      <c r="M31" s="379"/>
      <c r="N31" s="377"/>
    </row>
    <row r="32" spans="1:14" ht="15" customHeight="1" x14ac:dyDescent="0.2">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5"/>
      <c r="E32" s="685"/>
      <c r="F32" s="685"/>
      <c r="G32" s="685"/>
      <c r="H32" s="685"/>
      <c r="I32" s="381"/>
      <c r="J32" s="370"/>
      <c r="K32" s="370"/>
      <c r="L32" s="370"/>
      <c r="M32" s="379"/>
      <c r="N32" s="377"/>
    </row>
    <row r="33" spans="1:14" ht="15" customHeight="1" x14ac:dyDescent="0.2">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5"/>
      <c r="E33" s="685"/>
      <c r="F33" s="685"/>
      <c r="G33" s="685"/>
      <c r="H33" s="685"/>
      <c r="I33" s="381"/>
      <c r="J33" s="370"/>
      <c r="K33" s="370"/>
      <c r="L33" s="370"/>
      <c r="M33" s="379"/>
      <c r="N33" s="377"/>
    </row>
    <row r="34" spans="1:14" ht="15" customHeight="1" x14ac:dyDescent="0.2">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5"/>
      <c r="E34" s="370"/>
      <c r="F34" s="370"/>
      <c r="G34" s="370"/>
      <c r="H34" s="370"/>
      <c r="I34" s="381"/>
      <c r="J34" s="370"/>
      <c r="K34" s="370"/>
      <c r="L34" s="370"/>
      <c r="M34" s="379"/>
      <c r="N34" s="377"/>
    </row>
    <row r="35" spans="1:14" ht="15" customHeight="1" x14ac:dyDescent="0.2">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5"/>
      <c r="E35" s="370"/>
      <c r="F35" s="370"/>
      <c r="G35" s="370"/>
      <c r="H35" s="370"/>
      <c r="I35" s="381"/>
      <c r="J35" s="370"/>
      <c r="K35" s="370"/>
      <c r="L35" s="370"/>
      <c r="M35" s="379"/>
      <c r="N35" s="377"/>
    </row>
    <row r="36" spans="1:14" ht="15" customHeight="1" x14ac:dyDescent="0.2">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5"/>
      <c r="E36" s="370"/>
      <c r="F36" s="370"/>
      <c r="G36" s="370"/>
      <c r="H36" s="370"/>
      <c r="I36" s="381"/>
      <c r="J36" s="370"/>
      <c r="K36" s="370"/>
      <c r="L36" s="370"/>
      <c r="M36" s="379"/>
      <c r="N36" s="377"/>
    </row>
    <row r="37" spans="1:14" ht="15" customHeight="1" x14ac:dyDescent="0.2">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5"/>
      <c r="E37" s="370"/>
      <c r="F37" s="370"/>
      <c r="G37" s="370"/>
      <c r="H37" s="370"/>
      <c r="I37" s="381"/>
      <c r="J37" s="370"/>
      <c r="K37" s="370"/>
      <c r="L37" s="370"/>
      <c r="M37" s="379"/>
      <c r="N37" s="377"/>
    </row>
    <row r="38" spans="1:14" ht="15" customHeight="1" x14ac:dyDescent="0.2">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x14ac:dyDescent="0.2">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5"/>
      <c r="E39" s="370"/>
      <c r="F39" s="370"/>
      <c r="G39" s="370"/>
      <c r="H39" s="370"/>
      <c r="I39" s="381"/>
      <c r="J39" s="370"/>
      <c r="K39" s="370"/>
      <c r="L39" s="370"/>
      <c r="M39" s="379"/>
      <c r="N39" s="377"/>
    </row>
    <row r="40" spans="1:14" ht="15" customHeight="1" x14ac:dyDescent="0.2">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5"/>
      <c r="E40" s="370"/>
      <c r="F40" s="370"/>
      <c r="G40" s="370"/>
      <c r="H40" s="370"/>
      <c r="I40" s="381"/>
      <c r="J40" s="370"/>
      <c r="K40" s="370"/>
      <c r="L40" s="370"/>
      <c r="M40" s="379"/>
      <c r="N40" s="377"/>
    </row>
    <row r="41" spans="1:14" ht="15" customHeight="1" x14ac:dyDescent="0.2">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5"/>
      <c r="E41" s="370"/>
      <c r="F41" s="370"/>
      <c r="G41" s="370"/>
      <c r="H41" s="370"/>
      <c r="I41" s="381"/>
      <c r="J41" s="370"/>
      <c r="K41" s="370"/>
      <c r="L41" s="370"/>
      <c r="M41" s="379"/>
      <c r="N41" s="377"/>
    </row>
    <row r="42" spans="1:14" ht="15" customHeight="1" x14ac:dyDescent="0.2">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5"/>
      <c r="E42" s="370"/>
      <c r="F42" s="370"/>
      <c r="G42" s="370"/>
      <c r="H42" s="370"/>
      <c r="I42" s="381"/>
      <c r="J42" s="370"/>
      <c r="K42" s="370"/>
      <c r="L42" s="370"/>
      <c r="M42" s="379"/>
      <c r="N42" s="377"/>
    </row>
    <row r="43" spans="1:14" ht="15" customHeight="1" x14ac:dyDescent="0.2">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5"/>
      <c r="E43" s="370"/>
      <c r="F43" s="370"/>
      <c r="G43" s="370"/>
      <c r="H43" s="370"/>
      <c r="I43" s="381"/>
      <c r="J43" s="370"/>
      <c r="K43" s="370"/>
      <c r="L43" s="370"/>
      <c r="M43" s="379"/>
      <c r="N43" s="377"/>
    </row>
    <row r="44" spans="1:14" ht="15" customHeight="1" x14ac:dyDescent="0.2">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5"/>
      <c r="E44" s="370"/>
      <c r="F44" s="370"/>
      <c r="G44" s="370"/>
      <c r="H44" s="370"/>
      <c r="I44" s="381"/>
      <c r="J44" s="370"/>
      <c r="K44" s="370"/>
      <c r="L44" s="370"/>
      <c r="M44" s="379"/>
      <c r="N44" s="377"/>
    </row>
    <row r="45" spans="1:14" ht="15" customHeight="1" x14ac:dyDescent="0.2">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5"/>
      <c r="E45" s="370"/>
      <c r="F45" s="370"/>
      <c r="G45" s="370"/>
      <c r="H45" s="370"/>
      <c r="I45" s="381"/>
      <c r="J45" s="370"/>
      <c r="K45" s="370"/>
      <c r="L45" s="370"/>
      <c r="M45" s="379"/>
      <c r="N45" s="377"/>
    </row>
    <row r="46" spans="1:14" ht="15" customHeight="1" x14ac:dyDescent="0.2">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x14ac:dyDescent="0.2">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5"/>
      <c r="E47" s="370"/>
      <c r="F47" s="370"/>
      <c r="G47" s="370"/>
      <c r="H47" s="370"/>
      <c r="I47" s="381"/>
      <c r="J47" s="370"/>
      <c r="K47" s="370"/>
      <c r="L47" s="370"/>
      <c r="M47" s="379"/>
      <c r="N47" s="377"/>
    </row>
    <row r="48" spans="1:14" ht="15" customHeight="1" x14ac:dyDescent="0.2">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5"/>
      <c r="E48" s="370"/>
      <c r="F48" s="370"/>
      <c r="G48" s="370"/>
      <c r="H48" s="370"/>
      <c r="I48" s="381"/>
      <c r="J48" s="370"/>
      <c r="K48" s="370"/>
      <c r="L48" s="370"/>
      <c r="M48" s="379"/>
      <c r="N48" s="377"/>
    </row>
    <row r="49" spans="1:14" ht="15" customHeight="1" x14ac:dyDescent="0.2">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x14ac:dyDescent="0.2">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5"/>
      <c r="E50" s="370"/>
      <c r="F50" s="370"/>
      <c r="G50" s="370"/>
      <c r="H50" s="370"/>
      <c r="I50" s="381"/>
      <c r="J50" s="370"/>
      <c r="K50" s="370"/>
      <c r="L50" s="370"/>
      <c r="M50" s="379"/>
      <c r="N50" s="377"/>
    </row>
    <row r="51" spans="1:14" ht="15" customHeight="1" x14ac:dyDescent="0.2">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5"/>
      <c r="E51" s="370"/>
      <c r="F51" s="370"/>
      <c r="G51" s="370"/>
      <c r="H51" s="370"/>
      <c r="I51" s="381"/>
      <c r="J51" s="370"/>
      <c r="K51" s="370"/>
      <c r="L51" s="370"/>
      <c r="M51" s="379"/>
      <c r="N51" s="377"/>
    </row>
    <row r="52" spans="1:14" ht="15" customHeight="1" x14ac:dyDescent="0.2">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5"/>
      <c r="E52" s="370"/>
      <c r="F52" s="370"/>
      <c r="G52" s="370"/>
      <c r="H52" s="370"/>
      <c r="I52" s="381"/>
      <c r="J52" s="370"/>
      <c r="K52" s="370"/>
      <c r="L52" s="370"/>
      <c r="M52" s="379"/>
      <c r="N52" s="377"/>
    </row>
    <row r="53" spans="1:14" ht="15" customHeight="1" x14ac:dyDescent="0.2">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2|1-2</v>
      </c>
      <c r="D53" s="696"/>
      <c r="E53" s="372"/>
      <c r="F53" s="372"/>
      <c r="G53" s="372"/>
      <c r="H53" s="372"/>
      <c r="I53" s="382"/>
      <c r="J53" s="370"/>
      <c r="K53" s="370"/>
      <c r="L53" s="370"/>
      <c r="M53" s="379"/>
      <c r="N53" s="377"/>
    </row>
    <row r="54" spans="1:14" ht="15" customHeight="1" x14ac:dyDescent="0.2">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x14ac:dyDescent="0.2">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704"/>
      <c r="E55" s="685"/>
      <c r="F55" s="685"/>
      <c r="G55" s="685"/>
      <c r="H55" s="685"/>
      <c r="I55" s="381"/>
      <c r="J55" s="370"/>
      <c r="K55" s="370"/>
      <c r="L55" s="370"/>
      <c r="M55" s="379"/>
      <c r="N55" s="377"/>
    </row>
    <row r="56" spans="1:14" ht="15" customHeight="1" x14ac:dyDescent="0.2">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704"/>
      <c r="E56" s="685"/>
      <c r="F56" s="685"/>
      <c r="G56" s="685"/>
      <c r="H56" s="685"/>
      <c r="I56" s="381"/>
      <c r="J56" s="370"/>
      <c r="K56" s="370"/>
      <c r="L56" s="370"/>
      <c r="M56" s="379"/>
      <c r="N56" s="377"/>
    </row>
    <row r="57" spans="1:14" ht="15" customHeight="1" x14ac:dyDescent="0.2">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704"/>
      <c r="E57" s="685"/>
      <c r="F57" s="685"/>
      <c r="G57" s="685"/>
      <c r="H57" s="685"/>
      <c r="I57" s="381"/>
      <c r="J57" s="370"/>
      <c r="K57" s="370"/>
      <c r="L57" s="370"/>
      <c r="M57" s="379"/>
      <c r="N57" s="377"/>
    </row>
    <row r="58" spans="1:14" ht="15" customHeight="1" x14ac:dyDescent="0.2">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704"/>
      <c r="E58" s="370"/>
      <c r="F58" s="370"/>
      <c r="G58" s="370"/>
      <c r="H58" s="370"/>
      <c r="I58" s="381"/>
      <c r="J58" s="370"/>
      <c r="K58" s="370"/>
      <c r="L58" s="370"/>
      <c r="M58" s="379"/>
      <c r="N58" s="377"/>
    </row>
    <row r="59" spans="1:14" ht="15" customHeight="1" x14ac:dyDescent="0.2">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704"/>
      <c r="E59" s="370"/>
      <c r="F59" s="370"/>
      <c r="G59" s="370"/>
      <c r="H59" s="370"/>
      <c r="I59" s="381"/>
      <c r="J59" s="370"/>
      <c r="K59" s="370"/>
      <c r="L59" s="370"/>
      <c r="M59" s="379"/>
      <c r="N59" s="377"/>
    </row>
    <row r="60" spans="1:14" ht="15" customHeight="1" x14ac:dyDescent="0.2">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704"/>
      <c r="E60" s="370"/>
      <c r="F60" s="370"/>
      <c r="G60" s="370"/>
      <c r="H60" s="370"/>
      <c r="I60" s="381"/>
      <c r="J60" s="370"/>
      <c r="K60" s="370"/>
      <c r="L60" s="370"/>
      <c r="M60" s="379"/>
      <c r="N60" s="377"/>
    </row>
    <row r="61" spans="1:14" ht="15" customHeight="1" x14ac:dyDescent="0.2">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704"/>
      <c r="E61" s="370"/>
      <c r="F61" s="370"/>
      <c r="G61" s="370"/>
      <c r="H61" s="370"/>
      <c r="I61" s="381"/>
      <c r="J61" s="370"/>
      <c r="K61" s="370"/>
      <c r="L61" s="370"/>
      <c r="M61" s="379"/>
      <c r="N61" s="377"/>
    </row>
    <row r="62" spans="1:14" ht="15" customHeight="1" x14ac:dyDescent="0.2">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704"/>
      <c r="E62" s="370"/>
      <c r="F62" s="370"/>
      <c r="G62" s="370"/>
      <c r="H62" s="370"/>
      <c r="I62" s="381"/>
      <c r="J62" s="370"/>
      <c r="K62" s="370"/>
      <c r="L62" s="370"/>
      <c r="M62" s="379"/>
      <c r="N62" s="377"/>
    </row>
    <row r="63" spans="1:14" ht="15" customHeight="1" x14ac:dyDescent="0.2">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704"/>
      <c r="E63" s="370"/>
      <c r="F63" s="370"/>
      <c r="G63" s="370"/>
      <c r="H63" s="370"/>
      <c r="I63" s="381"/>
      <c r="J63" s="370"/>
      <c r="K63" s="370"/>
      <c r="L63" s="370"/>
      <c r="M63" s="379"/>
      <c r="N63" s="377"/>
    </row>
    <row r="64" spans="1:14" ht="15" customHeight="1" x14ac:dyDescent="0.2">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704"/>
      <c r="E64" s="370"/>
      <c r="F64" s="370"/>
      <c r="G64" s="370"/>
      <c r="H64" s="370"/>
      <c r="I64" s="381"/>
      <c r="J64" s="370"/>
      <c r="K64" s="370"/>
      <c r="L64" s="370"/>
      <c r="M64" s="379"/>
      <c r="N64" s="377"/>
    </row>
    <row r="65" spans="1:14" ht="15" customHeight="1" x14ac:dyDescent="0.2">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704"/>
      <c r="E65" s="370"/>
      <c r="F65" s="370"/>
      <c r="G65" s="370"/>
      <c r="H65" s="370"/>
      <c r="I65" s="381"/>
      <c r="J65" s="370"/>
      <c r="K65" s="370"/>
      <c r="L65" s="370"/>
      <c r="M65" s="379"/>
      <c r="N65" s="377"/>
    </row>
    <row r="66" spans="1:14" ht="15" customHeight="1" x14ac:dyDescent="0.2">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704"/>
      <c r="E66" s="370"/>
      <c r="F66" s="370"/>
      <c r="G66" s="370"/>
      <c r="H66" s="370"/>
      <c r="I66" s="381"/>
      <c r="J66" s="370"/>
      <c r="K66" s="370"/>
      <c r="L66" s="370"/>
      <c r="M66" s="379"/>
      <c r="N66" s="377"/>
    </row>
    <row r="67" spans="1:14" ht="15" customHeight="1" x14ac:dyDescent="0.2">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704"/>
      <c r="E67" s="370"/>
      <c r="F67" s="370"/>
      <c r="G67" s="370"/>
      <c r="H67" s="370"/>
      <c r="I67" s="381"/>
      <c r="J67" s="370"/>
      <c r="K67" s="370"/>
      <c r="L67" s="370"/>
      <c r="M67" s="379"/>
      <c r="N67" s="377"/>
    </row>
    <row r="68" spans="1:14" ht="15" customHeight="1" x14ac:dyDescent="0.2">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704"/>
      <c r="E68" s="370"/>
      <c r="F68" s="370"/>
      <c r="G68" s="370"/>
      <c r="H68" s="370"/>
      <c r="I68" s="381"/>
      <c r="J68" s="370"/>
      <c r="K68" s="370"/>
      <c r="L68" s="370"/>
      <c r="M68" s="379"/>
      <c r="N68" s="377"/>
    </row>
    <row r="69" spans="1:14" ht="15" customHeight="1" x14ac:dyDescent="0.2">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704"/>
      <c r="E69" s="370"/>
      <c r="F69" s="370"/>
      <c r="G69" s="370"/>
      <c r="H69" s="370"/>
      <c r="I69" s="381"/>
      <c r="J69" s="370"/>
      <c r="K69" s="370"/>
      <c r="L69" s="370"/>
      <c r="M69" s="379"/>
      <c r="N69" s="377"/>
    </row>
    <row r="70" spans="1:14" ht="15" customHeight="1" x14ac:dyDescent="0.2">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704"/>
      <c r="E70" s="370"/>
      <c r="F70" s="370"/>
      <c r="G70" s="370"/>
      <c r="H70" s="370"/>
      <c r="I70" s="381"/>
      <c r="J70" s="370"/>
      <c r="K70" s="370"/>
      <c r="L70" s="370"/>
      <c r="M70" s="379"/>
      <c r="N70" s="377"/>
    </row>
    <row r="71" spans="1:14" ht="15" customHeight="1" x14ac:dyDescent="0.2">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704"/>
      <c r="E71" s="370"/>
      <c r="F71" s="370"/>
      <c r="G71" s="370"/>
      <c r="H71" s="370"/>
      <c r="I71" s="381"/>
      <c r="J71" s="370"/>
      <c r="K71" s="370"/>
      <c r="L71" s="370"/>
      <c r="M71" s="379"/>
      <c r="N71" s="377"/>
    </row>
    <row r="72" spans="1:14" ht="15" customHeight="1" x14ac:dyDescent="0.2">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704"/>
      <c r="E72" s="370"/>
      <c r="F72" s="370"/>
      <c r="G72" s="370"/>
      <c r="H72" s="370"/>
      <c r="I72" s="381"/>
      <c r="J72" s="370"/>
      <c r="K72" s="370"/>
      <c r="L72" s="370"/>
      <c r="M72" s="379"/>
      <c r="N72" s="377"/>
    </row>
    <row r="73" spans="1:14" ht="15" customHeight="1" x14ac:dyDescent="0.2">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704"/>
      <c r="E73" s="370"/>
      <c r="F73" s="370"/>
      <c r="G73" s="370"/>
      <c r="H73" s="370"/>
      <c r="I73" s="381"/>
      <c r="J73" s="370"/>
      <c r="K73" s="370"/>
      <c r="L73" s="370"/>
      <c r="M73" s="379"/>
      <c r="N73" s="377"/>
    </row>
    <row r="74" spans="1:14" ht="15" customHeight="1" x14ac:dyDescent="0.2">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704"/>
      <c r="E74" s="370"/>
      <c r="F74" s="370"/>
      <c r="G74" s="370"/>
      <c r="H74" s="370"/>
      <c r="I74" s="381"/>
      <c r="J74" s="370"/>
      <c r="K74" s="370"/>
      <c r="L74" s="370"/>
      <c r="M74" s="379"/>
      <c r="N74" s="377"/>
    </row>
    <row r="75" spans="1:14" ht="15" customHeight="1" x14ac:dyDescent="0.2">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704"/>
      <c r="E75" s="370"/>
      <c r="F75" s="370"/>
      <c r="G75" s="370"/>
      <c r="H75" s="370"/>
      <c r="I75" s="381"/>
      <c r="J75" s="370"/>
      <c r="K75" s="370"/>
      <c r="L75" s="370"/>
      <c r="M75" s="379"/>
      <c r="N75" s="377"/>
    </row>
    <row r="76" spans="1:14" ht="15" customHeight="1" x14ac:dyDescent="0.2">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704"/>
      <c r="E76" s="370"/>
      <c r="F76" s="370"/>
      <c r="G76" s="370"/>
      <c r="H76" s="370"/>
      <c r="I76" s="381"/>
      <c r="J76" s="370"/>
      <c r="K76" s="370"/>
      <c r="L76" s="370"/>
      <c r="M76" s="379"/>
      <c r="N76" s="377"/>
    </row>
    <row r="77" spans="1:14" ht="15" customHeight="1" x14ac:dyDescent="0.2">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x14ac:dyDescent="0.2">
      <c r="A78" s="353"/>
      <c r="B78" s="353"/>
      <c r="C78" s="350"/>
      <c r="D78" s="704"/>
      <c r="E78" s="370"/>
      <c r="F78" s="370"/>
      <c r="G78" s="370"/>
      <c r="H78" s="370"/>
      <c r="I78" s="381"/>
      <c r="J78" s="370"/>
      <c r="K78" s="370"/>
      <c r="L78" s="370"/>
      <c r="M78" s="379"/>
      <c r="N78" s="377"/>
    </row>
    <row r="79" spans="1:14" ht="19" customHeight="1" x14ac:dyDescent="0.25">
      <c r="A79" s="353"/>
      <c r="B79" s="358" t="str">
        <f>Idiomas!D126</f>
        <v>POSICIÓN GRUPOS</v>
      </c>
      <c r="C79" s="350"/>
      <c r="D79" s="704"/>
      <c r="E79" s="370"/>
      <c r="F79" s="370"/>
      <c r="G79" s="370"/>
      <c r="H79" s="370"/>
      <c r="I79" s="381"/>
      <c r="J79" s="370"/>
      <c r="K79" s="370"/>
      <c r="L79" s="370"/>
      <c r="M79" s="379"/>
      <c r="N79" s="377"/>
    </row>
    <row r="80" spans="1:14" ht="15" customHeight="1" x14ac:dyDescent="0.2">
      <c r="A80" s="697" t="s">
        <v>0</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x14ac:dyDescent="0.2">
      <c r="A81" s="697"/>
      <c r="B81" s="359" t="str">
        <f>Idiomas!D141</f>
        <v>2º GRUPO A</v>
      </c>
      <c r="C81" s="349" t="str">
        <f ca="1">IF(OR(SUM(WORLDCUP!$AN$6:$AN$9)=12,WORLDCUP!$AJ$99=144),WORLDCUP!AL7,B81)</f>
        <v>Sudáfrica</v>
      </c>
      <c r="D81" s="704"/>
      <c r="E81" s="370"/>
      <c r="F81" s="370"/>
      <c r="G81" s="370"/>
      <c r="H81" s="370"/>
      <c r="I81" s="381"/>
      <c r="J81" s="370"/>
      <c r="K81" s="370"/>
      <c r="L81" s="370"/>
      <c r="M81" s="379"/>
      <c r="N81" s="377"/>
    </row>
    <row r="82" spans="1:14" ht="15" customHeight="1" x14ac:dyDescent="0.2">
      <c r="A82" s="697"/>
      <c r="B82" s="359" t="str">
        <f>Idiomas!D142</f>
        <v>3º GRUPO A</v>
      </c>
      <c r="C82" s="349" t="str">
        <f ca="1">IF(OR(SUM(WORLDCUP!$AN$6:$AN$9)=12,WORLDCUP!$AJ$99=144),WORLDCUP!AL8,B82)</f>
        <v>Corea del Sur</v>
      </c>
      <c r="D82" s="704"/>
      <c r="E82" s="370"/>
      <c r="F82" s="370"/>
      <c r="G82" s="370"/>
      <c r="H82" s="370"/>
      <c r="I82" s="381"/>
      <c r="J82" s="370"/>
      <c r="K82" s="370"/>
      <c r="L82" s="370"/>
      <c r="M82" s="379"/>
      <c r="N82" s="377"/>
    </row>
    <row r="83" spans="1:14" ht="15" customHeight="1" x14ac:dyDescent="0.2">
      <c r="A83" s="697"/>
      <c r="B83" s="359" t="str">
        <f>Idiomas!D143</f>
        <v>4º GRUPO A</v>
      </c>
      <c r="C83" s="349" t="str">
        <f ca="1">IF(OR(SUM(WORLDCUP!$AN$6:$AN$9)=12,WORLDCUP!$AJ$99=144),WORLDCUP!AL9,B83)</f>
        <v>República Checa</v>
      </c>
      <c r="D83" s="704"/>
      <c r="E83" s="370"/>
      <c r="F83" s="370"/>
      <c r="G83" s="370"/>
      <c r="H83" s="370"/>
      <c r="I83" s="381"/>
      <c r="J83" s="370"/>
      <c r="K83" s="370"/>
      <c r="L83" s="370"/>
      <c r="M83" s="379"/>
      <c r="N83" s="377"/>
    </row>
    <row r="84" spans="1:14" ht="15" customHeight="1" x14ac:dyDescent="0.2">
      <c r="A84" s="707" t="s">
        <v>1</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x14ac:dyDescent="0.2">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x14ac:dyDescent="0.2">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x14ac:dyDescent="0.2">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x14ac:dyDescent="0.2">
      <c r="A88" s="697" t="s">
        <v>2</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x14ac:dyDescent="0.2">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x14ac:dyDescent="0.2">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x14ac:dyDescent="0.2">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x14ac:dyDescent="0.2">
      <c r="A92" s="707" t="s">
        <v>74</v>
      </c>
      <c r="B92" s="357" t="str">
        <f>Idiomas!D152</f>
        <v>1º GRUPO D</v>
      </c>
      <c r="C92" s="349" t="str">
        <f ca="1">IF(OR(SUM(WORLDCUP!$AN$30:$AN$33)=12,WORLDCUP!$AJ$99=144),WORLDCUP!AL30,B92)</f>
        <v>Estados Unidos</v>
      </c>
      <c r="D92" s="704"/>
      <c r="E92" s="370"/>
      <c r="F92" s="370"/>
      <c r="G92" s="370"/>
      <c r="H92" s="370"/>
      <c r="I92" s="381"/>
      <c r="J92" s="370"/>
      <c r="K92" s="370"/>
      <c r="L92" s="370"/>
      <c r="M92" s="379"/>
      <c r="N92" s="377"/>
    </row>
    <row r="93" spans="1:14" ht="15" customHeight="1" x14ac:dyDescent="0.2">
      <c r="A93" s="707"/>
      <c r="B93" s="357" t="str">
        <f>Idiomas!D153</f>
        <v>2º GRUPO D</v>
      </c>
      <c r="C93" s="349" t="str">
        <f ca="1">IF(OR(SUM(WORLDCUP!$AN$30:$AN$33)=12,WORLDCUP!$AJ$99=144),WORLDCUP!AL31,B93)</f>
        <v>Australia</v>
      </c>
      <c r="D93" s="704"/>
      <c r="E93" s="370"/>
      <c r="F93" s="370"/>
      <c r="G93" s="370"/>
      <c r="H93" s="370"/>
      <c r="I93" s="381"/>
      <c r="J93" s="370"/>
      <c r="K93" s="370"/>
      <c r="L93" s="370"/>
      <c r="M93" s="379"/>
      <c r="N93" s="377"/>
    </row>
    <row r="94" spans="1:14" ht="15" customHeight="1" x14ac:dyDescent="0.2">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x14ac:dyDescent="0.2">
      <c r="A95" s="707"/>
      <c r="B95" s="357" t="str">
        <f>Idiomas!D155</f>
        <v>4º GRUPO D</v>
      </c>
      <c r="C95" s="349" t="str">
        <f ca="1">IF(OR(SUM(WORLDCUP!$AN$30:$AN$33)=12,WORLDCUP!$AJ$99=144),WORLDCUP!AL33,B95)</f>
        <v>Turquía</v>
      </c>
      <c r="D95" s="704"/>
      <c r="E95" s="370"/>
      <c r="F95" s="370"/>
      <c r="G95" s="370"/>
      <c r="H95" s="370"/>
      <c r="I95" s="381"/>
      <c r="J95" s="370"/>
      <c r="K95" s="370"/>
      <c r="L95" s="370"/>
      <c r="M95" s="379"/>
      <c r="N95" s="377"/>
    </row>
    <row r="96" spans="1:14" ht="15" customHeight="1" x14ac:dyDescent="0.2">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x14ac:dyDescent="0.2">
      <c r="A97" s="697"/>
      <c r="B97" s="359" t="str">
        <f>Idiomas!D157</f>
        <v>2º GRUPO E</v>
      </c>
      <c r="C97" s="349" t="str">
        <f ca="1">IF(OR(SUM(WORLDCUP!$AN$38:$AN$41)=12,WORLDCUP!$AJ$99=144),WORLDCUP!AL39,B97)</f>
        <v>Costa de Marfil</v>
      </c>
      <c r="D97" s="704"/>
      <c r="E97" s="370"/>
      <c r="F97" s="370"/>
      <c r="G97" s="370"/>
      <c r="H97" s="370"/>
      <c r="I97" s="381"/>
      <c r="J97" s="370"/>
      <c r="K97" s="370"/>
      <c r="L97" s="370"/>
      <c r="M97" s="379"/>
      <c r="N97" s="377"/>
    </row>
    <row r="98" spans="1:14" ht="15" customHeight="1" x14ac:dyDescent="0.2">
      <c r="A98" s="697"/>
      <c r="B98" s="359" t="str">
        <f>Idiomas!D158</f>
        <v>3º GRUPO E</v>
      </c>
      <c r="C98" s="349" t="str">
        <f ca="1">IF(OR(SUM(WORLDCUP!$AN$38:$AN$41)=12,WORLDCUP!$AJ$99=144),WORLDCUP!AL40,B98)</f>
        <v>Ecuador</v>
      </c>
      <c r="D98" s="704"/>
      <c r="E98" s="370"/>
      <c r="F98" s="370"/>
      <c r="G98" s="370"/>
      <c r="H98" s="370"/>
      <c r="I98" s="381"/>
      <c r="J98" s="370"/>
      <c r="K98" s="370"/>
      <c r="L98" s="370"/>
      <c r="M98" s="379"/>
      <c r="N98" s="377"/>
    </row>
    <row r="99" spans="1:14" ht="15" customHeight="1" x14ac:dyDescent="0.2">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x14ac:dyDescent="0.2">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x14ac:dyDescent="0.2">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x14ac:dyDescent="0.2">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x14ac:dyDescent="0.2">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x14ac:dyDescent="0.2">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x14ac:dyDescent="0.2">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x14ac:dyDescent="0.2">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x14ac:dyDescent="0.2">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x14ac:dyDescent="0.2">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x14ac:dyDescent="0.2">
      <c r="A109" s="707"/>
      <c r="B109" s="357" t="str">
        <f>Idiomas!D169</f>
        <v>2º GRUPO H</v>
      </c>
      <c r="C109" s="349" t="str">
        <f ca="1">IF(OR(SUM(WORLDCUP!$AN$62:$AN$65)=12,WORLDCUP!$AJ$99=144),WORLDCUP!AL63,B109)</f>
        <v>Cabo Verde</v>
      </c>
      <c r="D109" s="704"/>
      <c r="E109" s="370"/>
      <c r="F109" s="370"/>
      <c r="G109" s="370"/>
      <c r="H109" s="370"/>
      <c r="I109" s="381"/>
      <c r="J109" s="370"/>
      <c r="K109" s="370"/>
      <c r="L109" s="370"/>
      <c r="M109" s="379"/>
      <c r="N109" s="377"/>
    </row>
    <row r="110" spans="1:14" ht="15" customHeight="1" x14ac:dyDescent="0.2">
      <c r="A110" s="707"/>
      <c r="B110" s="357" t="str">
        <f>Idiomas!D170</f>
        <v>3º GRUPO H</v>
      </c>
      <c r="C110" s="349" t="str">
        <f ca="1">IF(OR(SUM(WORLDCUP!$AN$62:$AN$65)=12,WORLDCUP!$AJ$99=144),WORLDCUP!AL64,B110)</f>
        <v>Uruguay</v>
      </c>
      <c r="D110" s="704"/>
      <c r="E110" s="370"/>
      <c r="F110" s="370"/>
      <c r="G110" s="370"/>
      <c r="H110" s="370"/>
      <c r="I110" s="381"/>
      <c r="J110" s="370"/>
      <c r="K110" s="370"/>
      <c r="L110" s="370"/>
      <c r="M110" s="379"/>
      <c r="N110" s="377"/>
    </row>
    <row r="111" spans="1:14" ht="15" customHeight="1" x14ac:dyDescent="0.2">
      <c r="A111" s="707"/>
      <c r="B111" s="357" t="str">
        <f>Idiomas!D171</f>
        <v>4º GRUPO H</v>
      </c>
      <c r="C111" s="349" t="str">
        <f ca="1">IF(OR(SUM(WORLDCUP!$AN$62:$AN$65)=12,WORLDCUP!$AJ$99=144),WORLDCUP!AL65,B111)</f>
        <v>Arabia Saudita</v>
      </c>
      <c r="D111" s="704"/>
      <c r="E111" s="370"/>
      <c r="F111" s="370"/>
      <c r="G111" s="370"/>
      <c r="H111" s="370"/>
      <c r="I111" s="381"/>
      <c r="J111" s="370"/>
      <c r="K111" s="370"/>
      <c r="L111" s="370"/>
      <c r="M111" s="379"/>
      <c r="N111" s="377"/>
    </row>
    <row r="112" spans="1:14" ht="15" customHeight="1" x14ac:dyDescent="0.2">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x14ac:dyDescent="0.2">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x14ac:dyDescent="0.2">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x14ac:dyDescent="0.2">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x14ac:dyDescent="0.2">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x14ac:dyDescent="0.2">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x14ac:dyDescent="0.2">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x14ac:dyDescent="0.2">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x14ac:dyDescent="0.2">
      <c r="A120" s="697" t="s">
        <v>449</v>
      </c>
      <c r="B120" s="359" t="str">
        <f>Idiomas!D180</f>
        <v>1º GRUPO K</v>
      </c>
      <c r="C120" s="349" t="str">
        <f ca="1">IF(OR(SUM(WORLDCUP!$AN$86:$AN$89)=12,WORLDCUP!$AJ$99=144),WORLDCUP!AL86,B120)</f>
        <v>Colombia</v>
      </c>
      <c r="D120" s="704"/>
      <c r="E120" s="370"/>
      <c r="F120" s="370"/>
      <c r="G120" s="370"/>
      <c r="H120" s="370"/>
      <c r="I120" s="381"/>
      <c r="J120" s="370"/>
      <c r="K120" s="370"/>
      <c r="L120" s="370"/>
      <c r="M120" s="379"/>
      <c r="N120" s="377"/>
    </row>
    <row r="121" spans="1:14" ht="15" customHeight="1" x14ac:dyDescent="0.2">
      <c r="A121" s="697"/>
      <c r="B121" s="359" t="str">
        <f>Idiomas!D181</f>
        <v>2º GRUPO K</v>
      </c>
      <c r="C121" s="349" t="str">
        <f ca="1">IF(OR(SUM(WORLDCUP!$AN$86:$AN$89)=12,WORLDCUP!$AJ$99=144),WORLDCUP!AL87,B121)</f>
        <v>Portugal</v>
      </c>
      <c r="D121" s="704"/>
      <c r="E121" s="370"/>
      <c r="F121" s="370"/>
      <c r="G121" s="370"/>
      <c r="H121" s="370"/>
      <c r="I121" s="381"/>
      <c r="J121" s="370"/>
      <c r="K121" s="370"/>
      <c r="L121" s="370"/>
      <c r="M121" s="379"/>
      <c r="N121" s="377"/>
    </row>
    <row r="122" spans="1:14" ht="15" customHeight="1" x14ac:dyDescent="0.2">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x14ac:dyDescent="0.2">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x14ac:dyDescent="0.2">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x14ac:dyDescent="0.2">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x14ac:dyDescent="0.2">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x14ac:dyDescent="0.2">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x14ac:dyDescent="0.2">
      <c r="A128" s="353"/>
      <c r="B128" s="353"/>
      <c r="C128" s="350"/>
      <c r="D128" s="704"/>
      <c r="E128" s="370"/>
      <c r="F128" s="370"/>
      <c r="G128" s="370"/>
      <c r="H128" s="370"/>
      <c r="I128" s="381"/>
      <c r="J128" s="370"/>
      <c r="K128" s="370"/>
      <c r="L128" s="370"/>
      <c r="M128" s="379"/>
      <c r="N128" s="377"/>
    </row>
    <row r="129" spans="1:14" ht="19" customHeight="1" x14ac:dyDescent="0.25">
      <c r="A129" s="353"/>
      <c r="B129" s="358" t="str">
        <f>Idiomas!D127</f>
        <v>CLASIFICADOS PARA DIECISEISAVOS</v>
      </c>
      <c r="C129" s="350"/>
      <c r="D129" s="704"/>
      <c r="E129" s="370"/>
      <c r="F129" s="370"/>
      <c r="G129" s="370"/>
      <c r="H129" s="370"/>
      <c r="I129" s="381"/>
      <c r="J129" s="370"/>
      <c r="K129" s="370"/>
      <c r="L129" s="370"/>
      <c r="M129" s="379"/>
      <c r="N129" s="377"/>
    </row>
    <row r="130" spans="1:14" ht="15" customHeight="1" x14ac:dyDescent="0.2">
      <c r="A130" s="703" t="s">
        <v>493</v>
      </c>
      <c r="B130" s="360" t="str">
        <f>Idiomas!$D$188</f>
        <v>Dieciseisavofinalista</v>
      </c>
      <c r="C130" s="349" t="str">
        <f ca="1">WORLDCUP!AA101</f>
        <v>Sudáfrica</v>
      </c>
      <c r="D130" s="704"/>
      <c r="E130" s="370"/>
      <c r="F130" s="370"/>
      <c r="G130" s="370"/>
      <c r="H130" s="370"/>
      <c r="I130" s="381"/>
      <c r="J130" s="370"/>
      <c r="K130" s="370"/>
      <c r="L130" s="370"/>
      <c r="M130" s="379"/>
      <c r="N130" s="377"/>
    </row>
    <row r="131" spans="1:14" ht="15" customHeight="1" x14ac:dyDescent="0.2">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x14ac:dyDescent="0.2">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x14ac:dyDescent="0.2">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x14ac:dyDescent="0.2">
      <c r="A134" s="703"/>
      <c r="B134" s="360" t="str">
        <f t="shared" si="0"/>
        <v>Dieciseisavofinalista</v>
      </c>
      <c r="C134" s="349" t="str">
        <f ca="1">WORLDCUP!AA105</f>
        <v>Costa de Marfil</v>
      </c>
      <c r="D134" s="704"/>
      <c r="E134" s="370"/>
      <c r="F134" s="370"/>
      <c r="G134" s="370"/>
      <c r="H134" s="370"/>
      <c r="I134" s="381"/>
      <c r="J134" s="370"/>
      <c r="K134" s="370"/>
      <c r="L134" s="370"/>
      <c r="M134" s="379"/>
      <c r="N134" s="377"/>
    </row>
    <row r="135" spans="1:14" ht="15" customHeight="1" x14ac:dyDescent="0.2">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x14ac:dyDescent="0.2">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x14ac:dyDescent="0.2">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x14ac:dyDescent="0.2">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x14ac:dyDescent="0.2">
      <c r="A139" s="703"/>
      <c r="B139" s="360" t="str">
        <f t="shared" si="0"/>
        <v>Dieciseisavofinalista</v>
      </c>
      <c r="C139" s="349" t="str">
        <f ca="1">WORLDCUP!AA110</f>
        <v>Estados Unidos</v>
      </c>
      <c r="D139" s="704"/>
      <c r="E139" s="370"/>
      <c r="F139" s="370"/>
      <c r="G139" s="370"/>
      <c r="H139" s="370"/>
      <c r="I139" s="381"/>
      <c r="J139" s="370"/>
      <c r="K139" s="370"/>
      <c r="L139" s="370"/>
      <c r="M139" s="379"/>
      <c r="N139" s="377"/>
    </row>
    <row r="140" spans="1:14" ht="15" customHeight="1" x14ac:dyDescent="0.2">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x14ac:dyDescent="0.2">
      <c r="A141" s="703"/>
      <c r="B141" s="360" t="str">
        <f t="shared" si="0"/>
        <v>Dieciseisavofinalista</v>
      </c>
      <c r="C141" s="349" t="str">
        <f ca="1">WORLDCUP!AA112</f>
        <v>Portugal</v>
      </c>
      <c r="D141" s="704"/>
      <c r="E141" s="370"/>
      <c r="F141" s="370"/>
      <c r="G141" s="370"/>
      <c r="H141" s="370"/>
      <c r="I141" s="381"/>
      <c r="J141" s="370"/>
      <c r="K141" s="370"/>
      <c r="L141" s="370"/>
      <c r="M141" s="379"/>
      <c r="N141" s="377"/>
    </row>
    <row r="142" spans="1:14" ht="15" customHeight="1" x14ac:dyDescent="0.2">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x14ac:dyDescent="0.2">
      <c r="A143" s="703"/>
      <c r="B143" s="360" t="str">
        <f t="shared" si="0"/>
        <v>Dieciseisavofinalista</v>
      </c>
      <c r="C143" s="349" t="str">
        <f ca="1">WORLDCUP!AA114</f>
        <v>Australia</v>
      </c>
      <c r="D143" s="704"/>
      <c r="E143" s="370"/>
      <c r="F143" s="370"/>
      <c r="G143" s="370"/>
      <c r="H143" s="370"/>
      <c r="I143" s="381"/>
      <c r="J143" s="370"/>
      <c r="K143" s="370"/>
      <c r="L143" s="370"/>
      <c r="M143" s="379"/>
      <c r="N143" s="377"/>
    </row>
    <row r="144" spans="1:14" ht="15" customHeight="1" x14ac:dyDescent="0.2">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x14ac:dyDescent="0.2">
      <c r="A145" s="703"/>
      <c r="B145" s="360" t="str">
        <f t="shared" si="0"/>
        <v>Dieciseisavofinalista</v>
      </c>
      <c r="C145" s="349" t="str">
        <f ca="1">WORLDCUP!AA116</f>
        <v>Colombia</v>
      </c>
      <c r="D145" s="704"/>
      <c r="E145" s="370"/>
      <c r="F145" s="370"/>
      <c r="G145" s="370"/>
      <c r="H145" s="370"/>
      <c r="I145" s="381"/>
      <c r="J145" s="370"/>
      <c r="K145" s="370"/>
      <c r="L145" s="370"/>
      <c r="M145" s="379"/>
      <c r="N145" s="377"/>
    </row>
    <row r="146" spans="1:14" ht="15" customHeight="1" x14ac:dyDescent="0.2">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x14ac:dyDescent="0.2">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x14ac:dyDescent="0.2">
      <c r="A148" s="703"/>
      <c r="B148" s="360" t="str">
        <f t="shared" ref="B148:B161" si="1">B147</f>
        <v>Dieciseisavofinalista</v>
      </c>
      <c r="C148" s="349" t="str">
        <f ca="1">WORLDCUP!AF103</f>
        <v>Paraguay</v>
      </c>
      <c r="D148" s="704"/>
      <c r="E148" s="370"/>
      <c r="F148" s="370"/>
      <c r="G148" s="370"/>
      <c r="H148" s="370"/>
      <c r="I148" s="381"/>
      <c r="J148" s="370"/>
      <c r="K148" s="370"/>
      <c r="L148" s="370"/>
      <c r="M148" s="379"/>
      <c r="N148" s="377"/>
    </row>
    <row r="149" spans="1:14" ht="15" customHeight="1" x14ac:dyDescent="0.2">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x14ac:dyDescent="0.2">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x14ac:dyDescent="0.2">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x14ac:dyDescent="0.2">
      <c r="A152" s="703"/>
      <c r="B152" s="360" t="str">
        <f t="shared" si="1"/>
        <v>Dieciseisavofinalista</v>
      </c>
      <c r="C152" s="349" t="str">
        <f ca="1">WORLDCUP!AF107</f>
        <v>Ecuador</v>
      </c>
      <c r="D152" s="704"/>
      <c r="E152" s="370"/>
      <c r="F152" s="370"/>
      <c r="G152" s="370"/>
      <c r="H152" s="370"/>
      <c r="I152" s="381"/>
      <c r="J152" s="370"/>
      <c r="K152" s="370"/>
      <c r="L152" s="370"/>
      <c r="M152" s="379"/>
      <c r="N152" s="377"/>
    </row>
    <row r="153" spans="1:14" ht="15" customHeight="1" x14ac:dyDescent="0.2">
      <c r="A153" s="703"/>
      <c r="B153" s="360" t="str">
        <f t="shared" si="1"/>
        <v>Dieciseisavofinalista</v>
      </c>
      <c r="C153" s="349" t="str">
        <f ca="1">WORLDCUP!AF108</f>
        <v>RD Congo</v>
      </c>
      <c r="D153" s="704"/>
      <c r="E153" s="370"/>
      <c r="F153" s="370"/>
      <c r="G153" s="370"/>
      <c r="H153" s="370"/>
      <c r="I153" s="381"/>
      <c r="J153" s="370"/>
      <c r="K153" s="370"/>
      <c r="L153" s="370"/>
      <c r="M153" s="379"/>
      <c r="N153" s="377"/>
    </row>
    <row r="154" spans="1:14" ht="15" customHeight="1" x14ac:dyDescent="0.2">
      <c r="A154" s="703"/>
      <c r="B154" s="360" t="str">
        <f t="shared" si="1"/>
        <v>Dieciseisavofinalista</v>
      </c>
      <c r="C154" s="349" t="str">
        <f ca="1">WORLDCUP!AF109</f>
        <v>Senegal</v>
      </c>
      <c r="D154" s="704"/>
      <c r="E154" s="370"/>
      <c r="F154" s="370"/>
      <c r="G154" s="370"/>
      <c r="H154" s="370"/>
      <c r="I154" s="381"/>
      <c r="J154" s="370"/>
      <c r="K154" s="370"/>
      <c r="L154" s="370"/>
      <c r="M154" s="379"/>
      <c r="N154" s="377"/>
    </row>
    <row r="155" spans="1:14" ht="15" customHeight="1" x14ac:dyDescent="0.2">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x14ac:dyDescent="0.2">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x14ac:dyDescent="0.2">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x14ac:dyDescent="0.2">
      <c r="A158" s="703"/>
      <c r="B158" s="360" t="str">
        <f t="shared" si="1"/>
        <v>Dieciseisavofinalista</v>
      </c>
      <c r="C158" s="349" t="str">
        <f ca="1">WORLDCUP!AF113</f>
        <v>Argelia</v>
      </c>
      <c r="D158" s="704"/>
      <c r="E158" s="370"/>
      <c r="F158" s="370"/>
      <c r="G158" s="370"/>
      <c r="H158" s="370"/>
      <c r="I158" s="381"/>
      <c r="J158" s="370"/>
      <c r="K158" s="370"/>
      <c r="L158" s="370"/>
      <c r="M158" s="379"/>
      <c r="N158" s="377"/>
    </row>
    <row r="159" spans="1:14" ht="15" customHeight="1" x14ac:dyDescent="0.2">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x14ac:dyDescent="0.2">
      <c r="A160" s="703"/>
      <c r="B160" s="360" t="str">
        <f t="shared" si="1"/>
        <v>Dieciseisavofinalista</v>
      </c>
      <c r="C160" s="349" t="str">
        <f ca="1">WORLDCUP!AF115</f>
        <v>Cabo Verde</v>
      </c>
      <c r="D160" s="704"/>
      <c r="E160" s="370"/>
      <c r="F160" s="370"/>
      <c r="G160" s="370"/>
      <c r="H160" s="370"/>
      <c r="I160" s="381"/>
      <c r="J160" s="370"/>
      <c r="K160" s="370"/>
      <c r="L160" s="370"/>
      <c r="M160" s="379"/>
      <c r="N160" s="377"/>
    </row>
    <row r="161" spans="1:14" ht="15" customHeight="1" x14ac:dyDescent="0.2">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20" customHeight="1" x14ac:dyDescent="0.2">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 customHeight="1" x14ac:dyDescent="0.25">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x14ac:dyDescent="0.2">
      <c r="A164" s="703"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Sudáfrica-Canadá·2|1-3</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x14ac:dyDescent="0.2">
      <c r="A165" s="703"/>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Brasil-Japón·1|2-1</v>
      </c>
      <c r="D165" s="706"/>
      <c r="E165" s="692"/>
      <c r="F165" s="692"/>
      <c r="G165" s="692"/>
      <c r="H165" s="692"/>
      <c r="I165" s="352"/>
      <c r="J165" s="370"/>
      <c r="K165" s="370"/>
      <c r="L165" s="370"/>
      <c r="M165" s="386"/>
      <c r="N165" s="377"/>
    </row>
    <row r="166" spans="1:14" ht="15" customHeight="1" x14ac:dyDescent="0.2">
      <c r="A166" s="703"/>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Alemania-Paraguay·1|3-0</v>
      </c>
      <c r="D166" s="706"/>
      <c r="E166" s="692"/>
      <c r="F166" s="692"/>
      <c r="G166" s="692"/>
      <c r="H166" s="692"/>
      <c r="I166" s="352"/>
      <c r="J166" s="370"/>
      <c r="K166" s="370"/>
      <c r="L166" s="370"/>
      <c r="M166" s="386"/>
      <c r="N166" s="377"/>
    </row>
    <row r="167" spans="1:14" ht="15" customHeight="1" x14ac:dyDescent="0.2">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Bajos-Marruecos·2|0-1</v>
      </c>
      <c r="D167" s="706"/>
      <c r="E167" s="692"/>
      <c r="F167" s="692"/>
      <c r="G167" s="692"/>
      <c r="H167" s="692"/>
      <c r="I167" s="352"/>
      <c r="J167" s="370"/>
      <c r="K167" s="370"/>
      <c r="L167" s="370"/>
      <c r="M167" s="386"/>
      <c r="N167" s="377"/>
    </row>
    <row r="168" spans="1:14" ht="15" customHeight="1" x14ac:dyDescent="0.2">
      <c r="A168" s="703"/>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Marfil-Noruega·2|0-1</v>
      </c>
      <c r="D168" s="706"/>
      <c r="E168" s="370"/>
      <c r="F168" s="370"/>
      <c r="G168" s="370"/>
      <c r="H168" s="370"/>
      <c r="I168" s="352"/>
      <c r="J168" s="370"/>
      <c r="K168" s="370"/>
      <c r="L168" s="370"/>
      <c r="M168" s="386"/>
      <c r="N168" s="377"/>
    </row>
    <row r="169" spans="1:14" ht="15" customHeight="1" x14ac:dyDescent="0.2">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Francia-Suecia·1|3-1</v>
      </c>
      <c r="D169" s="706"/>
      <c r="E169" s="370"/>
      <c r="F169" s="370"/>
      <c r="G169" s="370"/>
      <c r="H169" s="370"/>
      <c r="I169" s="352"/>
      <c r="J169" s="370"/>
      <c r="K169" s="370"/>
      <c r="L169" s="370"/>
      <c r="M169" s="386"/>
      <c r="N169" s="377"/>
    </row>
    <row r="170" spans="1:14" ht="15" customHeight="1" x14ac:dyDescent="0.2">
      <c r="A170" s="703"/>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México-Ecuador·1|2-1</v>
      </c>
      <c r="D170" s="706"/>
      <c r="E170" s="370"/>
      <c r="F170" s="370"/>
      <c r="G170" s="370"/>
      <c r="H170" s="370"/>
      <c r="I170" s="352"/>
      <c r="J170" s="370"/>
      <c r="K170" s="370"/>
      <c r="L170" s="370"/>
      <c r="M170" s="386"/>
      <c r="N170" s="377"/>
    </row>
    <row r="171" spans="1:14" ht="15" customHeight="1" x14ac:dyDescent="0.2">
      <c r="A171" s="703"/>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Congo·1|2-0</v>
      </c>
      <c r="D171" s="706"/>
      <c r="E171" s="370"/>
      <c r="F171" s="370"/>
      <c r="G171" s="370"/>
      <c r="H171" s="370"/>
      <c r="I171" s="352"/>
      <c r="J171" s="370"/>
      <c r="K171" s="370"/>
      <c r="L171" s="370"/>
      <c r="M171" s="386"/>
      <c r="N171" s="377"/>
    </row>
    <row r="172" spans="1:14" ht="15" customHeight="1" x14ac:dyDescent="0.2">
      <c r="A172" s="703"/>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Bélgica-Senegal·1|2-1</v>
      </c>
      <c r="D172" s="706"/>
      <c r="E172" s="370"/>
      <c r="F172" s="370"/>
      <c r="G172" s="370"/>
      <c r="H172" s="370"/>
      <c r="I172" s="352"/>
      <c r="J172" s="370"/>
      <c r="K172" s="370"/>
      <c r="L172" s="370"/>
      <c r="M172" s="386"/>
      <c r="N172" s="377"/>
    </row>
    <row r="173" spans="1:14" ht="15" customHeight="1" x14ac:dyDescent="0.2">
      <c r="A173" s="703"/>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Herzegovina·1|2-1</v>
      </c>
      <c r="D173" s="706"/>
      <c r="E173" s="370"/>
      <c r="F173" s="370"/>
      <c r="G173" s="370"/>
      <c r="H173" s="370"/>
      <c r="I173" s="352"/>
      <c r="J173" s="370"/>
      <c r="K173" s="370"/>
      <c r="L173" s="370"/>
      <c r="M173" s="386"/>
      <c r="N173" s="377"/>
    </row>
    <row r="174" spans="1:14" ht="15" customHeight="1" x14ac:dyDescent="0.2">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706"/>
      <c r="E174" s="370"/>
      <c r="F174" s="370"/>
      <c r="G174" s="370"/>
      <c r="H174" s="370"/>
      <c r="I174" s="352"/>
      <c r="J174" s="370"/>
      <c r="K174" s="370"/>
      <c r="L174" s="370"/>
      <c r="M174" s="386"/>
      <c r="N174" s="377"/>
    </row>
    <row r="175" spans="1:14" ht="15" customHeight="1" x14ac:dyDescent="0.2">
      <c r="A175" s="703"/>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Portugal-Croacia·X|1-1</v>
      </c>
      <c r="D175" s="706"/>
      <c r="E175" s="370"/>
      <c r="F175" s="370"/>
      <c r="G175" s="370"/>
      <c r="H175" s="370"/>
      <c r="I175" s="352"/>
      <c r="J175" s="370"/>
      <c r="K175" s="370"/>
      <c r="L175" s="370"/>
      <c r="M175" s="386"/>
      <c r="N175" s="377"/>
    </row>
    <row r="176" spans="1:14" ht="15" customHeight="1" x14ac:dyDescent="0.2">
      <c r="A176" s="703"/>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Suiza-Argelia·1|1-0</v>
      </c>
      <c r="D176" s="706"/>
      <c r="E176" s="370"/>
      <c r="F176" s="370"/>
      <c r="G176" s="370"/>
      <c r="H176" s="370"/>
      <c r="I176" s="352"/>
      <c r="J176" s="370"/>
      <c r="K176" s="370"/>
      <c r="L176" s="370"/>
      <c r="M176" s="386"/>
      <c r="N176" s="377"/>
    </row>
    <row r="177" spans="1:14" ht="15" customHeight="1" x14ac:dyDescent="0.2">
      <c r="A177" s="703"/>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Australia-Egipto·X|2-2</v>
      </c>
      <c r="D177" s="706"/>
      <c r="E177" s="370"/>
      <c r="F177" s="370"/>
      <c r="G177" s="370"/>
      <c r="H177" s="370"/>
      <c r="I177" s="352"/>
      <c r="J177" s="370"/>
      <c r="K177" s="370"/>
      <c r="L177" s="370"/>
      <c r="M177" s="386"/>
      <c r="N177" s="377"/>
    </row>
    <row r="178" spans="1:14" ht="15" customHeight="1" x14ac:dyDescent="0.2">
      <c r="A178" s="703"/>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Verde·1|2-0</v>
      </c>
      <c r="D178" s="706"/>
      <c r="E178" s="370"/>
      <c r="F178" s="370"/>
      <c r="G178" s="370"/>
      <c r="H178" s="370"/>
      <c r="I178" s="352"/>
      <c r="J178" s="370"/>
      <c r="K178" s="370"/>
      <c r="L178" s="370"/>
      <c r="M178" s="386"/>
      <c r="N178" s="377"/>
    </row>
    <row r="179" spans="1:14" ht="15" customHeight="1" x14ac:dyDescent="0.2">
      <c r="A179" s="703"/>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Colombia-Ghana·1|2-1</v>
      </c>
      <c r="D179" s="706"/>
      <c r="E179" s="370"/>
      <c r="F179" s="370"/>
      <c r="G179" s="370"/>
      <c r="H179" s="370"/>
      <c r="I179" s="352"/>
      <c r="J179" s="370"/>
      <c r="K179" s="370"/>
      <c r="L179" s="370"/>
      <c r="M179" s="386"/>
      <c r="N179" s="377"/>
    </row>
    <row r="180" spans="1:14" ht="15" customHeight="1" x14ac:dyDescent="0.2">
      <c r="A180" s="353"/>
      <c r="B180" s="353"/>
      <c r="C180" s="350"/>
      <c r="D180" s="706"/>
      <c r="E180" s="370"/>
      <c r="F180" s="370"/>
      <c r="G180" s="370"/>
      <c r="H180" s="370"/>
      <c r="I180" s="352"/>
      <c r="J180" s="370"/>
      <c r="K180" s="370"/>
      <c r="L180" s="370"/>
      <c r="M180" s="386"/>
      <c r="N180" s="377"/>
    </row>
    <row r="181" spans="1:14" ht="19" customHeight="1" x14ac:dyDescent="0.25">
      <c r="A181" s="353"/>
      <c r="B181" s="358" t="str">
        <f>Idiomas!D129</f>
        <v>CLASIFICADOS PARA OCTAVOS</v>
      </c>
      <c r="C181" s="350"/>
      <c r="D181" s="706"/>
      <c r="E181" s="370"/>
      <c r="F181" s="370"/>
      <c r="G181" s="370"/>
      <c r="H181" s="370"/>
      <c r="I181" s="352"/>
      <c r="J181" s="370"/>
      <c r="K181" s="370"/>
      <c r="L181" s="370"/>
      <c r="M181" s="386"/>
      <c r="N181" s="377"/>
    </row>
    <row r="182" spans="1:14" ht="15" customHeight="1" x14ac:dyDescent="0.2">
      <c r="A182" s="703" t="s">
        <v>89</v>
      </c>
      <c r="B182" s="360" t="str">
        <f>Idiomas!$D$189</f>
        <v>Octavofinalista</v>
      </c>
      <c r="C182" s="349" t="str">
        <f ca="1">WORLDCUP!AA120</f>
        <v>Canadá</v>
      </c>
      <c r="D182" s="706"/>
      <c r="E182" s="370"/>
      <c r="F182" s="370"/>
      <c r="G182" s="370"/>
      <c r="H182" s="370"/>
      <c r="I182" s="352"/>
      <c r="J182" s="370"/>
      <c r="K182" s="370"/>
      <c r="L182" s="370"/>
      <c r="M182" s="386"/>
      <c r="N182" s="377"/>
    </row>
    <row r="183" spans="1:14" ht="15" customHeight="1" x14ac:dyDescent="0.2">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x14ac:dyDescent="0.2">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x14ac:dyDescent="0.2">
      <c r="A185" s="703"/>
      <c r="B185" s="360" t="str">
        <f t="shared" si="2"/>
        <v>Octavofinalista</v>
      </c>
      <c r="C185" s="349" t="str">
        <f ca="1">WORLDCUP!AA123</f>
        <v>México</v>
      </c>
      <c r="D185" s="706"/>
      <c r="E185" s="370"/>
      <c r="F185" s="370"/>
      <c r="G185" s="370"/>
      <c r="H185" s="370"/>
      <c r="I185" s="352"/>
      <c r="J185" s="370"/>
      <c r="K185" s="370"/>
      <c r="L185" s="370"/>
      <c r="M185" s="386"/>
      <c r="N185" s="377"/>
    </row>
    <row r="186" spans="1:14" ht="15" customHeight="1" x14ac:dyDescent="0.2">
      <c r="A186" s="703"/>
      <c r="B186" s="360" t="str">
        <f t="shared" si="2"/>
        <v>Octavofinalista</v>
      </c>
      <c r="C186" s="349" t="str">
        <f ca="1">WORLDCUP!AA124</f>
        <v>Portugal</v>
      </c>
      <c r="D186" s="706"/>
      <c r="E186" s="370"/>
      <c r="F186" s="370"/>
      <c r="G186" s="370"/>
      <c r="H186" s="370"/>
      <c r="I186" s="352"/>
      <c r="J186" s="370"/>
      <c r="K186" s="370"/>
      <c r="L186" s="370"/>
      <c r="M186" s="386"/>
      <c r="N186" s="377"/>
    </row>
    <row r="187" spans="1:14" ht="15" customHeight="1" x14ac:dyDescent="0.2">
      <c r="A187" s="703"/>
      <c r="B187" s="360" t="str">
        <f t="shared" si="2"/>
        <v>Octavofinalista</v>
      </c>
      <c r="C187" s="349" t="str">
        <f ca="1">WORLDCUP!AA125</f>
        <v>Estados Unidos</v>
      </c>
      <c r="D187" s="706"/>
      <c r="E187" s="370"/>
      <c r="F187" s="370"/>
      <c r="G187" s="370"/>
      <c r="H187" s="370"/>
      <c r="I187" s="352"/>
      <c r="J187" s="370"/>
      <c r="K187" s="370"/>
      <c r="L187" s="370"/>
      <c r="M187" s="386"/>
      <c r="N187" s="377"/>
    </row>
    <row r="188" spans="1:14" ht="15" customHeight="1" x14ac:dyDescent="0.2">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x14ac:dyDescent="0.2">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x14ac:dyDescent="0.2">
      <c r="A190" s="703"/>
      <c r="B190" s="360" t="str">
        <f t="shared" si="2"/>
        <v>Octavofinalista</v>
      </c>
      <c r="C190" s="349" t="str">
        <f ca="1">WORLDCUP!AF120</f>
        <v>Marruecos</v>
      </c>
      <c r="D190" s="706"/>
      <c r="E190" s="370"/>
      <c r="F190" s="370"/>
      <c r="G190" s="370"/>
      <c r="H190" s="370"/>
      <c r="I190" s="352"/>
      <c r="J190" s="370"/>
      <c r="K190" s="370"/>
      <c r="L190" s="370"/>
      <c r="M190" s="386"/>
      <c r="N190" s="377"/>
    </row>
    <row r="191" spans="1:14" ht="15" customHeight="1" x14ac:dyDescent="0.2">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x14ac:dyDescent="0.2">
      <c r="A192" s="703"/>
      <c r="B192" s="360" t="str">
        <f t="shared" si="2"/>
        <v>Octavofinalista</v>
      </c>
      <c r="C192" s="349" t="str">
        <f ca="1">WORLDCUP!AF122</f>
        <v>Noruega</v>
      </c>
      <c r="D192" s="706"/>
      <c r="E192" s="370"/>
      <c r="F192" s="370"/>
      <c r="G192" s="370"/>
      <c r="H192" s="370"/>
      <c r="I192" s="352"/>
      <c r="J192" s="370"/>
      <c r="K192" s="370"/>
      <c r="L192" s="370"/>
      <c r="M192" s="386"/>
      <c r="N192" s="377"/>
    </row>
    <row r="193" spans="1:14" ht="15" customHeight="1" x14ac:dyDescent="0.2">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x14ac:dyDescent="0.2">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x14ac:dyDescent="0.2">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x14ac:dyDescent="0.2">
      <c r="A196" s="703"/>
      <c r="B196" s="360" t="str">
        <f t="shared" si="2"/>
        <v>Octavofinalista</v>
      </c>
      <c r="C196" s="349" t="str">
        <f ca="1">WORLDCUP!AF126</f>
        <v>Egipto</v>
      </c>
      <c r="D196" s="706"/>
      <c r="E196" s="370"/>
      <c r="F196" s="370"/>
      <c r="G196" s="370"/>
      <c r="H196" s="370"/>
      <c r="I196" s="352"/>
      <c r="J196" s="370"/>
      <c r="K196" s="370"/>
      <c r="L196" s="370"/>
      <c r="M196" s="386"/>
      <c r="N196" s="377"/>
    </row>
    <row r="197" spans="1:14" ht="15" customHeight="1" x14ac:dyDescent="0.2">
      <c r="A197" s="703"/>
      <c r="B197" s="360" t="str">
        <f t="shared" si="2"/>
        <v>Octavofinalista</v>
      </c>
      <c r="C197" s="349" t="str">
        <f ca="1">WORLDCUP!AF127</f>
        <v>Colombia</v>
      </c>
      <c r="D197" s="706"/>
      <c r="E197" s="373"/>
      <c r="F197" s="373"/>
      <c r="G197" s="373"/>
      <c r="H197" s="373"/>
      <c r="I197" s="352"/>
      <c r="J197" s="370"/>
      <c r="K197" s="370"/>
      <c r="L197" s="370"/>
      <c r="M197" s="386"/>
      <c r="N197" s="377"/>
    </row>
    <row r="198" spans="1:14" x14ac:dyDescent="0.2">
      <c r="A198" s="353"/>
      <c r="B198" s="353"/>
      <c r="C198" s="350"/>
      <c r="D198" s="370"/>
      <c r="E198" s="370"/>
      <c r="F198" s="370"/>
      <c r="G198" s="370"/>
      <c r="H198" s="370"/>
      <c r="I198" s="387"/>
      <c r="J198" s="370"/>
      <c r="K198" s="370"/>
      <c r="L198" s="370"/>
      <c r="M198" s="386"/>
      <c r="N198" s="377"/>
    </row>
    <row r="199" spans="1:14" ht="19" customHeight="1" x14ac:dyDescent="0.25">
      <c r="A199" s="353"/>
      <c r="B199" s="358" t="str">
        <f>Idiomas!D130</f>
        <v>ENFRENTAMIENTOS OCTAVOS</v>
      </c>
      <c r="C199" s="350"/>
      <c r="D199" s="370"/>
      <c r="E199" s="370"/>
      <c r="F199" s="370"/>
      <c r="G199" s="370"/>
      <c r="H199" s="370"/>
      <c r="I199" s="388"/>
      <c r="J199" s="370"/>
      <c r="K199" s="370"/>
      <c r="L199" s="370"/>
      <c r="M199" s="386"/>
      <c r="N199" s="377"/>
    </row>
    <row r="200" spans="1:14" ht="15" customHeight="1" x14ac:dyDescent="0.2">
      <c r="A200" s="703" t="s">
        <v>89</v>
      </c>
      <c r="B200" s="361" t="str">
        <f ca="1">CONCATENATE(WORLDCUP!AA120,"-",WORLDCUP!AF120)</f>
        <v>Canadá-Marruecos</v>
      </c>
      <c r="C200" s="351" t="str">
        <f ca="1">CONCATENATE(WORLDCUP!AA120,"-",WORLDCUP!AF120,"·",IF(WORLDCUP!AC120&gt;WORLDCUP!AD120,1,IF(WORLDCUP!AC120&lt;WORLDCUP!AD120,2,IF(AND(WORLDCUP!AC120=WORLDCUP!AD120,WORLDCUP!AC120&lt;&gt;"",WORLDCUP!AD120&lt;&gt;""),"X",0))),"|",WORLDCUP!AC120,"-",WORLDCUP!AD120)</f>
        <v>Canadá-Marruecos·2|1-2</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x14ac:dyDescent="0.2">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86"/>
      <c r="E201" s="685"/>
      <c r="F201" s="685"/>
      <c r="G201" s="685"/>
      <c r="H201" s="685"/>
      <c r="I201" s="352"/>
      <c r="J201" s="370"/>
      <c r="K201" s="370"/>
      <c r="L201" s="370"/>
      <c r="M201" s="386"/>
      <c r="N201" s="377"/>
    </row>
    <row r="202" spans="1:14" ht="15" customHeight="1" x14ac:dyDescent="0.2">
      <c r="A202" s="703"/>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Brasil-Noruega·1|2-1</v>
      </c>
      <c r="D202" s="686"/>
      <c r="E202" s="685"/>
      <c r="F202" s="685"/>
      <c r="G202" s="685"/>
      <c r="H202" s="685"/>
      <c r="I202" s="352"/>
      <c r="J202" s="370"/>
      <c r="K202" s="370"/>
      <c r="L202" s="370"/>
      <c r="M202" s="386"/>
      <c r="N202" s="377"/>
    </row>
    <row r="203" spans="1:14" ht="15" customHeight="1" x14ac:dyDescent="0.2">
      <c r="A203" s="703"/>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México-Inglaterra·2|1-2</v>
      </c>
      <c r="D203" s="686"/>
      <c r="E203" s="685"/>
      <c r="F203" s="685"/>
      <c r="G203" s="685"/>
      <c r="H203" s="685"/>
      <c r="I203" s="352"/>
      <c r="J203" s="370"/>
      <c r="K203" s="370"/>
      <c r="L203" s="370"/>
      <c r="M203" s="386"/>
      <c r="N203" s="377"/>
    </row>
    <row r="204" spans="1:14" ht="15" customHeight="1" x14ac:dyDescent="0.2">
      <c r="A204" s="703"/>
      <c r="B204" s="361" t="str">
        <f ca="1">CONCATENATE(WORLDCUP!AA124,"-",WORLDCUP!AF124)</f>
        <v>Portugal-España</v>
      </c>
      <c r="C204" s="351" t="str">
        <f ca="1">CONCATENATE(WORLDCUP!AA124,"-",WORLDCUP!AF124,"·",IF(WORLDCUP!AC124&gt;WORLDCUP!AD124,1,IF(WORLDCUP!AC124&lt;WORLDCUP!AD124,2,IF(AND(WORLDCUP!AC124=WORLDCUP!AD124,WORLDCUP!AC124&lt;&gt;"",WORLDCUP!AD124&lt;&gt;""),"X",0))),"|",WORLDCUP!AC124,"-",WORLDCUP!AD124)</f>
        <v>Portugal-España·2|1-2</v>
      </c>
      <c r="D204" s="686"/>
      <c r="E204" s="352"/>
      <c r="F204" s="352"/>
      <c r="G204" s="352"/>
      <c r="H204" s="352"/>
      <c r="I204" s="352"/>
      <c r="J204" s="370"/>
      <c r="K204" s="370"/>
      <c r="L204" s="370"/>
      <c r="M204" s="386"/>
      <c r="N204" s="377"/>
    </row>
    <row r="205" spans="1:14" ht="15" customHeight="1" x14ac:dyDescent="0.2">
      <c r="A205" s="703"/>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Unidos-Bélgica·1|2-1</v>
      </c>
      <c r="D205" s="686"/>
      <c r="E205" s="352"/>
      <c r="F205" s="352"/>
      <c r="G205" s="352"/>
      <c r="H205" s="352"/>
      <c r="I205" s="352"/>
      <c r="J205" s="370"/>
      <c r="K205" s="370"/>
      <c r="L205" s="370"/>
      <c r="M205" s="386"/>
      <c r="N205" s="377"/>
    </row>
    <row r="206" spans="1:14" ht="15" customHeight="1" x14ac:dyDescent="0.2">
      <c r="A206" s="703"/>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Argentina-Egipto·1|2-0</v>
      </c>
      <c r="D206" s="686"/>
      <c r="E206" s="352"/>
      <c r="F206" s="352"/>
      <c r="G206" s="352"/>
      <c r="H206" s="352"/>
      <c r="I206" s="352"/>
      <c r="J206" s="370"/>
      <c r="K206" s="370"/>
      <c r="L206" s="370"/>
      <c r="M206" s="386"/>
      <c r="N206" s="377"/>
    </row>
    <row r="207" spans="1:14" ht="15" customHeight="1" x14ac:dyDescent="0.2">
      <c r="A207" s="703"/>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Suiza-Colombia·2|0-1</v>
      </c>
      <c r="D207" s="686"/>
      <c r="E207" s="352"/>
      <c r="F207" s="352"/>
      <c r="G207" s="352"/>
      <c r="H207" s="352"/>
      <c r="I207" s="352"/>
      <c r="J207" s="370"/>
      <c r="K207" s="370"/>
      <c r="L207" s="370"/>
      <c r="M207" s="386"/>
      <c r="N207" s="377"/>
    </row>
    <row r="208" spans="1:14" ht="15" customHeight="1" x14ac:dyDescent="0.2">
      <c r="A208" s="353"/>
      <c r="B208" s="353"/>
      <c r="C208" s="350"/>
      <c r="D208" s="686"/>
      <c r="E208" s="370"/>
      <c r="F208" s="370"/>
      <c r="G208" s="370"/>
      <c r="H208" s="370"/>
      <c r="I208" s="352"/>
      <c r="J208" s="370"/>
      <c r="K208" s="370"/>
      <c r="L208" s="370"/>
      <c r="M208" s="386"/>
      <c r="N208" s="377"/>
    </row>
    <row r="209" spans="1:14" ht="19" customHeight="1" x14ac:dyDescent="0.25">
      <c r="A209" s="353"/>
      <c r="B209" s="358" t="str">
        <f>Idiomas!D131</f>
        <v>CLASIFICADOS PARA CUARTOS</v>
      </c>
      <c r="C209" s="350"/>
      <c r="D209" s="686"/>
      <c r="E209" s="370"/>
      <c r="F209" s="370"/>
      <c r="G209" s="370"/>
      <c r="H209" s="370"/>
      <c r="I209" s="352"/>
      <c r="J209" s="370"/>
      <c r="K209" s="370"/>
      <c r="L209" s="370"/>
      <c r="M209" s="386"/>
      <c r="N209" s="377"/>
    </row>
    <row r="210" spans="1:14" ht="15" customHeight="1" x14ac:dyDescent="0.2">
      <c r="A210" s="703" t="s">
        <v>36</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x14ac:dyDescent="0.2">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x14ac:dyDescent="0.2">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x14ac:dyDescent="0.2">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x14ac:dyDescent="0.2">
      <c r="A214" s="703"/>
      <c r="B214" s="360" t="str">
        <f t="shared" si="3"/>
        <v>Cuartofinalista</v>
      </c>
      <c r="C214" s="349" t="str">
        <f ca="1">WORLDCUP!AF131</f>
        <v>Marruecos</v>
      </c>
      <c r="D214" s="686"/>
      <c r="E214" s="370"/>
      <c r="F214" s="370"/>
      <c r="G214" s="370"/>
      <c r="H214" s="370"/>
      <c r="I214" s="352"/>
      <c r="J214" s="370"/>
      <c r="K214" s="370"/>
      <c r="L214" s="370"/>
      <c r="M214" s="386"/>
      <c r="N214" s="377"/>
    </row>
    <row r="215" spans="1:14" ht="15" customHeight="1" x14ac:dyDescent="0.2">
      <c r="A215" s="703"/>
      <c r="B215" s="360" t="str">
        <f t="shared" si="3"/>
        <v>Cuartofinalista</v>
      </c>
      <c r="C215" s="349" t="str">
        <f ca="1">WORLDCUP!AF132</f>
        <v>Estados Unidos</v>
      </c>
      <c r="D215" s="686"/>
      <c r="E215" s="370"/>
      <c r="F215" s="370"/>
      <c r="G215" s="370"/>
      <c r="H215" s="370"/>
      <c r="I215" s="352"/>
      <c r="J215" s="370"/>
      <c r="K215" s="370"/>
      <c r="L215" s="370"/>
      <c r="M215" s="386"/>
      <c r="N215" s="377"/>
    </row>
    <row r="216" spans="1:14" ht="15" customHeight="1" x14ac:dyDescent="0.2">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x14ac:dyDescent="0.2">
      <c r="A217" s="703"/>
      <c r="B217" s="360" t="str">
        <f t="shared" si="3"/>
        <v>Cuartofinalista</v>
      </c>
      <c r="C217" s="349" t="str">
        <f ca="1">WORLDCUP!AF134</f>
        <v>Colombia</v>
      </c>
      <c r="D217" s="686"/>
      <c r="E217" s="373"/>
      <c r="F217" s="373"/>
      <c r="G217" s="373"/>
      <c r="H217" s="373"/>
      <c r="I217" s="352"/>
      <c r="J217" s="370"/>
      <c r="K217" s="370"/>
      <c r="L217" s="370"/>
      <c r="M217" s="386"/>
      <c r="N217" s="377"/>
    </row>
    <row r="218" spans="1:14" x14ac:dyDescent="0.2">
      <c r="A218" s="353"/>
      <c r="B218" s="353"/>
      <c r="C218" s="350"/>
      <c r="D218" s="370"/>
      <c r="E218" s="370"/>
      <c r="F218" s="370"/>
      <c r="G218" s="370"/>
      <c r="H218" s="370"/>
      <c r="I218" s="387"/>
      <c r="J218" s="370"/>
      <c r="K218" s="370"/>
      <c r="L218" s="370"/>
      <c r="M218" s="386"/>
      <c r="N218" s="377"/>
    </row>
    <row r="219" spans="1:14" ht="19" x14ac:dyDescent="0.25">
      <c r="A219" s="353"/>
      <c r="B219" s="358" t="str">
        <f>Idiomas!D132</f>
        <v>ENFRENTAMIENTOS CUARTOS</v>
      </c>
      <c r="C219" s="350"/>
      <c r="D219" s="370"/>
      <c r="E219" s="370"/>
      <c r="F219" s="370"/>
      <c r="G219" s="370"/>
      <c r="H219" s="370"/>
      <c r="I219" s="388"/>
      <c r="J219" s="370"/>
      <c r="K219" s="370"/>
      <c r="L219" s="370"/>
      <c r="M219" s="386"/>
      <c r="N219" s="377"/>
    </row>
    <row r="220" spans="1:14" ht="15" customHeight="1" x14ac:dyDescent="0.2">
      <c r="A220" s="703"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Francia-Marruecos·1|3-1</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x14ac:dyDescent="0.2">
      <c r="A221" s="703"/>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Unidos·1|2-0</v>
      </c>
      <c r="D221" s="706"/>
      <c r="E221" s="685"/>
      <c r="F221" s="685"/>
      <c r="G221" s="685"/>
      <c r="H221" s="685"/>
      <c r="I221" s="352"/>
      <c r="J221" s="370"/>
      <c r="K221" s="370"/>
      <c r="L221" s="370"/>
      <c r="M221" s="386"/>
      <c r="N221" s="377"/>
    </row>
    <row r="222" spans="1:14" ht="15" customHeight="1" x14ac:dyDescent="0.2">
      <c r="A222" s="703"/>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Brasil-Inglaterra·2|1-2</v>
      </c>
      <c r="D222" s="706"/>
      <c r="E222" s="685"/>
      <c r="F222" s="685"/>
      <c r="G222" s="685"/>
      <c r="H222" s="685"/>
      <c r="I222" s="352"/>
      <c r="J222" s="370"/>
      <c r="K222" s="370"/>
      <c r="L222" s="370"/>
      <c r="M222" s="386"/>
      <c r="N222" s="377"/>
    </row>
    <row r="223" spans="1:14" ht="15" customHeight="1" x14ac:dyDescent="0.2">
      <c r="A223" s="703"/>
      <c r="B223" s="360" t="str">
        <f ca="1">CONCATENATE(WORLDCUP!AA134,"-",WORLDCUP!AF134)</f>
        <v>Argentina-Colombia</v>
      </c>
      <c r="C223" s="349" t="str">
        <f ca="1">CONCATENATE(WORLDCUP!AA134,"-",WORLDCUP!AF134,"·",IF(WORLDCUP!AC134&gt;WORLDCUP!AD134,1,IF(WORLDCUP!AC134&lt;WORLDCUP!AD134,2,IF(AND(WORLDCUP!AC134=WORLDCUP!AD134,WORLDCUP!AC134&lt;&gt;"",WORLDCUP!AD134&lt;&gt;""),"X",0))),"|",WORLDCUP!AC134,"-",WORLDCUP!AD134)</f>
        <v>Argentina-Colombia·1|2-1</v>
      </c>
      <c r="D223" s="706"/>
      <c r="E223" s="685"/>
      <c r="F223" s="685"/>
      <c r="G223" s="685"/>
      <c r="H223" s="685"/>
      <c r="I223" s="352"/>
      <c r="J223" s="370"/>
      <c r="K223" s="370"/>
      <c r="L223" s="370"/>
      <c r="M223" s="386"/>
      <c r="N223" s="377"/>
    </row>
    <row r="224" spans="1:14" x14ac:dyDescent="0.2">
      <c r="A224" s="353"/>
      <c r="B224" s="353"/>
      <c r="C224" s="350"/>
      <c r="D224" s="706"/>
      <c r="E224" s="352"/>
      <c r="F224" s="352"/>
      <c r="G224" s="352"/>
      <c r="H224" s="352"/>
      <c r="I224" s="352"/>
      <c r="J224" s="370"/>
      <c r="K224" s="370"/>
      <c r="L224" s="370"/>
      <c r="M224" s="386"/>
      <c r="N224" s="377"/>
    </row>
    <row r="225" spans="1:14" ht="19" x14ac:dyDescent="0.25">
      <c r="A225" s="353"/>
      <c r="B225" s="358" t="str">
        <f>Idiomas!D133</f>
        <v>CLASIFICADOS PARA SEMIFINALES</v>
      </c>
      <c r="C225" s="350"/>
      <c r="D225" s="706"/>
      <c r="E225" s="370"/>
      <c r="F225" s="370"/>
      <c r="G225" s="370"/>
      <c r="H225" s="370"/>
      <c r="I225" s="352"/>
      <c r="J225" s="370"/>
      <c r="K225" s="370"/>
      <c r="L225" s="370"/>
      <c r="M225" s="386"/>
      <c r="N225" s="377"/>
    </row>
    <row r="226" spans="1:14" ht="15" customHeight="1" x14ac:dyDescent="0.2">
      <c r="A226" s="703" t="s">
        <v>37</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x14ac:dyDescent="0.2">
      <c r="A227" s="703"/>
      <c r="B227" s="360" t="str">
        <f>Idiomas!$D$191</f>
        <v>Semifinalista</v>
      </c>
      <c r="C227" s="349" t="str">
        <f ca="1">WORLDCUP!AA139</f>
        <v>Inglaterra</v>
      </c>
      <c r="D227" s="706"/>
      <c r="E227" s="370"/>
      <c r="F227" s="370"/>
      <c r="G227" s="370"/>
      <c r="H227" s="370"/>
      <c r="I227" s="352"/>
      <c r="J227" s="370"/>
      <c r="K227" s="370"/>
      <c r="L227" s="370"/>
      <c r="M227" s="386"/>
      <c r="N227" s="377"/>
    </row>
    <row r="228" spans="1:14" ht="15" customHeight="1" x14ac:dyDescent="0.2">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x14ac:dyDescent="0.2">
      <c r="A229" s="703"/>
      <c r="B229" s="360" t="str">
        <f>Idiomas!$D$191</f>
        <v>Semifinalista</v>
      </c>
      <c r="C229" s="349" t="str">
        <f ca="1">WORLDCUP!AF139</f>
        <v>Argentina</v>
      </c>
      <c r="D229" s="706"/>
      <c r="E229" s="373"/>
      <c r="F229" s="373"/>
      <c r="G229" s="373"/>
      <c r="H229" s="373"/>
      <c r="I229" s="352"/>
      <c r="J229" s="370"/>
      <c r="K229" s="370"/>
      <c r="L229" s="370"/>
      <c r="M229" s="386"/>
      <c r="N229" s="377"/>
    </row>
    <row r="230" spans="1:14" x14ac:dyDescent="0.2">
      <c r="A230" s="353"/>
      <c r="B230" s="353"/>
      <c r="C230" s="350"/>
      <c r="D230" s="370"/>
      <c r="E230" s="370"/>
      <c r="F230" s="370"/>
      <c r="G230" s="370"/>
      <c r="H230" s="370"/>
      <c r="I230" s="388"/>
      <c r="J230" s="370"/>
      <c r="K230" s="370"/>
      <c r="L230" s="370"/>
      <c r="M230" s="386"/>
      <c r="N230" s="377"/>
    </row>
    <row r="231" spans="1:14" ht="19" customHeight="1" x14ac:dyDescent="0.25">
      <c r="A231" s="353"/>
      <c r="B231" s="358" t="str">
        <f>Idiomas!D134</f>
        <v>ENFRENTAMIENTOS SEMIFINALES</v>
      </c>
      <c r="C231" s="350"/>
      <c r="D231" s="370"/>
      <c r="E231" s="370"/>
      <c r="F231" s="370"/>
      <c r="G231" s="370"/>
      <c r="H231" s="370"/>
      <c r="I231" s="388"/>
      <c r="J231" s="370"/>
      <c r="K231" s="370"/>
      <c r="L231" s="370"/>
      <c r="M231" s="386"/>
      <c r="N231" s="377"/>
    </row>
    <row r="232" spans="1:14" ht="15" customHeight="1" x14ac:dyDescent="0.2">
      <c r="A232" s="710"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Francia-España·1|2-1</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x14ac:dyDescent="0.2">
      <c r="A233" s="710"/>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Inglaterra-Argentina·1|2-1</v>
      </c>
      <c r="D233" s="686"/>
      <c r="E233" s="685"/>
      <c r="F233" s="685"/>
      <c r="G233" s="685"/>
      <c r="H233" s="685"/>
      <c r="I233" s="352"/>
      <c r="J233" s="370"/>
      <c r="K233" s="370"/>
      <c r="L233" s="370"/>
      <c r="M233" s="386"/>
      <c r="N233" s="377"/>
    </row>
    <row r="234" spans="1:14" ht="15" customHeight="1" x14ac:dyDescent="0.2">
      <c r="A234" s="353"/>
      <c r="B234" s="353"/>
      <c r="C234" s="350"/>
      <c r="D234" s="686"/>
      <c r="E234" s="685"/>
      <c r="F234" s="685"/>
      <c r="G234" s="685"/>
      <c r="H234" s="685"/>
      <c r="I234" s="352"/>
      <c r="J234" s="370"/>
      <c r="K234" s="370"/>
      <c r="L234" s="370"/>
      <c r="M234" s="386"/>
      <c r="N234" s="377"/>
    </row>
    <row r="235" spans="1:14" ht="19" x14ac:dyDescent="0.2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x14ac:dyDescent="0.2">
      <c r="A236" s="710" t="s">
        <v>503</v>
      </c>
      <c r="B236" s="360" t="str">
        <f>Idiomas!D192</f>
        <v>3º y 4º puesto</v>
      </c>
      <c r="C236" s="349" t="str">
        <f ca="1">WORLDCUP!AA143</f>
        <v>España</v>
      </c>
      <c r="D236" s="686"/>
      <c r="E236" s="374"/>
      <c r="F236" s="374"/>
      <c r="G236" s="374"/>
      <c r="H236" s="374"/>
      <c r="I236" s="352"/>
      <c r="J236" s="370"/>
      <c r="K236" s="370"/>
      <c r="L236" s="370"/>
      <c r="M236" s="386"/>
      <c r="N236" s="377"/>
    </row>
    <row r="237" spans="1:14" ht="15" customHeight="1" x14ac:dyDescent="0.2">
      <c r="A237" s="710"/>
      <c r="B237" s="360" t="str">
        <f>Idiomas!D192</f>
        <v>3º y 4º puesto</v>
      </c>
      <c r="C237" s="349" t="str">
        <f ca="1">WORLDCUP!AF143</f>
        <v>Argentina</v>
      </c>
      <c r="D237" s="686"/>
      <c r="E237" s="374"/>
      <c r="F237" s="374"/>
      <c r="G237" s="374"/>
      <c r="H237" s="374"/>
      <c r="I237" s="352"/>
      <c r="J237" s="370"/>
      <c r="K237" s="370"/>
      <c r="L237" s="370"/>
      <c r="M237" s="386"/>
      <c r="N237" s="377"/>
    </row>
    <row r="238" spans="1:14" ht="15" customHeight="1" x14ac:dyDescent="0.2">
      <c r="A238" s="353"/>
      <c r="B238" s="353"/>
      <c r="C238" s="350"/>
      <c r="D238" s="686"/>
      <c r="E238" s="374"/>
      <c r="F238" s="374"/>
      <c r="G238" s="374"/>
      <c r="H238" s="374"/>
      <c r="I238" s="352"/>
      <c r="J238" s="370"/>
      <c r="K238" s="370"/>
      <c r="L238" s="370"/>
      <c r="M238" s="386"/>
      <c r="N238" s="377"/>
    </row>
    <row r="239" spans="1:14" ht="19" customHeight="1" x14ac:dyDescent="0.25">
      <c r="A239" s="353"/>
      <c r="B239" s="358" t="str">
        <f>Idiomas!D136</f>
        <v>CLASIFICADOS PARA LA FINAL</v>
      </c>
      <c r="C239" s="350"/>
      <c r="D239" s="686"/>
      <c r="E239" s="374"/>
      <c r="F239" s="374"/>
      <c r="G239" s="374"/>
      <c r="H239" s="374"/>
      <c r="I239" s="352"/>
      <c r="J239" s="370"/>
      <c r="K239" s="370"/>
      <c r="L239" s="370"/>
      <c r="M239" s="386"/>
      <c r="N239" s="377"/>
    </row>
    <row r="240" spans="1:14" ht="15" customHeight="1" x14ac:dyDescent="0.2">
      <c r="A240" s="710" t="s">
        <v>4</v>
      </c>
      <c r="B240" s="360" t="str">
        <f>Idiomas!D193</f>
        <v>Finalista</v>
      </c>
      <c r="C240" s="349" t="str">
        <f ca="1">WORLDCUP!AA147</f>
        <v>Francia</v>
      </c>
      <c r="D240" s="686"/>
      <c r="E240" s="370"/>
      <c r="F240" s="370"/>
      <c r="G240" s="370"/>
      <c r="H240" s="370"/>
      <c r="I240" s="352"/>
      <c r="J240" s="370"/>
      <c r="K240" s="370"/>
      <c r="L240" s="370"/>
      <c r="M240" s="386"/>
      <c r="N240" s="377"/>
    </row>
    <row r="241" spans="1:14" ht="15" customHeight="1" x14ac:dyDescent="0.2">
      <c r="A241" s="710"/>
      <c r="B241" s="360" t="str">
        <f>B240</f>
        <v>Finalista</v>
      </c>
      <c r="C241" s="349" t="str">
        <f ca="1">WORLDCUP!AF147</f>
        <v>Inglaterra</v>
      </c>
      <c r="D241" s="686"/>
      <c r="E241" s="375"/>
      <c r="F241" s="375"/>
      <c r="G241" s="375"/>
      <c r="H241" s="389"/>
      <c r="I241" s="390"/>
      <c r="J241" s="370"/>
      <c r="K241" s="370"/>
      <c r="L241" s="370"/>
      <c r="M241" s="386"/>
      <c r="N241" s="377"/>
    </row>
    <row r="242" spans="1:14" x14ac:dyDescent="0.2">
      <c r="A242" s="353"/>
      <c r="B242" s="353"/>
      <c r="C242" s="350"/>
      <c r="D242" s="370"/>
      <c r="E242" s="370"/>
      <c r="F242" s="370"/>
      <c r="G242" s="370"/>
      <c r="H242" s="370"/>
      <c r="I242" s="387"/>
      <c r="J242" s="370"/>
      <c r="K242" s="370"/>
      <c r="L242" s="370"/>
      <c r="M242" s="386"/>
      <c r="N242" s="377"/>
    </row>
    <row r="243" spans="1:14" ht="19" x14ac:dyDescent="0.25">
      <c r="A243" s="353"/>
      <c r="B243" s="358" t="str">
        <f>Idiomas!D137</f>
        <v>3º-4º puesto</v>
      </c>
      <c r="C243" s="350"/>
      <c r="D243" s="370"/>
      <c r="E243" s="370"/>
      <c r="F243" s="370"/>
      <c r="G243" s="370"/>
      <c r="H243" s="370"/>
      <c r="I243" s="388"/>
      <c r="J243" s="370"/>
      <c r="K243" s="370"/>
      <c r="L243" s="370"/>
      <c r="M243" s="386"/>
      <c r="N243" s="377"/>
    </row>
    <row r="244" spans="1:14" ht="15" customHeight="1" x14ac:dyDescent="0.2">
      <c r="A244" s="362" t="s">
        <v>503</v>
      </c>
      <c r="B244" s="360" t="str">
        <f ca="1">CONCATENATE(WORLDCUP!AA143,"-",WORLDCUP!AF143)</f>
        <v>España-Argentina</v>
      </c>
      <c r="C244" s="349" t="str">
        <f ca="1">CONCATENATE(WORLDCUP!AA143,"-",WORLDCUP!AF143,"·",IF(WORLDCUP!AC143&gt;WORLDCUP!AD143,1,IF(WORLDCUP!AC143&lt;WORLDCUP!AD143,2,IF(AND(WORLDCUP!AC143=WORLDCUP!AD143,WORLDCUP!AC143&lt;&gt;"",WORLDCUP!AD143&lt;&gt;""),"X",0))),"|",WORLDCUP!AC143,"-",WORLDCUP!AD143)</f>
        <v>España-Argentina·1|2-1</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x14ac:dyDescent="0.2">
      <c r="A245" s="353"/>
      <c r="B245" s="353"/>
      <c r="C245" s="350"/>
      <c r="D245" s="711"/>
      <c r="E245" s="709"/>
      <c r="F245" s="709"/>
      <c r="G245" s="709"/>
      <c r="H245" s="709"/>
      <c r="I245" s="381"/>
      <c r="J245" s="370"/>
      <c r="K245" s="370"/>
      <c r="L245" s="370"/>
      <c r="M245" s="386"/>
      <c r="N245" s="377"/>
    </row>
    <row r="246" spans="1:14" ht="21" customHeight="1" x14ac:dyDescent="0.25">
      <c r="A246" s="353"/>
      <c r="B246" s="358" t="str">
        <f>Idiomas!D138</f>
        <v>ENFRENTAMIENTO FINAL</v>
      </c>
      <c r="C246" s="350"/>
      <c r="D246" s="711"/>
      <c r="E246" s="709"/>
      <c r="F246" s="709"/>
      <c r="G246" s="709"/>
      <c r="H246" s="709"/>
      <c r="I246" s="381"/>
      <c r="J246" s="370"/>
      <c r="K246" s="370"/>
      <c r="L246" s="370"/>
      <c r="M246" s="386"/>
      <c r="N246" s="377"/>
    </row>
    <row r="247" spans="1:14" ht="15" customHeight="1" x14ac:dyDescent="0.2">
      <c r="A247" s="362" t="s">
        <v>4</v>
      </c>
      <c r="B247" s="360" t="str">
        <f ca="1">CONCATENATE(WORLDCUP!AA147,"-",WORLDCUP!AF147)</f>
        <v>Francia-Inglaterra</v>
      </c>
      <c r="C247" s="351" t="str">
        <f ca="1">CONCATENATE(WORLDCUP!AA147,"-",WORLDCUP!AF147,"·",IF(WORLDCUP!AC147&gt;WORLDCUP!AD147,1,IF(WORLDCUP!AC147&lt;WORLDCUP!AD147,2,IF(AND(WORLDCUP!AC147=WORLDCUP!AD147,WORLDCUP!AC147&lt;&gt;"",WORLDCUP!AD147&lt;&gt;""),"X",0))),"|",WORLDCUP!AC147,"-",WORLDCUP!AD147)</f>
        <v>Francia-Inglaterra·1|2-0</v>
      </c>
      <c r="D247" s="711"/>
      <c r="E247" s="376"/>
      <c r="F247" s="376"/>
      <c r="G247" s="376"/>
      <c r="H247" s="376"/>
      <c r="I247" s="381"/>
      <c r="J247" s="370"/>
      <c r="K247" s="370"/>
      <c r="L247" s="370"/>
      <c r="M247" s="386"/>
      <c r="N247" s="377"/>
    </row>
    <row r="248" spans="1:14" ht="15" customHeight="1" x14ac:dyDescent="0.2">
      <c r="A248" s="353"/>
      <c r="B248" s="353"/>
      <c r="C248" s="350"/>
      <c r="D248" s="711"/>
      <c r="E248" s="374"/>
      <c r="F248" s="374"/>
      <c r="G248" s="374"/>
      <c r="H248" s="374"/>
      <c r="I248" s="381"/>
      <c r="J248" s="370"/>
      <c r="K248" s="370"/>
      <c r="L248" s="370"/>
      <c r="M248" s="386"/>
      <c r="N248" s="377"/>
    </row>
    <row r="249" spans="1:14" ht="19" customHeight="1" x14ac:dyDescent="0.25">
      <c r="A249" s="353"/>
      <c r="B249" s="358" t="str">
        <f>Idiomas!D139</f>
        <v>CUADRO DE HONOR</v>
      </c>
      <c r="C249" s="350"/>
      <c r="D249" s="711"/>
      <c r="E249" s="374"/>
      <c r="F249" s="374"/>
      <c r="G249" s="374"/>
      <c r="H249" s="374"/>
      <c r="I249" s="381"/>
      <c r="J249" s="370"/>
      <c r="K249" s="370"/>
      <c r="L249" s="370"/>
      <c r="M249" s="386"/>
      <c r="N249" s="377"/>
    </row>
    <row r="250" spans="1:14" ht="15" customHeight="1" x14ac:dyDescent="0.2">
      <c r="A250" s="363"/>
      <c r="B250" s="360" t="str">
        <f>WORLDCUP!W150</f>
        <v>🥇Campeón</v>
      </c>
      <c r="C250" s="349" t="str">
        <f ca="1">WORLDCUP!AA150</f>
        <v>Francia</v>
      </c>
      <c r="D250" s="711"/>
      <c r="E250" s="374"/>
      <c r="F250" s="374"/>
      <c r="G250" s="374"/>
      <c r="H250" s="374"/>
      <c r="I250" s="381"/>
      <c r="J250" s="370"/>
      <c r="K250" s="370"/>
      <c r="L250" s="370"/>
      <c r="M250" s="386"/>
      <c r="N250" s="377"/>
    </row>
    <row r="251" spans="1:14" ht="15" customHeight="1" x14ac:dyDescent="0.2">
      <c r="A251" s="364"/>
      <c r="B251" s="360" t="str">
        <f>WORLDCUP!W151</f>
        <v>🥈Subcampeón</v>
      </c>
      <c r="C251" s="349" t="str">
        <f ca="1">WORLDCUP!AA151</f>
        <v>Inglaterra</v>
      </c>
      <c r="D251" s="711"/>
      <c r="E251" s="374"/>
      <c r="F251" s="374"/>
      <c r="G251" s="374"/>
      <c r="H251" s="374"/>
      <c r="I251" s="390"/>
      <c r="J251" s="383"/>
      <c r="K251" s="372"/>
      <c r="L251" s="372"/>
      <c r="M251" s="386"/>
      <c r="N251" s="377"/>
    </row>
    <row r="252" spans="1:14" ht="15" customHeight="1" x14ac:dyDescent="0.2">
      <c r="A252" s="364"/>
      <c r="B252" s="360" t="str">
        <f>WORLDCUP!W152</f>
        <v>🥉3º puesto</v>
      </c>
      <c r="C252" s="349" t="str">
        <f ca="1">WORLDCUP!AA152</f>
        <v>España</v>
      </c>
      <c r="D252" s="711"/>
      <c r="E252" s="370"/>
      <c r="F252" s="370"/>
      <c r="G252" s="370"/>
      <c r="H252" s="370"/>
      <c r="I252" s="352"/>
      <c r="J252" s="370"/>
      <c r="K252" s="370"/>
      <c r="L252" s="370"/>
      <c r="M252" s="391"/>
      <c r="N252" s="377"/>
    </row>
    <row r="253" spans="1:14" ht="15" customHeight="1" x14ac:dyDescent="0.2">
      <c r="A253" s="365"/>
      <c r="B253" s="360" t="str">
        <f>WORLDCUP!W154</f>
        <v>Bota de Oro  (máximo goleador)</v>
      </c>
      <c r="C253" s="349" t="str">
        <f>WORLDCUP!AA154</f>
        <v>No rellenar</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x14ac:dyDescent="0.2">
      <c r="A254" s="366"/>
      <c r="B254" s="360" t="str">
        <f>WORLDCUP!W155</f>
        <v>Bota de Plata (2º máximo goleador)</v>
      </c>
      <c r="C254" s="349" t="str">
        <f>WORLDCUP!AA155</f>
        <v>No rellenar</v>
      </c>
      <c r="D254" s="371"/>
      <c r="E254" s="708"/>
      <c r="F254" s="708"/>
      <c r="G254" s="708"/>
      <c r="H254" s="708"/>
      <c r="I254" s="392"/>
      <c r="J254" s="392"/>
      <c r="K254" s="392"/>
      <c r="L254" s="393"/>
      <c r="M254" s="393"/>
      <c r="N254" s="377"/>
    </row>
    <row r="255" spans="1:14" ht="15" customHeight="1" x14ac:dyDescent="0.2">
      <c r="A255" s="366"/>
      <c r="B255" s="360" t="str">
        <f>WORLDCUP!W156</f>
        <v>Bota de Bronce (3º máximo goleador)</v>
      </c>
      <c r="C255" s="349" t="str">
        <f>WORLDCUP!AA156</f>
        <v>No rellenar</v>
      </c>
      <c r="D255" s="371"/>
      <c r="E255" s="708"/>
      <c r="F255" s="708"/>
      <c r="G255" s="708"/>
      <c r="H255" s="708"/>
      <c r="I255" s="392"/>
      <c r="J255" s="392"/>
      <c r="K255" s="392"/>
      <c r="L255" s="393"/>
      <c r="M255" s="393"/>
      <c r="N255" s="377"/>
    </row>
    <row r="256" spans="1:14" ht="15" customHeight="1" x14ac:dyDescent="0.2">
      <c r="A256" s="363"/>
      <c r="B256" s="360" t="str">
        <f>WORLDCUP!W158</f>
        <v>Balón de Oro  (mejor jugador)</v>
      </c>
      <c r="C256" s="349" t="str">
        <f>WORLDCUP!AA158</f>
        <v>No rellenar</v>
      </c>
      <c r="D256" s="371"/>
      <c r="E256" s="708"/>
      <c r="F256" s="708"/>
      <c r="G256" s="708"/>
      <c r="H256" s="708"/>
      <c r="I256" s="392"/>
      <c r="J256" s="392"/>
      <c r="K256" s="392"/>
      <c r="L256" s="393"/>
      <c r="M256" s="393"/>
      <c r="N256" s="377"/>
    </row>
    <row r="257" spans="1:14" ht="15" customHeight="1" x14ac:dyDescent="0.2">
      <c r="A257" s="364"/>
      <c r="B257" s="360" t="str">
        <f>WORLDCUP!W159</f>
        <v>Balón de Plata (2º mejor jugador)</v>
      </c>
      <c r="C257" s="349" t="str">
        <f>WORLDCUP!AA159</f>
        <v>No rellenar</v>
      </c>
      <c r="D257" s="371"/>
      <c r="E257" s="371"/>
      <c r="F257" s="392"/>
      <c r="G257" s="392"/>
      <c r="H257" s="392"/>
      <c r="I257" s="392"/>
      <c r="J257" s="392"/>
      <c r="K257" s="392"/>
      <c r="L257" s="393"/>
      <c r="M257" s="393"/>
      <c r="N257" s="377"/>
    </row>
    <row r="258" spans="1:14" ht="15" customHeight="1" x14ac:dyDescent="0.2">
      <c r="A258" s="364"/>
      <c r="B258" s="360" t="str">
        <f>WORLDCUP!W160</f>
        <v>Balón de Bronce (3º mejor jugador)</v>
      </c>
      <c r="C258" s="349" t="str">
        <f>WORLDCUP!AA160</f>
        <v>No rellenar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6" thickBot="1" x14ac:dyDescent="0.25">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6" thickBot="1" x14ac:dyDescent="0.25">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x14ac:dyDescent="0.2">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6" thickBot="1" x14ac:dyDescent="0.25">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6" thickBot="1" x14ac:dyDescent="0.25">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3</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1</v>
      </c>
      <c r="BM7" s="463">
        <f ca="1">COUNTIF(Pool!$C$252,Fixture!BG7)</f>
        <v>0</v>
      </c>
      <c r="BN7" s="463">
        <f ca="1">COUNTIF(Pool!$C$251,Fixture!BG7)</f>
        <v>0</v>
      </c>
      <c r="BO7" s="466">
        <f ca="1">COUNTIF(Pool!$C$250,Fixture!BG7)</f>
        <v>0</v>
      </c>
    </row>
    <row r="8" spans="1:67" ht="16" thickBot="1" x14ac:dyDescent="0.25">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6" thickBot="1" x14ac:dyDescent="0.25">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6" thickBot="1" x14ac:dyDescent="0.25">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3</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x14ac:dyDescent="0.2">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6" thickBot="1" x14ac:dyDescent="0.25">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0</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6" thickBot="1" x14ac:dyDescent="0.25">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x14ac:dyDescent="0.2">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6" thickBot="1" x14ac:dyDescent="0.25">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1</v>
      </c>
      <c r="AC15" s="498" t="str">
        <f>+IF(ISBLANK(INDEX(WORLDCUP!$AB$101:$AB$147,MATCH(Y15,WORLDCUP!$Z$101:$Z$147,0))),"","( "&amp;INDEX(WORLDCUP!$AB$101:$AB$147,MATCH(Y15,WORLDCUP!$Z$101:$Z$147,0))&amp;" )")</f>
        <v>( 4 )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6" thickBot="1" x14ac:dyDescent="0.25">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( 3 )</v>
      </c>
      <c r="AD16" s="455">
        <v>93</v>
      </c>
      <c r="AE16" s="456" t="str">
        <f ca="1">+MID(INDEX(WORLDCUP!$AA$101:$AA$147,MATCH(AD16,WORLDCUP!$Z$101:$Z$147,0)),1,3)</f>
        <v>Por</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0</v>
      </c>
      <c r="BK16" s="465">
        <f ca="1">COUNTIF(Pool!$C$210:$C$217,Fixture!BG16)-BL16-BM16-BN16-BO16</f>
        <v>1</v>
      </c>
      <c r="BL16" s="465">
        <f ca="1">COUNTIF(Pool!$C$226:$C$229,Fixture!BG16)-BM16-BN16-BO16</f>
        <v>0</v>
      </c>
      <c r="BM16" s="463">
        <f ca="1">COUNTIF(Pool!$C$252,Fixture!BG16)</f>
        <v>0</v>
      </c>
      <c r="BN16" s="463">
        <f ca="1">COUNTIF(Pool!$C$251,Fixture!BG16)</f>
        <v>0</v>
      </c>
      <c r="BO16" s="466">
        <f ca="1">COUNTIF(Pool!$C$250,Fixture!BG16)</f>
        <v>0</v>
      </c>
    </row>
    <row r="17" spans="1:67" x14ac:dyDescent="0.2">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6" thickBot="1" x14ac:dyDescent="0.25">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6" thickBot="1" x14ac:dyDescent="0.25">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x14ac:dyDescent="0.2">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6" thickBot="1" x14ac:dyDescent="0.25">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Francia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6" thickBot="1" x14ac:dyDescent="0.25">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2</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x14ac:dyDescent="0.2">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Inglaterra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6" thickBot="1" x14ac:dyDescent="0.25">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1</v>
      </c>
      <c r="BN24" s="463">
        <f ca="1">COUNTIF(Pool!$C$251,Fixture!BG24)</f>
        <v>0</v>
      </c>
      <c r="BO24" s="466">
        <f ca="1">COUNTIF(Pool!$C$250,Fixture!BG24)</f>
        <v>0</v>
      </c>
    </row>
    <row r="25" spans="1:67" ht="16" thickBot="1" x14ac:dyDescent="0.25">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España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6" thickBot="1" x14ac:dyDescent="0.25">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Ingl</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1</v>
      </c>
    </row>
    <row r="27" spans="1:67" ht="16" thickBot="1" x14ac:dyDescent="0.25">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6" thickBot="1" x14ac:dyDescent="0.25">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x14ac:dyDescent="0.2">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1</v>
      </c>
      <c r="BO29" s="466">
        <f ca="1">COUNTIF(Pool!$C$250,Fixture!BG29)</f>
        <v>0</v>
      </c>
    </row>
    <row r="30" spans="1:67" ht="16" thickBot="1" x14ac:dyDescent="0.25">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0</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6" thickBot="1" x14ac:dyDescent="0.25">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6" thickBot="1" x14ac:dyDescent="0.25">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6" thickBot="1" x14ac:dyDescent="0.25">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6" thickBot="1" x14ac:dyDescent="0.25">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x14ac:dyDescent="0.2">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6" thickBot="1" x14ac:dyDescent="0.25">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6" thickBot="1" x14ac:dyDescent="0.25">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2</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x14ac:dyDescent="0.2">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6" thickBot="1" x14ac:dyDescent="0.25">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6" thickBot="1" x14ac:dyDescent="0.25">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x14ac:dyDescent="0.2">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6" thickBot="1" x14ac:dyDescent="0.25">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2</v>
      </c>
      <c r="AC42" s="506" t="str">
        <f>+IF(ISBLANK(INDEX(WORLDCUP!$AB$101:$AB$147,MATCH(Y42,WORLDCUP!$Z$101:$Z$147,0))),"","( "&amp;INDEX(WORLDCUP!$AB$101:$AB$147,MATCH(Y42,WORLDCUP!$Z$101:$Z$147,0))&amp;" )")</f>
        <v>( 3 )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6" thickBot="1" x14ac:dyDescent="0.25">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2</v>
      </c>
      <c r="AC43" s="507" t="str">
        <f>+IF(ISBLANK(INDEX(WORLDCUP!$AE$101:$AE$147,MATCH(Y43,WORLDCUP!$Z$101:$Z$147,0))),"","( "&amp;INDEX(WORLDCUP!$AE$101:$AE$147,MATCH(Y43,WORLDCUP!$Z$101:$Z$147,0))&amp;" )")</f>
        <v>( 4 )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x14ac:dyDescent="0.2">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Col</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6" thickBot="1" x14ac:dyDescent="0.25">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6-6</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6" thickBot="1" x14ac:dyDescent="0.25">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x14ac:dyDescent="0.2">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1-5</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6" thickBot="1" x14ac:dyDescent="0.25">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3" width="10.83203125" style="16"/>
    <col min="4" max="4" width="17.33203125" style="16" bestFit="1" customWidth="1"/>
    <col min="5" max="6" width="10.83203125" style="16"/>
    <col min="7" max="7" width="17.33203125" style="16" bestFit="1" customWidth="1"/>
    <col min="8" max="8" width="13" style="16" customWidth="1"/>
    <col min="9" max="9" width="10.83203125" style="16"/>
    <col min="10" max="10" width="13" style="16" bestFit="1" customWidth="1"/>
    <col min="11" max="12" width="12.33203125" style="16" bestFit="1" customWidth="1"/>
    <col min="13" max="16384" width="10.83203125" style="16"/>
  </cols>
  <sheetData>
    <row r="2" spans="1:12" x14ac:dyDescent="0.2">
      <c r="A2" s="16" t="s">
        <v>223</v>
      </c>
      <c r="B2" s="16">
        <f>IF(Home!$C$6=Idiomas!A2,1,0)</f>
        <v>1</v>
      </c>
    </row>
    <row r="3" spans="1:12" x14ac:dyDescent="0.2">
      <c r="A3" s="16" t="s">
        <v>359</v>
      </c>
      <c r="B3" s="16">
        <f>IF(Home!$C$6=Idiomas!A3,1,0)</f>
        <v>0</v>
      </c>
      <c r="E3" s="16" t="s">
        <v>176</v>
      </c>
      <c r="F3" s="16" t="s">
        <v>178</v>
      </c>
      <c r="G3" s="16" t="s">
        <v>223</v>
      </c>
      <c r="H3" s="16" t="s">
        <v>186</v>
      </c>
    </row>
    <row r="4" spans="1:12" x14ac:dyDescent="0.2">
      <c r="D4" s="16" t="str">
        <f>IF($B$2,G4,H4)</f>
        <v>Introducir resultados</v>
      </c>
      <c r="E4" s="16" t="s">
        <v>23</v>
      </c>
      <c r="F4" s="16" t="s">
        <v>179</v>
      </c>
      <c r="G4" s="16" t="s">
        <v>177</v>
      </c>
      <c r="H4" s="16" t="s">
        <v>189</v>
      </c>
    </row>
    <row r="5" spans="1:12" x14ac:dyDescent="0.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x14ac:dyDescent="0.2">
      <c r="B6" s="606"/>
      <c r="D6" s="16" t="str">
        <f t="shared" si="0"/>
        <v>Predictor Equipos</v>
      </c>
      <c r="E6" s="16" t="s">
        <v>23</v>
      </c>
      <c r="G6" s="582" t="s">
        <v>1302</v>
      </c>
      <c r="H6" s="582" t="s">
        <v>1303</v>
      </c>
    </row>
    <row r="7" spans="1:12" x14ac:dyDescent="0.2">
      <c r="D7" s="16" t="str">
        <f t="shared" si="0"/>
        <v>Selecciona idioma</v>
      </c>
      <c r="E7" s="16" t="s">
        <v>23</v>
      </c>
      <c r="F7" s="16" t="s">
        <v>358</v>
      </c>
      <c r="G7" s="16" t="s">
        <v>1315</v>
      </c>
      <c r="H7" s="16" t="s">
        <v>1316</v>
      </c>
    </row>
    <row r="8" spans="1:12" x14ac:dyDescent="0.2">
      <c r="D8" s="16" t="str">
        <f t="shared" si="0"/>
        <v>XXIII Mundial USA/MEX/CAN 2026</v>
      </c>
      <c r="E8" s="16" t="s">
        <v>23</v>
      </c>
      <c r="F8" s="16" t="s">
        <v>360</v>
      </c>
      <c r="G8" s="16" t="s">
        <v>504</v>
      </c>
      <c r="H8" s="16" t="s">
        <v>505</v>
      </c>
    </row>
    <row r="9" spans="1:12" x14ac:dyDescent="0.2">
      <c r="D9" s="16" t="str">
        <f t="shared" si="0"/>
        <v>▼ Descargar Excel Administrador Porra ▼</v>
      </c>
      <c r="E9" s="16" t="s">
        <v>23</v>
      </c>
      <c r="F9" s="16" t="s">
        <v>361</v>
      </c>
      <c r="G9" s="16" t="s">
        <v>1327</v>
      </c>
      <c r="H9" s="16" t="s">
        <v>1328</v>
      </c>
    </row>
    <row r="10" spans="1:12" x14ac:dyDescent="0.2">
      <c r="D10" s="16" t="str">
        <f t="shared" si="0"/>
        <v>https://matejero.es/download/administrador-excel-mundial-2026/</v>
      </c>
      <c r="E10" s="16" t="s">
        <v>23</v>
      </c>
      <c r="F10" s="16" t="s">
        <v>444</v>
      </c>
      <c r="G10" s="16" t="s">
        <v>1317</v>
      </c>
      <c r="H10" s="16" t="s">
        <v>1318</v>
      </c>
    </row>
    <row r="11" spans="1:12" x14ac:dyDescent="0.2">
      <c r="D11" s="16" t="str">
        <f>IF($B$2,G11,H11)</f>
        <v>*Versión provisional hasta que se conozcan todos los participantes en marzo 2026</v>
      </c>
      <c r="E11" s="16" t="s">
        <v>23</v>
      </c>
      <c r="G11" s="16" t="s">
        <v>1445</v>
      </c>
      <c r="H11" s="16" t="s">
        <v>1446</v>
      </c>
    </row>
    <row r="12" spans="1:12" x14ac:dyDescent="0.2">
      <c r="D12" s="16" t="str">
        <f t="shared" si="0"/>
        <v>Donar</v>
      </c>
      <c r="E12" s="16" t="s">
        <v>23</v>
      </c>
      <c r="G12" s="16" t="s">
        <v>1322</v>
      </c>
      <c r="H12" s="16" t="s">
        <v>1321</v>
      </c>
    </row>
    <row r="14" spans="1:12" x14ac:dyDescent="0.2">
      <c r="B14" s="606"/>
    </row>
    <row r="15" spans="1:12" x14ac:dyDescent="0.2">
      <c r="D15" s="16" t="str">
        <f t="shared" ref="D15:D66" si="1">IF($B$2,G15,H15)</f>
        <v>Selecciona horario</v>
      </c>
      <c r="E15" s="16" t="s">
        <v>490</v>
      </c>
      <c r="F15" s="16" t="s">
        <v>118</v>
      </c>
      <c r="G15" s="16" t="s">
        <v>1314</v>
      </c>
      <c r="H15" s="16" t="s">
        <v>1313</v>
      </c>
    </row>
    <row r="16" spans="1:12" x14ac:dyDescent="0.2">
      <c r="D16" s="16" t="str">
        <f t="shared" si="1"/>
        <v>Rellenar los cuadros grises</v>
      </c>
      <c r="E16" s="16" t="s">
        <v>490</v>
      </c>
      <c r="F16" s="16" t="s">
        <v>181</v>
      </c>
      <c r="G16" s="16" t="s">
        <v>1207</v>
      </c>
      <c r="H16" s="16" t="s">
        <v>1208</v>
      </c>
    </row>
    <row r="17" spans="4:8" x14ac:dyDescent="0.2">
      <c r="D17" s="16" t="str">
        <f t="shared" si="1"/>
        <v>Fecha</v>
      </c>
      <c r="E17" s="16" t="s">
        <v>490</v>
      </c>
      <c r="F17" s="16" t="s">
        <v>131</v>
      </c>
      <c r="G17" s="16" t="s">
        <v>10</v>
      </c>
      <c r="H17" s="16" t="s">
        <v>224</v>
      </c>
    </row>
    <row r="18" spans="4:8" x14ac:dyDescent="0.2">
      <c r="D18" s="16" t="str">
        <f t="shared" si="1"/>
        <v>Hora</v>
      </c>
      <c r="E18" s="16" t="s">
        <v>490</v>
      </c>
      <c r="F18" s="16" t="s">
        <v>182</v>
      </c>
      <c r="G18" s="16" t="s">
        <v>31</v>
      </c>
      <c r="H18" s="16" t="s">
        <v>185</v>
      </c>
    </row>
    <row r="19" spans="4:8" x14ac:dyDescent="0.2">
      <c r="D19" s="16" t="str">
        <f t="shared" si="1"/>
        <v>Jor.</v>
      </c>
      <c r="E19" s="16" t="s">
        <v>490</v>
      </c>
      <c r="F19" s="16" t="s">
        <v>183</v>
      </c>
      <c r="G19" s="16" t="s">
        <v>33</v>
      </c>
      <c r="H19" s="16" t="s">
        <v>187</v>
      </c>
    </row>
    <row r="20" spans="4:8" x14ac:dyDescent="0.2">
      <c r="D20" s="16" t="str">
        <f t="shared" si="1"/>
        <v>Casa</v>
      </c>
      <c r="E20" s="16" t="s">
        <v>490</v>
      </c>
      <c r="F20" s="16" t="s">
        <v>184</v>
      </c>
      <c r="G20" s="16" t="s">
        <v>16</v>
      </c>
      <c r="H20" s="16" t="s">
        <v>188</v>
      </c>
    </row>
    <row r="21" spans="4:8" x14ac:dyDescent="0.2">
      <c r="D21" s="16" t="str">
        <f t="shared" si="1"/>
        <v>Gol</v>
      </c>
      <c r="E21" s="16" t="s">
        <v>490</v>
      </c>
      <c r="F21" s="16" t="s">
        <v>190</v>
      </c>
      <c r="G21" s="16" t="s">
        <v>18</v>
      </c>
      <c r="H21" s="16" t="s">
        <v>191</v>
      </c>
    </row>
    <row r="22" spans="4:8" x14ac:dyDescent="0.2">
      <c r="D22" s="16" t="str">
        <f t="shared" si="1"/>
        <v>Fuera</v>
      </c>
      <c r="E22" s="16" t="s">
        <v>490</v>
      </c>
      <c r="F22" s="16" t="s">
        <v>192</v>
      </c>
      <c r="G22" s="16" t="s">
        <v>17</v>
      </c>
      <c r="H22" s="16" t="s">
        <v>193</v>
      </c>
    </row>
    <row r="23" spans="4:8" x14ac:dyDescent="0.2">
      <c r="D23" s="16" t="str">
        <f t="shared" si="1"/>
        <v>Grupo</v>
      </c>
      <c r="E23" s="16" t="s">
        <v>490</v>
      </c>
      <c r="F23" s="16" t="s">
        <v>194</v>
      </c>
      <c r="G23" s="16" t="s">
        <v>73</v>
      </c>
      <c r="H23" s="16" t="s">
        <v>195</v>
      </c>
    </row>
    <row r="24" spans="4:8" x14ac:dyDescent="0.2">
      <c r="D24" s="16" t="str">
        <f t="shared" si="1"/>
        <v>¡EMPATE! Puedes seleccionar el orden de los empatados.</v>
      </c>
      <c r="E24" s="16" t="s">
        <v>490</v>
      </c>
      <c r="F24" s="16" t="s">
        <v>196</v>
      </c>
      <c r="G24" s="16" t="s">
        <v>24</v>
      </c>
      <c r="H24" s="16" t="s">
        <v>231</v>
      </c>
    </row>
    <row r="25" spans="4:8" x14ac:dyDescent="0.2">
      <c r="D25" s="16" t="str">
        <f t="shared" si="1"/>
        <v>¡EMPATE! Puedes seleccionar el orden de los empatados entre los terceros.</v>
      </c>
      <c r="E25" s="16" t="s">
        <v>490</v>
      </c>
      <c r="F25" s="16" t="s">
        <v>211</v>
      </c>
      <c r="G25" s="16" t="s">
        <v>112</v>
      </c>
      <c r="H25" s="16" t="s">
        <v>231</v>
      </c>
    </row>
    <row r="26" spans="4:8" x14ac:dyDescent="0.2">
      <c r="D26" s="16" t="str">
        <f t="shared" si="1"/>
        <v>Mejores terceros</v>
      </c>
      <c r="E26" s="16" t="s">
        <v>490</v>
      </c>
      <c r="F26" s="16" t="s">
        <v>197</v>
      </c>
      <c r="G26" s="16" t="s">
        <v>69</v>
      </c>
      <c r="H26" s="16" t="s">
        <v>232</v>
      </c>
    </row>
    <row r="27" spans="4:8" x14ac:dyDescent="0.2">
      <c r="D27" s="16" t="str">
        <f t="shared" si="1"/>
        <v>Dieciseisavos de final</v>
      </c>
      <c r="E27" s="16" t="s">
        <v>490</v>
      </c>
      <c r="G27" s="16" t="s">
        <v>491</v>
      </c>
      <c r="H27" s="16" t="s">
        <v>492</v>
      </c>
    </row>
    <row r="28" spans="4:8" x14ac:dyDescent="0.2">
      <c r="D28" s="16" t="str">
        <f t="shared" si="1"/>
        <v>Octavos de final</v>
      </c>
      <c r="E28" s="16" t="s">
        <v>490</v>
      </c>
      <c r="F28" s="16" t="s">
        <v>198</v>
      </c>
      <c r="G28" s="16" t="s">
        <v>88</v>
      </c>
      <c r="H28" s="16" t="s">
        <v>225</v>
      </c>
    </row>
    <row r="29" spans="4:8" x14ac:dyDescent="0.2">
      <c r="D29" s="16" t="str">
        <f t="shared" si="1"/>
        <v>Cuartos de final</v>
      </c>
      <c r="E29" s="16" t="s">
        <v>490</v>
      </c>
      <c r="F29" s="16" t="s">
        <v>199</v>
      </c>
      <c r="G29" s="16" t="s">
        <v>71</v>
      </c>
      <c r="H29" s="16" t="s">
        <v>226</v>
      </c>
    </row>
    <row r="30" spans="4:8" x14ac:dyDescent="0.2">
      <c r="D30" s="16" t="str">
        <f t="shared" si="1"/>
        <v>Semifinales</v>
      </c>
      <c r="E30" s="16" t="s">
        <v>490</v>
      </c>
      <c r="F30" s="16" t="s">
        <v>200</v>
      </c>
      <c r="G30" s="16" t="s">
        <v>38</v>
      </c>
      <c r="H30" s="16" t="s">
        <v>227</v>
      </c>
    </row>
    <row r="31" spans="4:8" x14ac:dyDescent="0.2">
      <c r="D31" s="16" t="str">
        <f t="shared" si="1"/>
        <v>3º y 4º puesto</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Cuadro de honor</v>
      </c>
      <c r="E33" s="16" t="s">
        <v>490</v>
      </c>
      <c r="F33" s="16" t="s">
        <v>202</v>
      </c>
      <c r="G33" s="16" t="s">
        <v>1319</v>
      </c>
      <c r="H33" s="16" t="s">
        <v>1320</v>
      </c>
    </row>
    <row r="34" spans="4:8" x14ac:dyDescent="0.2">
      <c r="D34" s="16" t="str">
        <f t="shared" si="1"/>
        <v>Campeón</v>
      </c>
      <c r="E34" s="16" t="s">
        <v>490</v>
      </c>
      <c r="F34" s="16" t="s">
        <v>203</v>
      </c>
      <c r="G34" s="16" t="s">
        <v>19</v>
      </c>
      <c r="H34" s="16" t="s">
        <v>229</v>
      </c>
    </row>
    <row r="35" spans="4:8" x14ac:dyDescent="0.2">
      <c r="D35" s="16" t="str">
        <f t="shared" si="1"/>
        <v>Subcampeón</v>
      </c>
      <c r="E35" s="16" t="s">
        <v>490</v>
      </c>
      <c r="F35" s="16" t="s">
        <v>204</v>
      </c>
      <c r="G35" s="16" t="s">
        <v>20</v>
      </c>
      <c r="H35" s="16" t="s">
        <v>230</v>
      </c>
    </row>
    <row r="36" spans="4:8" x14ac:dyDescent="0.2">
      <c r="D36" s="16" t="str">
        <f t="shared" si="1"/>
        <v>3º puesto</v>
      </c>
      <c r="E36" s="16" t="s">
        <v>490</v>
      </c>
      <c r="G36" s="16" t="s">
        <v>1239</v>
      </c>
      <c r="H36" s="16" t="s">
        <v>1240</v>
      </c>
    </row>
    <row r="37" spans="4:8" x14ac:dyDescent="0.2">
      <c r="D37" s="16" t="str">
        <f t="shared" si="1"/>
        <v>Bota de Oro  (máximo goleador)</v>
      </c>
      <c r="E37" s="16" t="s">
        <v>490</v>
      </c>
      <c r="F37" s="16" t="s">
        <v>205</v>
      </c>
      <c r="G37" s="9" t="s">
        <v>509</v>
      </c>
      <c r="H37" s="16" t="s">
        <v>515</v>
      </c>
    </row>
    <row r="38" spans="4:8" x14ac:dyDescent="0.2">
      <c r="D38" s="16" t="str">
        <f t="shared" si="1"/>
        <v>Bota de Plata (2º máximo goleador)</v>
      </c>
      <c r="E38" s="16" t="s">
        <v>490</v>
      </c>
      <c r="F38" s="16" t="s">
        <v>206</v>
      </c>
      <c r="G38" s="9" t="s">
        <v>510</v>
      </c>
      <c r="H38" s="16" t="s">
        <v>516</v>
      </c>
    </row>
    <row r="39" spans="4:8" x14ac:dyDescent="0.2">
      <c r="D39" s="16" t="str">
        <f t="shared" si="1"/>
        <v>Bota de Bronce (3º máximo goleador)</v>
      </c>
      <c r="G39" s="9" t="s">
        <v>511</v>
      </c>
      <c r="H39" s="16" t="s">
        <v>517</v>
      </c>
    </row>
    <row r="40" spans="4:8" x14ac:dyDescent="0.2">
      <c r="D40" s="16" t="str">
        <f t="shared" si="1"/>
        <v>Balón de Oro  (mejor jugador)</v>
      </c>
      <c r="G40" s="9" t="s">
        <v>512</v>
      </c>
      <c r="H40" s="16" t="s">
        <v>518</v>
      </c>
    </row>
    <row r="41" spans="4:8" x14ac:dyDescent="0.2">
      <c r="D41" s="16" t="str">
        <f t="shared" si="1"/>
        <v>Balón de Plata (2º mejor jugador)</v>
      </c>
      <c r="G41" s="9" t="s">
        <v>513</v>
      </c>
      <c r="H41" s="16" t="s">
        <v>519</v>
      </c>
    </row>
    <row r="42" spans="4:8" x14ac:dyDescent="0.2">
      <c r="D42" s="16" t="str">
        <f t="shared" si="1"/>
        <v>Balón de Bronce (3º mejor jugador)</v>
      </c>
      <c r="G42" s="9" t="s">
        <v>514</v>
      </c>
      <c r="H42" s="16" t="s">
        <v>1515</v>
      </c>
    </row>
    <row r="43" spans="4:8" x14ac:dyDescent="0.2">
      <c r="D43" s="16" t="str">
        <f t="shared" si="1"/>
        <v>Escribe un jugador</v>
      </c>
      <c r="E43" s="16" t="s">
        <v>490</v>
      </c>
      <c r="F43" s="16" t="s">
        <v>207</v>
      </c>
      <c r="G43" s="16" t="s">
        <v>22</v>
      </c>
      <c r="H43" s="16" t="s">
        <v>248</v>
      </c>
    </row>
    <row r="44" spans="4:8" x14ac:dyDescent="0.2">
      <c r="D44" s="16" t="str">
        <f t="shared" si="1"/>
        <v>Escribe un jugador</v>
      </c>
      <c r="E44" s="16" t="s">
        <v>490</v>
      </c>
      <c r="F44" s="16" t="s">
        <v>208</v>
      </c>
      <c r="G44" s="16" t="s">
        <v>22</v>
      </c>
      <c r="H44" s="16" t="s">
        <v>248</v>
      </c>
    </row>
    <row r="45" spans="4:8" x14ac:dyDescent="0.2">
      <c r="D45" s="16" t="str">
        <f t="shared" si="1"/>
        <v>Nombre</v>
      </c>
      <c r="E45" s="16" t="s">
        <v>490</v>
      </c>
      <c r="F45" s="16" t="s">
        <v>209</v>
      </c>
      <c r="G45" s="16" t="s">
        <v>44</v>
      </c>
      <c r="H45" s="16" t="s">
        <v>280</v>
      </c>
    </row>
    <row r="46" spans="4:8" x14ac:dyDescent="0.2">
      <c r="D46" s="16" t="str">
        <f t="shared" si="1"/>
        <v>Escribe tu nombre</v>
      </c>
      <c r="E46" s="16" t="s">
        <v>490</v>
      </c>
      <c r="F46" s="16" t="s">
        <v>210</v>
      </c>
      <c r="G46" s="16" t="s">
        <v>1329</v>
      </c>
      <c r="H46" s="16" t="s">
        <v>1330</v>
      </c>
    </row>
    <row r="47" spans="4:8" x14ac:dyDescent="0.2">
      <c r="D47" s="16" t="str">
        <f t="shared" si="1"/>
        <v>PORRA INCOMPLETA:</v>
      </c>
      <c r="E47" s="16" t="s">
        <v>490</v>
      </c>
      <c r="F47" s="16" t="s">
        <v>215</v>
      </c>
      <c r="G47" s="16" t="s">
        <v>212</v>
      </c>
      <c r="H47" s="16" t="s">
        <v>233</v>
      </c>
    </row>
    <row r="48" spans="4:8" x14ac:dyDescent="0.2">
      <c r="D48" s="16" t="str">
        <f t="shared" si="1"/>
        <v>Aún falta alguna apuesta</v>
      </c>
      <c r="E48" s="16" t="s">
        <v>490</v>
      </c>
      <c r="F48" s="16" t="s">
        <v>216</v>
      </c>
      <c r="G48" s="16" t="s">
        <v>214</v>
      </c>
      <c r="H48" s="16" t="s">
        <v>249</v>
      </c>
    </row>
    <row r="49" spans="4:11" x14ac:dyDescent="0.2">
      <c r="D49" s="16" t="str">
        <f t="shared" si="1"/>
        <v>PORRA COMPLETA:</v>
      </c>
      <c r="E49" s="16" t="s">
        <v>490</v>
      </c>
      <c r="F49" s="16" t="s">
        <v>217</v>
      </c>
      <c r="G49" s="16" t="s">
        <v>213</v>
      </c>
      <c r="H49" s="16" t="s">
        <v>234</v>
      </c>
    </row>
    <row r="50" spans="4:11" x14ac:dyDescent="0.2">
      <c r="D50" s="16" t="str">
        <f t="shared" si="1"/>
        <v>Guarda el archivo y envialo al administrador de tu porra</v>
      </c>
      <c r="E50" s="16" t="s">
        <v>490</v>
      </c>
      <c r="F50" s="16" t="s">
        <v>218</v>
      </c>
      <c r="G50" s="16" t="s">
        <v>1332</v>
      </c>
      <c r="H50" s="16" t="s">
        <v>250</v>
      </c>
    </row>
    <row r="51" spans="4:11" x14ac:dyDescent="0.2">
      <c r="D51" s="16" t="str">
        <f t="shared" si="1"/>
        <v>Pos</v>
      </c>
      <c r="E51" s="16" t="s">
        <v>490</v>
      </c>
      <c r="F51" s="16" t="s">
        <v>235</v>
      </c>
      <c r="G51" s="16" t="s">
        <v>14</v>
      </c>
      <c r="H51" s="16" t="s">
        <v>14</v>
      </c>
    </row>
    <row r="52" spans="4:11" x14ac:dyDescent="0.2">
      <c r="D52" s="16" t="str">
        <f t="shared" si="1"/>
        <v>Selección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J</v>
      </c>
      <c r="E54" s="16" t="s">
        <v>490</v>
      </c>
      <c r="F54" s="16" t="s">
        <v>238</v>
      </c>
      <c r="G54" s="16" t="s">
        <v>5</v>
      </c>
      <c r="H54" s="16" t="s">
        <v>7</v>
      </c>
    </row>
    <row r="55" spans="4:11" x14ac:dyDescent="0.2">
      <c r="D55" s="16" t="str">
        <f t="shared" si="1"/>
        <v>G</v>
      </c>
      <c r="E55" s="16" t="s">
        <v>490</v>
      </c>
      <c r="F55" s="16" t="s">
        <v>239</v>
      </c>
      <c r="G55" s="16" t="s">
        <v>6</v>
      </c>
      <c r="H55" s="16" t="s">
        <v>246</v>
      </c>
    </row>
    <row r="56" spans="4:11" x14ac:dyDescent="0.2">
      <c r="D56" s="16" t="str">
        <f t="shared" si="1"/>
        <v>E</v>
      </c>
      <c r="E56" s="16" t="s">
        <v>490</v>
      </c>
      <c r="F56" s="16" t="s">
        <v>240</v>
      </c>
      <c r="G56" s="16" t="s">
        <v>3</v>
      </c>
      <c r="H56" s="16" t="s">
        <v>74</v>
      </c>
      <c r="K56" s="9"/>
    </row>
    <row r="57" spans="4:11" x14ac:dyDescent="0.2">
      <c r="D57" s="16" t="str">
        <f t="shared" si="1"/>
        <v>P</v>
      </c>
      <c r="E57" s="16" t="s">
        <v>490</v>
      </c>
      <c r="F57" s="16" t="s">
        <v>241</v>
      </c>
      <c r="G57" s="16" t="s">
        <v>7</v>
      </c>
      <c r="H57" s="16" t="s">
        <v>247</v>
      </c>
      <c r="K57" s="9"/>
    </row>
    <row r="58" spans="4:11" x14ac:dyDescent="0.2">
      <c r="D58" s="16" t="str">
        <f t="shared" si="1"/>
        <v>GF</v>
      </c>
      <c r="E58" s="16" t="s">
        <v>490</v>
      </c>
      <c r="F58" s="16" t="s">
        <v>242</v>
      </c>
      <c r="G58" s="16" t="s">
        <v>8</v>
      </c>
      <c r="H58" s="16" t="s">
        <v>4</v>
      </c>
      <c r="K58" s="9"/>
    </row>
    <row r="59" spans="4:11" x14ac:dyDescent="0.2">
      <c r="D59" s="16" t="str">
        <f t="shared" si="1"/>
        <v>GC</v>
      </c>
      <c r="E59" s="16" t="s">
        <v>490</v>
      </c>
      <c r="F59" s="16" t="s">
        <v>243</v>
      </c>
      <c r="G59" s="16" t="s">
        <v>9</v>
      </c>
      <c r="H59" s="16" t="s">
        <v>0</v>
      </c>
      <c r="K59" s="9"/>
    </row>
    <row r="60" spans="4:11" x14ac:dyDescent="0.2">
      <c r="D60" s="16" t="str">
        <f t="shared" si="1"/>
        <v>DG</v>
      </c>
      <c r="E60" s="16" t="s">
        <v>490</v>
      </c>
      <c r="F60" s="16" t="s">
        <v>244</v>
      </c>
      <c r="G60" s="16" t="s">
        <v>68</v>
      </c>
      <c r="H60" s="16" t="s">
        <v>82</v>
      </c>
      <c r="K60" s="9"/>
    </row>
    <row r="61" spans="4:11" x14ac:dyDescent="0.2">
      <c r="D61" s="16" t="str">
        <f t="shared" si="1"/>
        <v>J1</v>
      </c>
      <c r="E61" s="16" t="s">
        <v>490</v>
      </c>
      <c r="G61" s="16" t="s">
        <v>28</v>
      </c>
      <c r="H61" s="16" t="s">
        <v>285</v>
      </c>
      <c r="K61" s="9"/>
    </row>
    <row r="62" spans="4:11" x14ac:dyDescent="0.2">
      <c r="D62" s="16" t="str">
        <f t="shared" si="1"/>
        <v>J2</v>
      </c>
      <c r="E62" s="16" t="s">
        <v>490</v>
      </c>
      <c r="G62" s="16" t="s">
        <v>29</v>
      </c>
      <c r="H62" s="16" t="s">
        <v>286</v>
      </c>
    </row>
    <row r="63" spans="4:11" x14ac:dyDescent="0.2">
      <c r="D63" s="16" t="str">
        <f t="shared" si="1"/>
        <v>J3</v>
      </c>
      <c r="E63" s="16" t="s">
        <v>490</v>
      </c>
      <c r="G63" s="16" t="s">
        <v>30</v>
      </c>
      <c r="H63" s="16" t="s">
        <v>287</v>
      </c>
    </row>
    <row r="64" spans="4:11" x14ac:dyDescent="0.2">
      <c r="D64" s="16" t="str">
        <f t="shared" si="1"/>
        <v>Instrucciones en video</v>
      </c>
      <c r="E64" s="16" t="s">
        <v>490</v>
      </c>
      <c r="F64" s="16" t="s">
        <v>1235</v>
      </c>
      <c r="G64" s="593" t="s">
        <v>1349</v>
      </c>
      <c r="H64" s="16" t="s">
        <v>1236</v>
      </c>
    </row>
    <row r="65" spans="3:8" x14ac:dyDescent="0.2">
      <c r="D65" s="16" t="str">
        <f t="shared" si="1"/>
        <v>Sí</v>
      </c>
      <c r="E65" s="16" t="s">
        <v>490</v>
      </c>
      <c r="G65" s="16" t="s">
        <v>1232</v>
      </c>
      <c r="H65" s="16" t="s">
        <v>1234</v>
      </c>
    </row>
    <row r="66" spans="3:8" x14ac:dyDescent="0.2">
      <c r="D66" s="16" t="str">
        <f t="shared" si="1"/>
        <v>No</v>
      </c>
      <c r="E66" s="16" t="s">
        <v>490</v>
      </c>
      <c r="G66" s="16" t="s">
        <v>1233</v>
      </c>
      <c r="H66" s="16" t="s">
        <v>1233</v>
      </c>
    </row>
    <row r="67" spans="3:8" x14ac:dyDescent="0.2">
      <c r="D67" s="16" t="str">
        <f t="shared" ref="D67:D76" si="2">IF($B$2,G67,H67)</f>
        <v>Puntos penalizados</v>
      </c>
      <c r="E67" s="16" t="s">
        <v>490</v>
      </c>
      <c r="G67" s="582" t="s">
        <v>1237</v>
      </c>
      <c r="H67" s="582" t="s">
        <v>1238</v>
      </c>
    </row>
    <row r="68" spans="3:8" x14ac:dyDescent="0.2">
      <c r="D68" s="16" t="str">
        <f t="shared" si="2"/>
        <v xml:space="preserve">Grupos mejores 3ºs: </v>
      </c>
      <c r="E68" s="16" t="s">
        <v>490</v>
      </c>
      <c r="G68" s="582" t="s">
        <v>1346</v>
      </c>
      <c r="H68" s="582" t="s">
        <v>1345</v>
      </c>
    </row>
    <row r="69" spans="3:8" x14ac:dyDescent="0.2">
      <c r="D69" s="16" t="str">
        <f t="shared" si="2"/>
        <v>La clasificación de los mejores terceros aparece al final de la J1</v>
      </c>
      <c r="E69" s="16" t="s">
        <v>490</v>
      </c>
      <c r="G69" s="16" t="s">
        <v>1372</v>
      </c>
      <c r="H69" s="16" t="s">
        <v>1373</v>
      </c>
    </row>
    <row r="70" spans="3:8" x14ac:dyDescent="0.2">
      <c r="D70" s="16" t="str">
        <f t="shared" si="2"/>
        <v>Sí</v>
      </c>
      <c r="E70" s="16" t="s">
        <v>490</v>
      </c>
      <c r="G70" s="16" t="s">
        <v>1232</v>
      </c>
      <c r="H70" s="16" t="s">
        <v>1234</v>
      </c>
    </row>
    <row r="71" spans="3:8" x14ac:dyDescent="0.2">
      <c r="D71" s="16" t="str">
        <f t="shared" si="2"/>
        <v>No</v>
      </c>
      <c r="E71" s="16" t="s">
        <v>490</v>
      </c>
      <c r="G71" s="16" t="s">
        <v>1233</v>
      </c>
      <c r="H71" s="16" t="s">
        <v>1233</v>
      </c>
    </row>
    <row r="72" spans="3:8" x14ac:dyDescent="0.2">
      <c r="D72" s="16" t="str">
        <f t="shared" si="2"/>
        <v>¿Hay equipos penalizados?</v>
      </c>
      <c r="E72" s="16" t="s">
        <v>490</v>
      </c>
      <c r="G72" s="16" t="s">
        <v>1447</v>
      </c>
      <c r="H72" s="16" t="s">
        <v>1448</v>
      </c>
    </row>
    <row r="73" spans="3:8" x14ac:dyDescent="0.2">
      <c r="C73" s="16">
        <v>1</v>
      </c>
      <c r="D73" s="16" t="str">
        <f t="shared" si="2"/>
        <v>Normal</v>
      </c>
      <c r="E73" s="16" t="s">
        <v>490</v>
      </c>
      <c r="G73" s="16" t="s">
        <v>1485</v>
      </c>
      <c r="H73" s="16" t="s">
        <v>1485</v>
      </c>
    </row>
    <row r="74" spans="3:8" x14ac:dyDescent="0.2">
      <c r="C74" s="16">
        <v>2</v>
      </c>
      <c r="D74" s="16" t="str">
        <f t="shared" si="2"/>
        <v>No cuenta el partido contra el último</v>
      </c>
      <c r="E74" s="16" t="s">
        <v>490</v>
      </c>
      <c r="G74" s="16" t="s">
        <v>1486</v>
      </c>
      <c r="H74" s="16" t="s">
        <v>1489</v>
      </c>
    </row>
    <row r="75" spans="3:8" x14ac:dyDescent="0.2">
      <c r="C75" s="16">
        <v>3</v>
      </c>
      <c r="D75" s="16" t="str">
        <f t="shared" si="2"/>
        <v>Media por partido</v>
      </c>
      <c r="E75" s="16" t="s">
        <v>490</v>
      </c>
      <c r="G75" s="16" t="s">
        <v>1487</v>
      </c>
      <c r="H75" s="16" t="s">
        <v>1490</v>
      </c>
    </row>
    <row r="76" spans="3:8" x14ac:dyDescent="0.2">
      <c r="D76" s="16" t="str">
        <f t="shared" si="2"/>
        <v>Selecciona criterio:</v>
      </c>
      <c r="E76" s="16" t="s">
        <v>490</v>
      </c>
      <c r="G76" s="16" t="s">
        <v>1491</v>
      </c>
      <c r="H76" s="16" t="s">
        <v>1492</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x14ac:dyDescent="0.2">
      <c r="D80" s="16" t="str">
        <f t="shared" si="3"/>
        <v>Autor:</v>
      </c>
      <c r="E80" s="16" t="s">
        <v>220</v>
      </c>
      <c r="F80" s="16" t="s">
        <v>221</v>
      </c>
      <c r="G80" s="16" t="s">
        <v>26</v>
      </c>
      <c r="H80" s="16" t="s">
        <v>298</v>
      </c>
    </row>
    <row r="81" spans="4:8" x14ac:dyDescent="0.2">
      <c r="D81" s="16" t="str">
        <f t="shared" si="3"/>
        <v>Útima versión</v>
      </c>
      <c r="E81" s="16" t="s">
        <v>220</v>
      </c>
      <c r="F81" s="16" t="s">
        <v>222</v>
      </c>
      <c r="G81" s="16" t="s">
        <v>300</v>
      </c>
      <c r="H81" s="16" t="s">
        <v>299</v>
      </c>
    </row>
    <row r="82" spans="4:8" x14ac:dyDescent="0.2">
      <c r="D82" s="16" t="str">
        <f t="shared" si="3"/>
        <v>Limitación de responsabilidad:</v>
      </c>
      <c r="E82" s="16" t="s">
        <v>220</v>
      </c>
      <c r="F82" s="16" t="s">
        <v>121</v>
      </c>
      <c r="G82" s="16" t="s">
        <v>25</v>
      </c>
      <c r="H82" s="16" t="s">
        <v>362</v>
      </c>
    </row>
    <row r="83" spans="4:8" x14ac:dyDescent="0.2">
      <c r="D83" s="16" t="str">
        <f t="shared" si="3"/>
        <v>PARA DESCARGAR, CLICK EN</v>
      </c>
      <c r="E83" s="16" t="s">
        <v>220</v>
      </c>
      <c r="G83" s="16" t="s">
        <v>1375</v>
      </c>
      <c r="H83" s="16" t="s">
        <v>1374</v>
      </c>
    </row>
    <row r="84" spans="4:8" x14ac:dyDescent="0.2">
      <c r="D84" s="16" t="str">
        <f t="shared" si="3"/>
        <v>· Selecciona el idioma y la zona horaria</v>
      </c>
      <c r="E84" s="16" t="s">
        <v>220</v>
      </c>
      <c r="G84" s="16" t="s">
        <v>1420</v>
      </c>
      <c r="H84" s="16" t="s">
        <v>1432</v>
      </c>
    </row>
    <row r="85" spans="4:8" x14ac:dyDescent="0.2">
      <c r="D85" s="16" t="str">
        <f t="shared" si="3"/>
        <v>· Si vas a participar en una porra escribe tu nombre</v>
      </c>
      <c r="E85" s="16" t="s">
        <v>220</v>
      </c>
      <c r="G85" s="16" t="s">
        <v>1421</v>
      </c>
      <c r="H85" s="16" t="s">
        <v>1434</v>
      </c>
    </row>
    <row r="86" spans="4:8" x14ac:dyDescent="0.2">
      <c r="D86" s="16" t="str">
        <f t="shared" si="3"/>
        <v>· Si vas a organizar una porra, puedes descargar el archivo excel de administración desde aquí</v>
      </c>
      <c r="E86" s="16" t="s">
        <v>220</v>
      </c>
      <c r="G86" s="16" t="s">
        <v>1422</v>
      </c>
      <c r="H86" s="16" t="s">
        <v>1433</v>
      </c>
    </row>
    <row r="87" spans="4:8" x14ac:dyDescent="0.2">
      <c r="D87" s="16" t="str">
        <f t="shared" si="3"/>
        <v>· Rellena los cuadros grises con los resultados de la fase de grupos para cada grupo</v>
      </c>
      <c r="E87" s="16" t="s">
        <v>220</v>
      </c>
      <c r="G87" s="16" t="s">
        <v>1423</v>
      </c>
      <c r="H87" s="16" t="s">
        <v>1435</v>
      </c>
    </row>
    <row r="88" spans="4:8" x14ac:dyDescent="0.2">
      <c r="D88" s="16" t="str">
        <f t="shared" si="3"/>
        <v>· En caso de empate en la posición de un grupo o en los mejores terceros, puedes seleccionar el orden de los empatados</v>
      </c>
      <c r="E88" s="16" t="s">
        <v>220</v>
      </c>
      <c r="G88" s="16" t="s">
        <v>1424</v>
      </c>
      <c r="H88" s="16" t="s">
        <v>1436</v>
      </c>
    </row>
    <row r="89" spans="4:8" x14ac:dyDescent="0.2">
      <c r="D89" s="16" t="str">
        <f t="shared" si="3"/>
        <v>· Las eliminatorias se establecen de forma automática</v>
      </c>
      <c r="E89" s="16" t="s">
        <v>220</v>
      </c>
      <c r="G89" s="16" t="s">
        <v>1425</v>
      </c>
      <c r="H89" s="16" t="s">
        <v>1437</v>
      </c>
    </row>
    <row r="90" spans="4:8" x14ac:dyDescent="0.2">
      <c r="D90" s="16" t="str">
        <f t="shared" si="3"/>
        <v>· Rellena los resultados de las fases eliminatorias. En caso de empate, se abren dos celdas a los lados para poner el resultado de los penaltis</v>
      </c>
      <c r="E90" s="16" t="s">
        <v>220</v>
      </c>
      <c r="G90" s="16" t="s">
        <v>1426</v>
      </c>
      <c r="H90" s="16" t="s">
        <v>1438</v>
      </c>
    </row>
    <row r="91" spans="4:8" x14ac:dyDescent="0.2">
      <c r="D91" s="16" t="str">
        <f t="shared" si="3"/>
        <v>· Si vas a participar en una porra, rellenar los mejores jugadores y los máximos goleadores</v>
      </c>
      <c r="E91" s="16" t="s">
        <v>220</v>
      </c>
      <c r="G91" s="16" t="s">
        <v>1427</v>
      </c>
      <c r="H91" s="16" t="s">
        <v>1439</v>
      </c>
    </row>
    <row r="92" spans="4:8" x14ac:dyDescent="0.2">
      <c r="D92" s="16" t="str">
        <f t="shared" si="3"/>
        <v>· Esta hoja es independiente a los resultados introducidos en la hoja WORLDCUP y su uso es opcional</v>
      </c>
      <c r="E92" s="16" t="s">
        <v>220</v>
      </c>
      <c r="G92" s="16" t="s">
        <v>1428</v>
      </c>
      <c r="H92" s="16" t="s">
        <v>1440</v>
      </c>
    </row>
    <row r="93" spans="4:8" x14ac:dyDescent="0.2">
      <c r="D93" s="16" t="str">
        <f t="shared" si="3"/>
        <v>· Las instrucciones de uso de esta hoja se encuentran en la misma hoja</v>
      </c>
      <c r="E93" s="16" t="s">
        <v>220</v>
      </c>
      <c r="G93" s="16" t="s">
        <v>1429</v>
      </c>
      <c r="H93" s="16" t="s">
        <v>1441</v>
      </c>
    </row>
    <row r="94" spans="4:8" x14ac:dyDescent="0.2">
      <c r="D94" s="16" t="str">
        <f t="shared" si="3"/>
        <v>· En esta hoja no hay que escribir nada</v>
      </c>
      <c r="E94" s="16" t="s">
        <v>220</v>
      </c>
      <c r="G94" s="16" t="s">
        <v>1430</v>
      </c>
      <c r="H94" s="16" t="s">
        <v>1442</v>
      </c>
    </row>
    <row r="95" spans="4:8" x14ac:dyDescent="0.2">
      <c r="D95" s="16" t="str">
        <f t="shared" si="3"/>
        <v>· Sirve para que el organizador de la porra, copie estos resultados y los pegue en el archivo de administrador</v>
      </c>
      <c r="E95" s="16" t="s">
        <v>220</v>
      </c>
      <c r="G95" s="16" t="s">
        <v>1431</v>
      </c>
      <c r="H95" s="16" t="s">
        <v>1443</v>
      </c>
    </row>
    <row r="96" spans="4:8" x14ac:dyDescent="0.2">
      <c r="D96" s="16" t="str">
        <f t="shared" si="3"/>
        <v>· En esta hoja se muestran de un vistazo todos los resultados introducidos en la hoja WORLDCUP, en esta hoja no se rellena nada.</v>
      </c>
      <c r="E96" s="16" t="s">
        <v>220</v>
      </c>
      <c r="G96" s="16" t="s">
        <v>1450</v>
      </c>
      <c r="H96" s="16" t="s">
        <v>1444</v>
      </c>
    </row>
    <row r="102" spans="4:16" x14ac:dyDescent="0.2">
      <c r="D102" s="16" t="str">
        <f t="shared" ref="D102:D193" si="4">IF($B$2,G102,H102)</f>
        <v>Para el administrador de la porra</v>
      </c>
      <c r="E102" s="16" t="s">
        <v>443</v>
      </c>
      <c r="F102" s="16" t="s">
        <v>116</v>
      </c>
      <c r="G102" s="16" t="s">
        <v>132</v>
      </c>
      <c r="H102" s="16" t="s">
        <v>278</v>
      </c>
    </row>
    <row r="103" spans="4:16" x14ac:dyDescent="0.2">
      <c r="D103" s="16" t="str">
        <f t="shared" si="4"/>
        <v>PARTICIPANTE</v>
      </c>
      <c r="E103" s="16" t="s">
        <v>443</v>
      </c>
      <c r="F103" s="16" t="s">
        <v>121</v>
      </c>
      <c r="G103" s="16" t="s">
        <v>72</v>
      </c>
      <c r="H103" s="16" t="s">
        <v>279</v>
      </c>
    </row>
    <row r="104" spans="4:16" x14ac:dyDescent="0.2">
      <c r="D104" s="16" t="str">
        <f t="shared" si="4"/>
        <v>Nombre</v>
      </c>
      <c r="E104" s="16" t="s">
        <v>443</v>
      </c>
      <c r="F104" s="16" t="s">
        <v>127</v>
      </c>
      <c r="G104" s="16" t="s">
        <v>44</v>
      </c>
      <c r="H104" s="16" t="s">
        <v>280</v>
      </c>
    </row>
    <row r="105" spans="4:16" x14ac:dyDescent="0.2">
      <c r="D105" s="16" t="str">
        <f t="shared" si="4"/>
        <v>¡No tocar nada, se rellena solo!</v>
      </c>
      <c r="E105" s="16" t="s">
        <v>443</v>
      </c>
      <c r="F105" s="16" t="s">
        <v>251</v>
      </c>
      <c r="G105" s="16" t="s">
        <v>45</v>
      </c>
      <c r="H105" s="16" t="s">
        <v>281</v>
      </c>
    </row>
    <row r="106" spans="4:16" ht="15" customHeight="1" x14ac:dyDescent="0.2">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x14ac:dyDescent="0.2">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x14ac:dyDescent="0.2">
      <c r="D109" s="16" t="str">
        <f t="shared" si="4"/>
        <v>·Si haceis jornada a jornada seguir las instrucciones de cada jornada</v>
      </c>
      <c r="E109" s="16" t="s">
        <v>443</v>
      </c>
      <c r="F109" s="16" t="s">
        <v>253</v>
      </c>
      <c r="G109" s="16" t="s">
        <v>134</v>
      </c>
      <c r="H109" s="16" t="s">
        <v>283</v>
      </c>
      <c r="I109" s="609"/>
      <c r="K109" s="609"/>
      <c r="L109" s="609"/>
    </row>
    <row r="110" spans="4:16" x14ac:dyDescent="0.2">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x14ac:dyDescent="0.2">
      <c r="D111" s="16" t="str">
        <f t="shared" si="4"/>
        <v>·Para la segunda jornada copiar de la C30 a la C53 y pega valores en la plantilla de administrador.</v>
      </c>
      <c r="E111" s="16" t="s">
        <v>443</v>
      </c>
      <c r="F111" s="16" t="s">
        <v>255</v>
      </c>
      <c r="G111" s="16" t="s">
        <v>1359</v>
      </c>
      <c r="H111" s="16" t="s">
        <v>1361</v>
      </c>
    </row>
    <row r="112" spans="4:16" x14ac:dyDescent="0.2">
      <c r="D112" s="16" t="str">
        <f t="shared" si="4"/>
        <v>·Para la tercera jornada copiar de la C54 a la C161 y pega valores en la plantilla de administrador.</v>
      </c>
      <c r="E112" s="16" t="s">
        <v>443</v>
      </c>
      <c r="F112" s="16" t="s">
        <v>256</v>
      </c>
      <c r="G112" s="16" t="s">
        <v>1360</v>
      </c>
      <c r="H112" s="16" t="s">
        <v>1362</v>
      </c>
    </row>
    <row r="113" spans="4:9" x14ac:dyDescent="0.2">
      <c r="D113" s="16" t="str">
        <f t="shared" si="4"/>
        <v>·Si haceis todas las eliminatorias de golpe, copiar de la C164 a la C252 y pegar valores en la plantilla de Administrador.</v>
      </c>
      <c r="E113" s="16" t="s">
        <v>443</v>
      </c>
      <c r="F113" s="16" t="s">
        <v>257</v>
      </c>
      <c r="G113" s="16" t="s">
        <v>588</v>
      </c>
      <c r="H113" s="16" t="s">
        <v>1363</v>
      </c>
    </row>
    <row r="114" spans="4:9" x14ac:dyDescent="0.2">
      <c r="D114" s="16" t="str">
        <f t="shared" si="4"/>
        <v>·Si haceis eliminatoria a eliminatoria seguir las instrucciones de cada eliminatoria.</v>
      </c>
      <c r="E114" s="16" t="s">
        <v>443</v>
      </c>
      <c r="F114" s="16" t="s">
        <v>258</v>
      </c>
      <c r="G114" s="16" t="s">
        <v>135</v>
      </c>
      <c r="H114" s="16" t="s">
        <v>284</v>
      </c>
    </row>
    <row r="115" spans="4:9" x14ac:dyDescent="0.2">
      <c r="D115" s="16" t="str">
        <f t="shared" si="4"/>
        <v>·Para los dieciseisavos copiar de la C164 a la C197 y pega valores en la plantilla de administrador.</v>
      </c>
      <c r="E115" s="16" t="s">
        <v>443</v>
      </c>
      <c r="F115" s="16" t="s">
        <v>259</v>
      </c>
      <c r="G115" s="16" t="s">
        <v>1364</v>
      </c>
      <c r="H115" s="16" t="s">
        <v>583</v>
      </c>
    </row>
    <row r="116" spans="4:9" x14ac:dyDescent="0.2">
      <c r="D116" s="16" t="str">
        <f t="shared" si="4"/>
        <v>·Para los octavos de final copiar de la C200 a la C217 y pega valores en la plantilla de administrador.</v>
      </c>
      <c r="E116" s="16" t="s">
        <v>443</v>
      </c>
      <c r="F116" s="16" t="s">
        <v>260</v>
      </c>
      <c r="G116" s="16" t="s">
        <v>1365</v>
      </c>
      <c r="H116" s="16" t="s">
        <v>585</v>
      </c>
    </row>
    <row r="117" spans="4:9" x14ac:dyDescent="0.2">
      <c r="D117" s="16" t="str">
        <f t="shared" si="4"/>
        <v>·Para los cuartos de final copiar de la C220 a la C229 y pega valores en la plantilla de administrador.</v>
      </c>
      <c r="E117" s="16" t="s">
        <v>443</v>
      </c>
      <c r="G117" s="16" t="s">
        <v>1366</v>
      </c>
      <c r="H117" s="16" t="s">
        <v>584</v>
      </c>
    </row>
    <row r="118" spans="4:9" x14ac:dyDescent="0.2">
      <c r="D118" s="16" t="str">
        <f t="shared" si="4"/>
        <v>·Para las semifinales copiar de la C232 a la C241 y pega valores en la plantilla de administrador.</v>
      </c>
      <c r="E118" s="16" t="s">
        <v>443</v>
      </c>
      <c r="F118" s="16" t="s">
        <v>261</v>
      </c>
      <c r="G118" s="16" t="s">
        <v>1367</v>
      </c>
      <c r="H118" s="16" t="s">
        <v>586</v>
      </c>
    </row>
    <row r="119" spans="4:9" x14ac:dyDescent="0.2">
      <c r="D119" s="16" t="str">
        <f t="shared" si="4"/>
        <v>·Para el 3º y 4º puesto y la Final copiar de la C244 a la C252 y pega valores en la plantilla de administrador.</v>
      </c>
      <c r="E119" s="16" t="s">
        <v>443</v>
      </c>
      <c r="F119" s="16" t="s">
        <v>262</v>
      </c>
      <c r="G119" s="16" t="s">
        <v>1368</v>
      </c>
      <c r="H119" s="16" t="s">
        <v>587</v>
      </c>
    </row>
    <row r="120" spans="4:9" x14ac:dyDescent="0.2">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x14ac:dyDescent="0.2">
      <c r="D121" s="16" t="str">
        <f t="shared" si="4"/>
        <v>·Copiar de la C261 a la C258 y pegar valores en el administrador donde el Predictor</v>
      </c>
      <c r="E121" s="16" t="s">
        <v>443</v>
      </c>
      <c r="G121" s="582" t="s">
        <v>1418</v>
      </c>
      <c r="H121" s="582" t="s">
        <v>1419</v>
      </c>
    </row>
    <row r="122" spans="4:9" x14ac:dyDescent="0.2">
      <c r="D122" s="16" t="str">
        <f t="shared" si="4"/>
        <v>J1</v>
      </c>
      <c r="E122" s="16" t="s">
        <v>443</v>
      </c>
      <c r="F122" s="16" t="s">
        <v>264</v>
      </c>
      <c r="G122" s="16" t="s">
        <v>28</v>
      </c>
      <c r="H122" s="16" t="s">
        <v>285</v>
      </c>
      <c r="I122" s="582"/>
    </row>
    <row r="123" spans="4:9" x14ac:dyDescent="0.2">
      <c r="D123" s="16" t="str">
        <f t="shared" si="4"/>
        <v>J2</v>
      </c>
      <c r="E123" s="16" t="s">
        <v>443</v>
      </c>
      <c r="F123" s="16" t="s">
        <v>265</v>
      </c>
      <c r="G123" s="16" t="s">
        <v>29</v>
      </c>
      <c r="H123" s="16" t="s">
        <v>286</v>
      </c>
    </row>
    <row r="124" spans="4:9" x14ac:dyDescent="0.2">
      <c r="D124" s="16" t="str">
        <f t="shared" si="4"/>
        <v>J3</v>
      </c>
      <c r="E124" s="16" t="s">
        <v>443</v>
      </c>
      <c r="F124" s="16" t="s">
        <v>266</v>
      </c>
      <c r="G124" s="16" t="s">
        <v>30</v>
      </c>
      <c r="H124" s="16" t="s">
        <v>287</v>
      </c>
    </row>
    <row r="125" spans="4:9" x14ac:dyDescent="0.2">
      <c r="D125" s="16" t="str">
        <f t="shared" si="4"/>
        <v>FASE DE GRUPOS</v>
      </c>
      <c r="E125" s="16" t="s">
        <v>443</v>
      </c>
      <c r="F125" s="16" t="s">
        <v>267</v>
      </c>
      <c r="G125" s="16" t="s">
        <v>12</v>
      </c>
      <c r="H125" s="16" t="s">
        <v>288</v>
      </c>
    </row>
    <row r="126" spans="4:9" x14ac:dyDescent="0.2">
      <c r="D126" s="16" t="str">
        <f t="shared" si="4"/>
        <v>POSICIÓN GRUPOS</v>
      </c>
      <c r="E126" s="16" t="s">
        <v>443</v>
      </c>
      <c r="F126" s="16" t="s">
        <v>268</v>
      </c>
      <c r="G126" s="16" t="s">
        <v>46</v>
      </c>
      <c r="H126" s="16" t="s">
        <v>289</v>
      </c>
    </row>
    <row r="127" spans="4:9" x14ac:dyDescent="0.2">
      <c r="D127" s="16" t="str">
        <f t="shared" si="4"/>
        <v>CLASIFICADOS PARA DIECISEISAVOS</v>
      </c>
      <c r="E127" s="16" t="s">
        <v>443</v>
      </c>
      <c r="F127" s="16" t="s">
        <v>269</v>
      </c>
      <c r="G127" s="16" t="s">
        <v>574</v>
      </c>
      <c r="H127" s="16" t="s">
        <v>575</v>
      </c>
    </row>
    <row r="128" spans="4:9" x14ac:dyDescent="0.2">
      <c r="D128" s="16" t="str">
        <f t="shared" si="4"/>
        <v>ENFRENTAMIENTOS DIECISEISAVOS</v>
      </c>
      <c r="E128" s="16" t="s">
        <v>443</v>
      </c>
      <c r="F128" s="16" t="s">
        <v>270</v>
      </c>
      <c r="G128" s="16" t="s">
        <v>578</v>
      </c>
      <c r="H128" s="16" t="s">
        <v>579</v>
      </c>
    </row>
    <row r="129" spans="4:8" x14ac:dyDescent="0.2">
      <c r="D129" s="16" t="str">
        <f t="shared" si="4"/>
        <v>CLASIFICADOS PARA OCTAVOS</v>
      </c>
      <c r="E129" s="16" t="s">
        <v>443</v>
      </c>
      <c r="G129" s="16" t="s">
        <v>109</v>
      </c>
      <c r="H129" s="16" t="s">
        <v>290</v>
      </c>
    </row>
    <row r="130" spans="4:8" x14ac:dyDescent="0.2">
      <c r="D130" s="16" t="str">
        <f t="shared" si="4"/>
        <v>ENFRENTAMIENTOS OCTAVOS</v>
      </c>
      <c r="E130" s="16" t="s">
        <v>443</v>
      </c>
      <c r="G130" s="16" t="s">
        <v>110</v>
      </c>
      <c r="H130" s="16" t="s">
        <v>291</v>
      </c>
    </row>
    <row r="131" spans="4:8" x14ac:dyDescent="0.2">
      <c r="D131" s="16" t="str">
        <f t="shared" si="4"/>
        <v>CLASIFICADOS PARA CUARTOS</v>
      </c>
      <c r="E131" s="16" t="s">
        <v>443</v>
      </c>
      <c r="F131" s="16" t="s">
        <v>271</v>
      </c>
      <c r="G131" s="16" t="s">
        <v>59</v>
      </c>
      <c r="H131" s="16" t="s">
        <v>292</v>
      </c>
    </row>
    <row r="132" spans="4:8" x14ac:dyDescent="0.2">
      <c r="D132" s="16" t="str">
        <f t="shared" si="4"/>
        <v>ENFRENTAMIENTOS CUARTOS</v>
      </c>
      <c r="E132" s="16" t="s">
        <v>443</v>
      </c>
      <c r="F132" s="16" t="s">
        <v>273</v>
      </c>
      <c r="G132" s="16" t="s">
        <v>61</v>
      </c>
      <c r="H132" s="16" t="s">
        <v>293</v>
      </c>
    </row>
    <row r="133" spans="4:8" x14ac:dyDescent="0.2">
      <c r="D133" s="16" t="str">
        <f t="shared" si="4"/>
        <v>CLASIFICADOS PARA SEMIFINALES</v>
      </c>
      <c r="E133" s="16" t="s">
        <v>443</v>
      </c>
      <c r="F133" s="16" t="s">
        <v>272</v>
      </c>
      <c r="G133" s="16" t="s">
        <v>62</v>
      </c>
      <c r="H133" s="16" t="s">
        <v>294</v>
      </c>
    </row>
    <row r="134" spans="4:8" x14ac:dyDescent="0.2">
      <c r="D134" s="16" t="str">
        <f t="shared" si="4"/>
        <v>ENFRENTAMIENTOS SEMIFINALES</v>
      </c>
      <c r="E134" s="16" t="s">
        <v>443</v>
      </c>
      <c r="F134" s="16" t="s">
        <v>274</v>
      </c>
      <c r="G134" s="16" t="s">
        <v>64</v>
      </c>
      <c r="H134" s="16" t="s">
        <v>295</v>
      </c>
    </row>
    <row r="135" spans="4:8" x14ac:dyDescent="0.2">
      <c r="D135" s="16" t="str">
        <f t="shared" si="4"/>
        <v>CLASIFICADOS PARA EL 3º y 4º PUESTO</v>
      </c>
      <c r="E135" s="16" t="s">
        <v>443</v>
      </c>
      <c r="G135" s="16" t="s">
        <v>580</v>
      </c>
      <c r="H135" s="16" t="s">
        <v>581</v>
      </c>
    </row>
    <row r="136" spans="4:8" x14ac:dyDescent="0.2">
      <c r="D136" s="16" t="str">
        <f t="shared" si="4"/>
        <v>CLASIFICADOS PARA LA FINAL</v>
      </c>
      <c r="E136" s="16" t="s">
        <v>443</v>
      </c>
      <c r="F136" s="16" t="s">
        <v>275</v>
      </c>
      <c r="G136" s="16" t="s">
        <v>65</v>
      </c>
      <c r="H136" s="16" t="s">
        <v>296</v>
      </c>
    </row>
    <row r="137" spans="4:8" x14ac:dyDescent="0.2">
      <c r="D137" s="16" t="str">
        <f t="shared" si="4"/>
        <v>3º-4º puesto</v>
      </c>
      <c r="E137" s="16" t="s">
        <v>443</v>
      </c>
      <c r="G137" s="16" t="s">
        <v>506</v>
      </c>
      <c r="H137" s="16" t="s">
        <v>502</v>
      </c>
    </row>
    <row r="138" spans="4:8" x14ac:dyDescent="0.2">
      <c r="D138" s="16" t="str">
        <f t="shared" si="4"/>
        <v>ENFRENTAMIENTO FINAL</v>
      </c>
      <c r="E138" s="16" t="s">
        <v>443</v>
      </c>
      <c r="F138" s="16" t="s">
        <v>276</v>
      </c>
      <c r="G138" s="16" t="s">
        <v>67</v>
      </c>
      <c r="H138" s="16" t="s">
        <v>297</v>
      </c>
    </row>
    <row r="139" spans="4:8" x14ac:dyDescent="0.2">
      <c r="D139" s="16" t="str">
        <f t="shared" si="4"/>
        <v>CUADRO DE HONOR</v>
      </c>
      <c r="E139" s="16" t="s">
        <v>443</v>
      </c>
      <c r="F139" s="16" t="s">
        <v>277</v>
      </c>
      <c r="G139" s="16" t="s">
        <v>21</v>
      </c>
      <c r="H139" s="16" t="s">
        <v>228</v>
      </c>
    </row>
    <row r="140" spans="4:8" x14ac:dyDescent="0.2">
      <c r="D140" s="16" t="str">
        <f t="shared" ref="D140:D163" si="5">IF($B$2,G140,H140)</f>
        <v>1º GRUPO A</v>
      </c>
      <c r="E140" s="16" t="s">
        <v>443</v>
      </c>
      <c r="F140" s="16" t="s">
        <v>415</v>
      </c>
      <c r="G140" s="16" t="s">
        <v>47</v>
      </c>
      <c r="H140" s="9" t="s">
        <v>387</v>
      </c>
    </row>
    <row r="141" spans="4:8" x14ac:dyDescent="0.2">
      <c r="D141" s="16" t="str">
        <f t="shared" si="5"/>
        <v>2º GRUPO A</v>
      </c>
      <c r="E141" s="16" t="s">
        <v>443</v>
      </c>
      <c r="F141" s="16" t="s">
        <v>416</v>
      </c>
      <c r="G141" s="16" t="s">
        <v>48</v>
      </c>
      <c r="H141" s="9" t="s">
        <v>388</v>
      </c>
    </row>
    <row r="142" spans="4:8" x14ac:dyDescent="0.2">
      <c r="D142" s="16" t="str">
        <f t="shared" si="5"/>
        <v>3º GRUPO A</v>
      </c>
      <c r="E142" s="16" t="s">
        <v>443</v>
      </c>
      <c r="F142" s="16" t="s">
        <v>417</v>
      </c>
      <c r="G142" s="16" t="s">
        <v>49</v>
      </c>
      <c r="H142" s="9" t="s">
        <v>389</v>
      </c>
    </row>
    <row r="143" spans="4:8" x14ac:dyDescent="0.2">
      <c r="D143" s="16" t="str">
        <f t="shared" si="5"/>
        <v>4º GRUPO A</v>
      </c>
      <c r="E143" s="16" t="s">
        <v>443</v>
      </c>
      <c r="F143" s="16" t="s">
        <v>418</v>
      </c>
      <c r="G143" s="16" t="s">
        <v>50</v>
      </c>
      <c r="H143" s="9" t="s">
        <v>390</v>
      </c>
    </row>
    <row r="144" spans="4:8" x14ac:dyDescent="0.2">
      <c r="D144" s="16" t="str">
        <f t="shared" si="5"/>
        <v>1º GRUPO B</v>
      </c>
      <c r="E144" s="16" t="s">
        <v>443</v>
      </c>
      <c r="F144" s="16" t="s">
        <v>419</v>
      </c>
      <c r="G144" s="16" t="s">
        <v>51</v>
      </c>
      <c r="H144" s="9" t="s">
        <v>391</v>
      </c>
    </row>
    <row r="145" spans="4:8" x14ac:dyDescent="0.2">
      <c r="D145" s="16" t="str">
        <f t="shared" si="5"/>
        <v>2º GRUPO B</v>
      </c>
      <c r="E145" s="16" t="s">
        <v>443</v>
      </c>
      <c r="F145" s="16" t="s">
        <v>420</v>
      </c>
      <c r="G145" s="16" t="s">
        <v>52</v>
      </c>
      <c r="H145" s="9" t="s">
        <v>392</v>
      </c>
    </row>
    <row r="146" spans="4:8" x14ac:dyDescent="0.2">
      <c r="D146" s="16" t="str">
        <f t="shared" si="5"/>
        <v>3º GRUPO B</v>
      </c>
      <c r="E146" s="16" t="s">
        <v>443</v>
      </c>
      <c r="F146" s="16" t="s">
        <v>421</v>
      </c>
      <c r="G146" s="16" t="s">
        <v>53</v>
      </c>
      <c r="H146" s="9" t="s">
        <v>393</v>
      </c>
    </row>
    <row r="147" spans="4:8" x14ac:dyDescent="0.2">
      <c r="D147" s="16" t="str">
        <f t="shared" si="5"/>
        <v>4º GRUPO B</v>
      </c>
      <c r="E147" s="16" t="s">
        <v>443</v>
      </c>
      <c r="F147" s="16" t="s">
        <v>422</v>
      </c>
      <c r="G147" s="16" t="s">
        <v>54</v>
      </c>
      <c r="H147" s="9" t="s">
        <v>394</v>
      </c>
    </row>
    <row r="148" spans="4:8" x14ac:dyDescent="0.2">
      <c r="D148" s="16" t="str">
        <f t="shared" si="5"/>
        <v>1º GRUPO C</v>
      </c>
      <c r="E148" s="16" t="s">
        <v>443</v>
      </c>
      <c r="F148" s="16" t="s">
        <v>423</v>
      </c>
      <c r="G148" s="16" t="s">
        <v>55</v>
      </c>
      <c r="H148" s="9" t="s">
        <v>395</v>
      </c>
    </row>
    <row r="149" spans="4:8" x14ac:dyDescent="0.2">
      <c r="D149" s="16" t="str">
        <f t="shared" si="5"/>
        <v>2º GRUPO C</v>
      </c>
      <c r="E149" s="16" t="s">
        <v>443</v>
      </c>
      <c r="F149" s="16" t="s">
        <v>424</v>
      </c>
      <c r="G149" s="16" t="s">
        <v>56</v>
      </c>
      <c r="H149" s="9" t="s">
        <v>396</v>
      </c>
    </row>
    <row r="150" spans="4:8" x14ac:dyDescent="0.2">
      <c r="D150" s="16" t="str">
        <f t="shared" si="5"/>
        <v>3º GRUPO C</v>
      </c>
      <c r="E150" s="16" t="s">
        <v>443</v>
      </c>
      <c r="F150" s="16" t="s">
        <v>425</v>
      </c>
      <c r="G150" s="16" t="s">
        <v>57</v>
      </c>
      <c r="H150" s="9" t="s">
        <v>397</v>
      </c>
    </row>
    <row r="151" spans="4:8" x14ac:dyDescent="0.2">
      <c r="D151" s="16" t="str">
        <f t="shared" si="5"/>
        <v>4º GRUPO C</v>
      </c>
      <c r="E151" s="16" t="s">
        <v>443</v>
      </c>
      <c r="F151" s="16" t="s">
        <v>426</v>
      </c>
      <c r="G151" s="16" t="s">
        <v>58</v>
      </c>
      <c r="H151" s="9" t="s">
        <v>398</v>
      </c>
    </row>
    <row r="152" spans="4:8" x14ac:dyDescent="0.2">
      <c r="D152" s="16" t="str">
        <f t="shared" si="5"/>
        <v>1º GRUPO D</v>
      </c>
      <c r="E152" s="16" t="s">
        <v>443</v>
      </c>
      <c r="F152" s="16" t="s">
        <v>427</v>
      </c>
      <c r="G152" s="16" t="s">
        <v>97</v>
      </c>
      <c r="H152" s="9" t="s">
        <v>399</v>
      </c>
    </row>
    <row r="153" spans="4:8" x14ac:dyDescent="0.2">
      <c r="D153" s="16" t="str">
        <f t="shared" si="5"/>
        <v>2º GRUPO D</v>
      </c>
      <c r="E153" s="16" t="s">
        <v>443</v>
      </c>
      <c r="F153" s="16" t="s">
        <v>428</v>
      </c>
      <c r="G153" s="16" t="s">
        <v>98</v>
      </c>
      <c r="H153" s="9" t="s">
        <v>400</v>
      </c>
    </row>
    <row r="154" spans="4:8" x14ac:dyDescent="0.2">
      <c r="D154" s="16" t="str">
        <f t="shared" si="5"/>
        <v>3º GRUPO D</v>
      </c>
      <c r="E154" s="16" t="s">
        <v>443</v>
      </c>
      <c r="F154" s="16" t="s">
        <v>429</v>
      </c>
      <c r="G154" s="16" t="s">
        <v>99</v>
      </c>
      <c r="H154" s="9" t="s">
        <v>401</v>
      </c>
    </row>
    <row r="155" spans="4:8" x14ac:dyDescent="0.2">
      <c r="D155" s="16" t="str">
        <f t="shared" si="5"/>
        <v>4º GRUPO D</v>
      </c>
      <c r="E155" s="16" t="s">
        <v>443</v>
      </c>
      <c r="F155" s="16" t="s">
        <v>430</v>
      </c>
      <c r="G155" s="16" t="s">
        <v>100</v>
      </c>
      <c r="H155" s="9" t="s">
        <v>402</v>
      </c>
    </row>
    <row r="156" spans="4:8" x14ac:dyDescent="0.2">
      <c r="D156" s="16" t="str">
        <f t="shared" si="5"/>
        <v>1º GRUPO E</v>
      </c>
      <c r="E156" s="16" t="s">
        <v>443</v>
      </c>
      <c r="F156" s="16" t="s">
        <v>431</v>
      </c>
      <c r="G156" s="16" t="s">
        <v>101</v>
      </c>
      <c r="H156" s="9" t="s">
        <v>403</v>
      </c>
    </row>
    <row r="157" spans="4:8" x14ac:dyDescent="0.2">
      <c r="D157" s="16" t="str">
        <f t="shared" si="5"/>
        <v>2º GRUPO E</v>
      </c>
      <c r="E157" s="16" t="s">
        <v>443</v>
      </c>
      <c r="F157" s="16" t="s">
        <v>432</v>
      </c>
      <c r="G157" s="16" t="s">
        <v>102</v>
      </c>
      <c r="H157" s="9" t="s">
        <v>404</v>
      </c>
    </row>
    <row r="158" spans="4:8" x14ac:dyDescent="0.2">
      <c r="D158" s="16" t="str">
        <f t="shared" si="5"/>
        <v>3º GRUPO E</v>
      </c>
      <c r="E158" s="16" t="s">
        <v>443</v>
      </c>
      <c r="F158" s="16" t="s">
        <v>433</v>
      </c>
      <c r="G158" s="16" t="s">
        <v>103</v>
      </c>
      <c r="H158" s="9" t="s">
        <v>405</v>
      </c>
    </row>
    <row r="159" spans="4:8" x14ac:dyDescent="0.2">
      <c r="D159" s="16" t="str">
        <f t="shared" si="5"/>
        <v>4º GRUPO E</v>
      </c>
      <c r="E159" s="16" t="s">
        <v>443</v>
      </c>
      <c r="F159" s="16" t="s">
        <v>434</v>
      </c>
      <c r="G159" s="16" t="s">
        <v>104</v>
      </c>
      <c r="H159" s="9" t="s">
        <v>406</v>
      </c>
    </row>
    <row r="160" spans="4:8" x14ac:dyDescent="0.2">
      <c r="D160" s="16" t="str">
        <f t="shared" si="5"/>
        <v>1º GRUPO F</v>
      </c>
      <c r="E160" s="16" t="s">
        <v>443</v>
      </c>
      <c r="F160" s="16" t="s">
        <v>435</v>
      </c>
      <c r="G160" s="16" t="s">
        <v>105</v>
      </c>
      <c r="H160" s="9" t="s">
        <v>407</v>
      </c>
    </row>
    <row r="161" spans="4:8" x14ac:dyDescent="0.2">
      <c r="D161" s="16" t="str">
        <f t="shared" si="5"/>
        <v>2º GRUPO F</v>
      </c>
      <c r="E161" s="16" t="s">
        <v>443</v>
      </c>
      <c r="F161" s="16" t="s">
        <v>436</v>
      </c>
      <c r="G161" s="16" t="s">
        <v>106</v>
      </c>
      <c r="H161" s="9" t="s">
        <v>408</v>
      </c>
    </row>
    <row r="162" spans="4:8" x14ac:dyDescent="0.2">
      <c r="D162" s="16" t="str">
        <f t="shared" si="5"/>
        <v>3º GRUPO F</v>
      </c>
      <c r="E162" s="16" t="s">
        <v>443</v>
      </c>
      <c r="F162" s="16" t="s">
        <v>437</v>
      </c>
      <c r="G162" s="16" t="s">
        <v>107</v>
      </c>
      <c r="H162" s="9" t="s">
        <v>409</v>
      </c>
    </row>
    <row r="163" spans="4:8" x14ac:dyDescent="0.2">
      <c r="D163" s="16" t="str">
        <f t="shared" si="5"/>
        <v>4º GRUPO F</v>
      </c>
      <c r="E163" s="16" t="s">
        <v>443</v>
      </c>
      <c r="F163" s="16" t="s">
        <v>438</v>
      </c>
      <c r="G163" s="16" t="s">
        <v>108</v>
      </c>
      <c r="H163" s="9" t="s">
        <v>410</v>
      </c>
    </row>
    <row r="164" spans="4:8" x14ac:dyDescent="0.2">
      <c r="D164" s="16" t="str">
        <f t="shared" ref="D164:D187" si="6">IF($B$2,G164,H164)</f>
        <v>1º GRUPO G</v>
      </c>
      <c r="E164" s="16" t="s">
        <v>443</v>
      </c>
      <c r="G164" s="16" t="s">
        <v>526</v>
      </c>
      <c r="H164" s="9" t="s">
        <v>530</v>
      </c>
    </row>
    <row r="165" spans="4:8" x14ac:dyDescent="0.2">
      <c r="D165" s="16" t="str">
        <f t="shared" si="6"/>
        <v>2º GRUPO G</v>
      </c>
      <c r="E165" s="16" t="s">
        <v>443</v>
      </c>
      <c r="G165" s="16" t="s">
        <v>527</v>
      </c>
      <c r="H165" s="9" t="s">
        <v>531</v>
      </c>
    </row>
    <row r="166" spans="4:8" x14ac:dyDescent="0.2">
      <c r="D166" s="16" t="str">
        <f t="shared" si="6"/>
        <v>3º GRUPO G</v>
      </c>
      <c r="E166" s="16" t="s">
        <v>443</v>
      </c>
      <c r="G166" s="16" t="s">
        <v>528</v>
      </c>
      <c r="H166" s="9" t="s">
        <v>532</v>
      </c>
    </row>
    <row r="167" spans="4:8" x14ac:dyDescent="0.2">
      <c r="D167" s="16" t="str">
        <f t="shared" si="6"/>
        <v>4º GRUPO G</v>
      </c>
      <c r="E167" s="16" t="s">
        <v>443</v>
      </c>
      <c r="G167" s="16" t="s">
        <v>529</v>
      </c>
      <c r="H167" s="9" t="s">
        <v>533</v>
      </c>
    </row>
    <row r="168" spans="4:8" x14ac:dyDescent="0.2">
      <c r="D168" s="16" t="str">
        <f t="shared" si="6"/>
        <v>1º GRUPO H</v>
      </c>
      <c r="E168" s="16" t="s">
        <v>443</v>
      </c>
      <c r="G168" s="16" t="s">
        <v>534</v>
      </c>
      <c r="H168" s="9" t="s">
        <v>538</v>
      </c>
    </row>
    <row r="169" spans="4:8" x14ac:dyDescent="0.2">
      <c r="D169" s="16" t="str">
        <f t="shared" si="6"/>
        <v>2º GRUPO H</v>
      </c>
      <c r="E169" s="16" t="s">
        <v>443</v>
      </c>
      <c r="G169" s="16" t="s">
        <v>535</v>
      </c>
      <c r="H169" s="9" t="s">
        <v>539</v>
      </c>
    </row>
    <row r="170" spans="4:8" x14ac:dyDescent="0.2">
      <c r="D170" s="16" t="str">
        <f t="shared" si="6"/>
        <v>3º GRUPO H</v>
      </c>
      <c r="E170" s="16" t="s">
        <v>443</v>
      </c>
      <c r="G170" s="16" t="s">
        <v>536</v>
      </c>
      <c r="H170" s="9" t="s">
        <v>540</v>
      </c>
    </row>
    <row r="171" spans="4:8" x14ac:dyDescent="0.2">
      <c r="D171" s="16" t="str">
        <f t="shared" si="6"/>
        <v>4º GRUPO H</v>
      </c>
      <c r="E171" s="16" t="s">
        <v>443</v>
      </c>
      <c r="G171" s="16" t="s">
        <v>537</v>
      </c>
      <c r="H171" s="9" t="s">
        <v>541</v>
      </c>
    </row>
    <row r="172" spans="4:8" x14ac:dyDescent="0.2">
      <c r="D172" s="16" t="str">
        <f t="shared" si="6"/>
        <v>1º GRUPO I</v>
      </c>
      <c r="E172" s="16" t="s">
        <v>443</v>
      </c>
      <c r="G172" s="16" t="s">
        <v>542</v>
      </c>
      <c r="H172" s="9" t="s">
        <v>546</v>
      </c>
    </row>
    <row r="173" spans="4:8" x14ac:dyDescent="0.2">
      <c r="D173" s="16" t="str">
        <f t="shared" si="6"/>
        <v>2º GRUPO I</v>
      </c>
      <c r="E173" s="16" t="s">
        <v>443</v>
      </c>
      <c r="G173" s="16" t="s">
        <v>543</v>
      </c>
      <c r="H173" s="9" t="s">
        <v>547</v>
      </c>
    </row>
    <row r="174" spans="4:8" x14ac:dyDescent="0.2">
      <c r="D174" s="16" t="str">
        <f t="shared" si="6"/>
        <v>3º GRUPO I</v>
      </c>
      <c r="E174" s="16" t="s">
        <v>443</v>
      </c>
      <c r="G174" s="16" t="s">
        <v>544</v>
      </c>
      <c r="H174" s="9" t="s">
        <v>548</v>
      </c>
    </row>
    <row r="175" spans="4:8" x14ac:dyDescent="0.2">
      <c r="D175" s="16" t="str">
        <f t="shared" si="6"/>
        <v>4º GRUPO I</v>
      </c>
      <c r="E175" s="16" t="s">
        <v>443</v>
      </c>
      <c r="G175" s="16" t="s">
        <v>545</v>
      </c>
      <c r="H175" s="9" t="s">
        <v>549</v>
      </c>
    </row>
    <row r="176" spans="4:8" x14ac:dyDescent="0.2">
      <c r="D176" s="16" t="str">
        <f t="shared" si="6"/>
        <v>1º GRUPO J</v>
      </c>
      <c r="E176" s="16" t="s">
        <v>443</v>
      </c>
      <c r="G176" s="16" t="s">
        <v>550</v>
      </c>
      <c r="H176" s="9" t="s">
        <v>554</v>
      </c>
    </row>
    <row r="177" spans="4:8" x14ac:dyDescent="0.2">
      <c r="D177" s="16" t="str">
        <f t="shared" si="6"/>
        <v>2º GRUPO J</v>
      </c>
      <c r="E177" s="16" t="s">
        <v>443</v>
      </c>
      <c r="G177" s="16" t="s">
        <v>551</v>
      </c>
      <c r="H177" s="9" t="s">
        <v>555</v>
      </c>
    </row>
    <row r="178" spans="4:8" x14ac:dyDescent="0.2">
      <c r="D178" s="16" t="str">
        <f t="shared" si="6"/>
        <v>3º GRUPO J</v>
      </c>
      <c r="E178" s="16" t="s">
        <v>443</v>
      </c>
      <c r="G178" s="16" t="s">
        <v>552</v>
      </c>
      <c r="H178" s="9" t="s">
        <v>556</v>
      </c>
    </row>
    <row r="179" spans="4:8" x14ac:dyDescent="0.2">
      <c r="D179" s="16" t="str">
        <f t="shared" si="6"/>
        <v>4º GRUPO J</v>
      </c>
      <c r="E179" s="16" t="s">
        <v>443</v>
      </c>
      <c r="G179" s="16" t="s">
        <v>553</v>
      </c>
      <c r="H179" s="9" t="s">
        <v>557</v>
      </c>
    </row>
    <row r="180" spans="4:8" x14ac:dyDescent="0.2">
      <c r="D180" s="16" t="str">
        <f t="shared" si="6"/>
        <v>1º GRUPO K</v>
      </c>
      <c r="E180" s="16" t="s">
        <v>443</v>
      </c>
      <c r="G180" s="16" t="s">
        <v>558</v>
      </c>
      <c r="H180" s="9" t="s">
        <v>562</v>
      </c>
    </row>
    <row r="181" spans="4:8" x14ac:dyDescent="0.2">
      <c r="D181" s="16" t="str">
        <f t="shared" si="6"/>
        <v>2º GRUPO K</v>
      </c>
      <c r="E181" s="16" t="s">
        <v>443</v>
      </c>
      <c r="G181" s="16" t="s">
        <v>559</v>
      </c>
      <c r="H181" s="9" t="s">
        <v>563</v>
      </c>
    </row>
    <row r="182" spans="4:8" x14ac:dyDescent="0.2">
      <c r="D182" s="16" t="str">
        <f t="shared" si="6"/>
        <v>3º GRUPO K</v>
      </c>
      <c r="E182" s="16" t="s">
        <v>443</v>
      </c>
      <c r="G182" s="16" t="s">
        <v>560</v>
      </c>
      <c r="H182" s="9" t="s">
        <v>564</v>
      </c>
    </row>
    <row r="183" spans="4:8" x14ac:dyDescent="0.2">
      <c r="D183" s="16" t="str">
        <f t="shared" si="6"/>
        <v>4º GRUPO K</v>
      </c>
      <c r="E183" s="16" t="s">
        <v>443</v>
      </c>
      <c r="G183" s="16" t="s">
        <v>561</v>
      </c>
      <c r="H183" s="9" t="s">
        <v>565</v>
      </c>
    </row>
    <row r="184" spans="4:8" x14ac:dyDescent="0.2">
      <c r="D184" s="16" t="str">
        <f t="shared" si="6"/>
        <v>1º GRUPO L</v>
      </c>
      <c r="E184" s="16" t="s">
        <v>443</v>
      </c>
      <c r="G184" s="16" t="s">
        <v>566</v>
      </c>
      <c r="H184" s="9" t="s">
        <v>570</v>
      </c>
    </row>
    <row r="185" spans="4:8" x14ac:dyDescent="0.2">
      <c r="D185" s="16" t="str">
        <f t="shared" si="6"/>
        <v>2º GRUPO L</v>
      </c>
      <c r="E185" s="16" t="s">
        <v>443</v>
      </c>
      <c r="G185" s="16" t="s">
        <v>567</v>
      </c>
      <c r="H185" s="9" t="s">
        <v>571</v>
      </c>
    </row>
    <row r="186" spans="4:8" x14ac:dyDescent="0.2">
      <c r="D186" s="16" t="str">
        <f t="shared" si="6"/>
        <v>3º GRUPO L</v>
      </c>
      <c r="E186" s="16" t="s">
        <v>443</v>
      </c>
      <c r="G186" s="16" t="s">
        <v>568</v>
      </c>
      <c r="H186" s="9" t="s">
        <v>572</v>
      </c>
    </row>
    <row r="187" spans="4:8" x14ac:dyDescent="0.2">
      <c r="D187" s="16" t="str">
        <f t="shared" si="6"/>
        <v>4º GRUPO L</v>
      </c>
      <c r="E187" s="16" t="s">
        <v>443</v>
      </c>
      <c r="G187" s="16" t="s">
        <v>569</v>
      </c>
      <c r="H187" s="9" t="s">
        <v>573</v>
      </c>
    </row>
    <row r="188" spans="4:8" x14ac:dyDescent="0.2">
      <c r="D188" s="16" t="str">
        <f t="shared" si="4"/>
        <v>Dieciseisavofinalista</v>
      </c>
      <c r="E188" s="16" t="s">
        <v>443</v>
      </c>
      <c r="F188" s="16" t="s">
        <v>439</v>
      </c>
      <c r="G188" s="16" t="s">
        <v>576</v>
      </c>
      <c r="H188" s="9" t="s">
        <v>577</v>
      </c>
    </row>
    <row r="189" spans="4:8" x14ac:dyDescent="0.2">
      <c r="D189" s="16" t="str">
        <f t="shared" si="4"/>
        <v>Octavofinalista</v>
      </c>
      <c r="E189" s="16" t="s">
        <v>443</v>
      </c>
      <c r="G189" s="16" t="s">
        <v>1301</v>
      </c>
      <c r="H189" s="9" t="s">
        <v>411</v>
      </c>
    </row>
    <row r="190" spans="4:8" x14ac:dyDescent="0.2">
      <c r="D190" s="16" t="str">
        <f t="shared" si="4"/>
        <v>Cuartofinalista</v>
      </c>
      <c r="E190" s="16" t="s">
        <v>443</v>
      </c>
      <c r="F190" s="16" t="s">
        <v>440</v>
      </c>
      <c r="G190" s="16" t="s">
        <v>60</v>
      </c>
      <c r="H190" s="9" t="s">
        <v>412</v>
      </c>
    </row>
    <row r="191" spans="4:8" x14ac:dyDescent="0.2">
      <c r="D191" s="16" t="str">
        <f t="shared" si="4"/>
        <v>Semifinalista</v>
      </c>
      <c r="E191" s="16" t="s">
        <v>443</v>
      </c>
      <c r="F191" s="16" t="s">
        <v>441</v>
      </c>
      <c r="G191" s="16" t="s">
        <v>63</v>
      </c>
      <c r="H191" s="9" t="s">
        <v>413</v>
      </c>
    </row>
    <row r="192" spans="4:8" x14ac:dyDescent="0.2">
      <c r="D192" s="16" t="str">
        <f t="shared" si="4"/>
        <v>3º y 4º puesto</v>
      </c>
      <c r="E192" s="16" t="s">
        <v>443</v>
      </c>
      <c r="G192" s="16" t="s">
        <v>501</v>
      </c>
      <c r="H192" s="9" t="s">
        <v>502</v>
      </c>
    </row>
    <row r="193" spans="2:11" x14ac:dyDescent="0.2">
      <c r="D193" s="16" t="str">
        <f t="shared" si="4"/>
        <v>Finalista</v>
      </c>
      <c r="E193" s="16" t="s">
        <v>443</v>
      </c>
      <c r="F193" s="16" t="s">
        <v>442</v>
      </c>
      <c r="G193" s="16" t="s">
        <v>66</v>
      </c>
      <c r="H193" s="9" t="s">
        <v>414</v>
      </c>
    </row>
    <row r="197" spans="2:11" x14ac:dyDescent="0.2">
      <c r="J197" s="606"/>
      <c r="K197" s="594"/>
    </row>
    <row r="199" spans="2:11" x14ac:dyDescent="0.2">
      <c r="J199" s="606"/>
    </row>
    <row r="201" spans="2:11" x14ac:dyDescent="0.2">
      <c r="C201" s="16" t="s">
        <v>1456</v>
      </c>
    </row>
    <row r="202" spans="2:11" x14ac:dyDescent="0.2">
      <c r="B202" s="16">
        <v>1</v>
      </c>
      <c r="C202" s="16">
        <v>17</v>
      </c>
      <c r="D202" s="16" t="str">
        <f t="shared" ref="D202:D249" ca="1" si="7">IF($B$2,G202,H202)</f>
        <v>Alemania</v>
      </c>
      <c r="E202" s="16" t="s">
        <v>219</v>
      </c>
      <c r="F202" s="16" t="s">
        <v>311</v>
      </c>
      <c r="G202" s="16" t="str">
        <f ca="1">Credits!EU6119</f>
        <v>Alemania</v>
      </c>
      <c r="H202" s="16" t="str">
        <f ca="1">Credits!EV6119</f>
        <v>Germany</v>
      </c>
    </row>
    <row r="203" spans="2:11" x14ac:dyDescent="0.2">
      <c r="B203" s="16">
        <v>2</v>
      </c>
      <c r="C203" s="16">
        <v>31</v>
      </c>
      <c r="D203" s="16" t="str">
        <f t="shared" ca="1" si="7"/>
        <v>Arabia Saudita</v>
      </c>
      <c r="E203" s="16" t="s">
        <v>219</v>
      </c>
      <c r="F203" s="16" t="s">
        <v>190</v>
      </c>
      <c r="G203" s="16" t="str">
        <f ca="1">Credits!EU6120</f>
        <v>Arabia Saudita</v>
      </c>
      <c r="H203" s="16" t="str">
        <f ca="1">Credits!EV6120</f>
        <v>Saudi Arabia</v>
      </c>
    </row>
    <row r="204" spans="2:11" x14ac:dyDescent="0.2">
      <c r="B204" s="16">
        <v>3</v>
      </c>
      <c r="C204" s="16">
        <v>38</v>
      </c>
      <c r="D204" s="16" t="str">
        <f t="shared" ca="1" si="7"/>
        <v>Argelia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Bélgica</v>
      </c>
      <c r="E208" s="16" t="s">
        <v>219</v>
      </c>
      <c r="F208" s="16" t="s">
        <v>316</v>
      </c>
      <c r="G208" s="16" t="str">
        <f ca="1">Credits!EU6125</f>
        <v>Bélgica</v>
      </c>
      <c r="H208" s="16" t="str">
        <f ca="1">Credits!EV6125</f>
        <v>Belgium</v>
      </c>
    </row>
    <row r="209" spans="2:8" x14ac:dyDescent="0.2">
      <c r="B209" s="16">
        <v>8</v>
      </c>
      <c r="C209" s="16">
        <v>9</v>
      </c>
      <c r="D209" s="16" t="str">
        <f t="shared" ca="1" si="7"/>
        <v>Brasil</v>
      </c>
      <c r="E209" s="16" t="s">
        <v>219</v>
      </c>
      <c r="F209" s="16" t="s">
        <v>317</v>
      </c>
      <c r="G209" s="16" t="str">
        <f ca="1">Credits!EU6126</f>
        <v>Brasil</v>
      </c>
      <c r="H209" s="16" t="str">
        <f ca="1">Credits!EV6126</f>
        <v>Brazil</v>
      </c>
    </row>
    <row r="210" spans="2:8" x14ac:dyDescent="0.2">
      <c r="B210" s="16">
        <v>9</v>
      </c>
      <c r="C210" s="16">
        <v>30</v>
      </c>
      <c r="D210" s="16" t="str">
        <f t="shared" ca="1" si="7"/>
        <v>Cabo Verde</v>
      </c>
      <c r="E210" s="16" t="s">
        <v>219</v>
      </c>
      <c r="F210" s="16" t="s">
        <v>318</v>
      </c>
      <c r="G210" s="16" t="str">
        <f ca="1">Credits!EU6127</f>
        <v>Cabo Verde</v>
      </c>
      <c r="H210" s="16" t="str">
        <f ca="1">Credits!EV6127</f>
        <v>Cape Verde</v>
      </c>
    </row>
    <row r="211" spans="2:8" x14ac:dyDescent="0.2">
      <c r="B211" s="16">
        <v>10</v>
      </c>
      <c r="C211" s="16">
        <v>5</v>
      </c>
      <c r="D211" s="16" t="str">
        <f t="shared" ca="1" si="7"/>
        <v>Canadá</v>
      </c>
      <c r="E211" s="16" t="s">
        <v>219</v>
      </c>
      <c r="F211" s="16" t="s">
        <v>319</v>
      </c>
      <c r="G211" s="16" t="str">
        <f ca="1">Credits!EU6128</f>
        <v>Canadá</v>
      </c>
      <c r="H211" s="16" t="str">
        <f ca="1">Credits!EV6128</f>
        <v>Canada</v>
      </c>
    </row>
    <row r="212" spans="2:8" x14ac:dyDescent="0.2">
      <c r="B212" s="16">
        <v>11</v>
      </c>
      <c r="C212" s="16">
        <v>7</v>
      </c>
      <c r="D212" s="16" t="str">
        <f t="shared" ca="1" si="7"/>
        <v>Catar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Corea del Sur</v>
      </c>
      <c r="E214" s="16" t="s">
        <v>219</v>
      </c>
      <c r="F214" s="16" t="s">
        <v>322</v>
      </c>
      <c r="G214" s="16" t="str">
        <f ca="1">Credits!EU6131</f>
        <v>Corea del Sur</v>
      </c>
      <c r="H214" s="16" t="str">
        <f ca="1">Credits!EV6131</f>
        <v>South Korea</v>
      </c>
    </row>
    <row r="215" spans="2:8" x14ac:dyDescent="0.2">
      <c r="B215" s="16">
        <v>14</v>
      </c>
      <c r="C215" s="16">
        <v>19</v>
      </c>
      <c r="D215" s="16" t="str">
        <f t="shared" ca="1" si="7"/>
        <v>Costa de Marfil</v>
      </c>
      <c r="E215" s="16" t="s">
        <v>219</v>
      </c>
      <c r="F215" s="16" t="s">
        <v>323</v>
      </c>
      <c r="G215" s="16" t="str">
        <f ca="1">Credits!EU6132</f>
        <v>Costa de Marfil</v>
      </c>
      <c r="H215" s="16" t="str">
        <f ca="1">Credits!EV6132</f>
        <v>Ivory Coast</v>
      </c>
    </row>
    <row r="216" spans="2:8" x14ac:dyDescent="0.2">
      <c r="B216" s="16">
        <v>15</v>
      </c>
      <c r="C216" s="16">
        <v>46</v>
      </c>
      <c r="D216" s="16" t="str">
        <f t="shared" ca="1" si="7"/>
        <v>Croacia</v>
      </c>
      <c r="E216" s="16" t="s">
        <v>219</v>
      </c>
      <c r="F216" s="16" t="s">
        <v>324</v>
      </c>
      <c r="G216" s="16" t="str">
        <f ca="1">Credits!EU6133</f>
        <v>Croacia</v>
      </c>
      <c r="H216" s="16" t="str">
        <f ca="1">Credits!EV6133</f>
        <v>Croatia</v>
      </c>
    </row>
    <row r="217" spans="2:8" x14ac:dyDescent="0.2">
      <c r="B217" s="16">
        <v>16</v>
      </c>
      <c r="C217" s="16">
        <v>18</v>
      </c>
      <c r="D217" s="16" t="str">
        <f t="shared" ca="1" si="7"/>
        <v>Curazao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Egipto</v>
      </c>
      <c r="E219" s="16" t="s">
        <v>219</v>
      </c>
      <c r="F219" s="16" t="s">
        <v>327</v>
      </c>
      <c r="G219" s="16" t="str">
        <f ca="1">Credits!EU6136</f>
        <v>Egipto</v>
      </c>
      <c r="H219" s="16" t="str">
        <f ca="1">Credits!EV6136</f>
        <v>Egypt</v>
      </c>
    </row>
    <row r="220" spans="2:8" x14ac:dyDescent="0.2">
      <c r="B220" s="16">
        <v>19</v>
      </c>
      <c r="C220" s="16">
        <v>12</v>
      </c>
      <c r="D220" s="16" t="str">
        <f t="shared" ca="1" si="7"/>
        <v>Escocia</v>
      </c>
      <c r="E220" s="16" t="s">
        <v>219</v>
      </c>
      <c r="F220" s="16" t="s">
        <v>328</v>
      </c>
      <c r="G220" s="16" t="str">
        <f ca="1">Credits!EU6137</f>
        <v>Escocia</v>
      </c>
      <c r="H220" s="16" t="str">
        <f ca="1">Credits!EV6137</f>
        <v>Scotland</v>
      </c>
    </row>
    <row r="221" spans="2:8" x14ac:dyDescent="0.2">
      <c r="B221" s="16">
        <v>20</v>
      </c>
      <c r="C221" s="16">
        <v>29</v>
      </c>
      <c r="D221" s="16" t="str">
        <f t="shared" ca="1" si="7"/>
        <v>España</v>
      </c>
      <c r="E221" s="16" t="s">
        <v>219</v>
      </c>
      <c r="F221" s="16" t="s">
        <v>329</v>
      </c>
      <c r="G221" s="16" t="str">
        <f ca="1">Credits!EU6138</f>
        <v>España</v>
      </c>
      <c r="H221" s="16" t="str">
        <f ca="1">Credits!EV6138</f>
        <v>Spain</v>
      </c>
    </row>
    <row r="222" spans="2:8" x14ac:dyDescent="0.2">
      <c r="B222" s="16">
        <v>21</v>
      </c>
      <c r="C222" s="16">
        <v>13</v>
      </c>
      <c r="D222" s="16" t="str">
        <f t="shared" ca="1" si="7"/>
        <v>Estados Unidos</v>
      </c>
      <c r="E222" s="16" t="s">
        <v>219</v>
      </c>
      <c r="F222" s="16" t="s">
        <v>330</v>
      </c>
      <c r="G222" s="16" t="str">
        <f ca="1">Credits!EU6139</f>
        <v>Estados Unidos</v>
      </c>
      <c r="H222" s="16" t="str">
        <f ca="1">Credits!EV6139</f>
        <v>United States</v>
      </c>
    </row>
    <row r="223" spans="2:8" x14ac:dyDescent="0.2">
      <c r="B223" s="16">
        <v>22</v>
      </c>
      <c r="C223" s="16">
        <v>33</v>
      </c>
      <c r="D223" s="16" t="str">
        <f t="shared" ca="1" si="7"/>
        <v>Francia</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Haití</v>
      </c>
      <c r="E225" s="16" t="s">
        <v>219</v>
      </c>
      <c r="F225" s="16" t="s">
        <v>333</v>
      </c>
      <c r="G225" s="16" t="str">
        <f ca="1">Credits!EU6142</f>
        <v>Haití</v>
      </c>
      <c r="H225" s="16" t="str">
        <f ca="1">Credits!EV6142</f>
        <v>Haiti</v>
      </c>
    </row>
    <row r="226" spans="2:8" x14ac:dyDescent="0.2">
      <c r="B226" s="16">
        <v>25</v>
      </c>
      <c r="C226" s="16">
        <v>45</v>
      </c>
      <c r="D226" s="16" t="str">
        <f t="shared" ca="1" si="7"/>
        <v>Inglaterra</v>
      </c>
      <c r="E226" s="16" t="s">
        <v>219</v>
      </c>
      <c r="F226" s="16" t="s">
        <v>334</v>
      </c>
      <c r="G226" s="16" t="str">
        <f ca="1">Credits!EU6143</f>
        <v>Inglaterra</v>
      </c>
      <c r="H226" s="16" t="str">
        <f ca="1">Credits!EV6143</f>
        <v>England</v>
      </c>
    </row>
    <row r="227" spans="2:8" x14ac:dyDescent="0.2">
      <c r="B227" s="16">
        <v>26</v>
      </c>
      <c r="C227" s="16">
        <v>27</v>
      </c>
      <c r="D227" s="16" t="str">
        <f t="shared" ca="1" si="7"/>
        <v>Irán</v>
      </c>
      <c r="E227" s="16" t="s">
        <v>219</v>
      </c>
      <c r="F227" s="16" t="s">
        <v>335</v>
      </c>
      <c r="G227" s="16" t="str">
        <f ca="1">Credits!EU6144</f>
        <v>Irán</v>
      </c>
      <c r="H227" s="16" t="str">
        <f ca="1">Credits!EV6144</f>
        <v>Iran</v>
      </c>
    </row>
    <row r="228" spans="2:8" x14ac:dyDescent="0.2">
      <c r="B228" s="16">
        <v>27</v>
      </c>
      <c r="C228" s="16">
        <v>22</v>
      </c>
      <c r="D228" s="16" t="str">
        <f t="shared" ca="1" si="7"/>
        <v>Japón</v>
      </c>
      <c r="E228" s="16" t="s">
        <v>219</v>
      </c>
      <c r="F228" s="16" t="s">
        <v>336</v>
      </c>
      <c r="G228" s="16" t="str">
        <f ca="1">Credits!EU6145</f>
        <v>Japón</v>
      </c>
      <c r="H228" s="16" t="str">
        <f ca="1">Credits!EV6145</f>
        <v>Japan</v>
      </c>
    </row>
    <row r="229" spans="2:8" x14ac:dyDescent="0.2">
      <c r="B229" s="16">
        <v>28</v>
      </c>
      <c r="C229" s="16">
        <v>40</v>
      </c>
      <c r="D229" s="16" t="str">
        <f t="shared" ca="1" si="7"/>
        <v>Jordania</v>
      </c>
      <c r="E229" s="16" t="s">
        <v>219</v>
      </c>
      <c r="F229" s="16" t="s">
        <v>337</v>
      </c>
      <c r="G229" s="16" t="str">
        <f ca="1">Credits!EU6146</f>
        <v>Jordania</v>
      </c>
      <c r="H229" s="16" t="str">
        <f ca="1">Credits!EV6146</f>
        <v>Jordan</v>
      </c>
    </row>
    <row r="230" spans="2:8" x14ac:dyDescent="0.2">
      <c r="B230" s="16">
        <v>29</v>
      </c>
      <c r="C230" s="16">
        <v>10</v>
      </c>
      <c r="D230" s="16" t="str">
        <f t="shared" ca="1" si="7"/>
        <v>Marruecos</v>
      </c>
      <c r="E230" s="16" t="s">
        <v>219</v>
      </c>
      <c r="F230" s="16" t="s">
        <v>338</v>
      </c>
      <c r="G230" s="16" t="str">
        <f ca="1">Credits!EU6147</f>
        <v>Marruecos</v>
      </c>
      <c r="H230" s="16" t="str">
        <f ca="1">Credits!EV6147</f>
        <v>Morocco</v>
      </c>
    </row>
    <row r="231" spans="2:8" x14ac:dyDescent="0.2">
      <c r="B231" s="16">
        <v>30</v>
      </c>
      <c r="C231" s="16">
        <v>1</v>
      </c>
      <c r="D231" s="16" t="str">
        <f t="shared" ca="1" si="7"/>
        <v>México</v>
      </c>
      <c r="E231" s="16" t="s">
        <v>219</v>
      </c>
      <c r="F231" s="16" t="s">
        <v>339</v>
      </c>
      <c r="G231" s="16" t="str">
        <f ca="1">Credits!EU6148</f>
        <v>México</v>
      </c>
      <c r="H231" s="16" t="str">
        <f ca="1">Credits!EV6148</f>
        <v>Mexico</v>
      </c>
    </row>
    <row r="232" spans="2:8" x14ac:dyDescent="0.2">
      <c r="B232" s="16">
        <v>31</v>
      </c>
      <c r="C232" s="16">
        <v>36</v>
      </c>
      <c r="D232" s="16" t="str">
        <f t="shared" ca="1" si="7"/>
        <v>Noruega</v>
      </c>
      <c r="E232" s="16" t="s">
        <v>219</v>
      </c>
      <c r="F232" s="16" t="s">
        <v>340</v>
      </c>
      <c r="G232" s="16" t="str">
        <f ca="1">Credits!EU6149</f>
        <v>Noruega</v>
      </c>
      <c r="H232" s="16" t="str">
        <f ca="1">Credits!EV6149</f>
        <v>Norway</v>
      </c>
    </row>
    <row r="233" spans="2:8" x14ac:dyDescent="0.2">
      <c r="B233" s="16">
        <v>32</v>
      </c>
      <c r="C233" s="16">
        <v>28</v>
      </c>
      <c r="D233" s="16" t="str">
        <f t="shared" ca="1" si="7"/>
        <v>Nueva Zelanda</v>
      </c>
      <c r="E233" s="16" t="s">
        <v>219</v>
      </c>
      <c r="F233" s="16" t="s">
        <v>341</v>
      </c>
      <c r="G233" s="16" t="str">
        <f ca="1">Credits!EU6150</f>
        <v>Nueva Zelanda</v>
      </c>
      <c r="H233" s="16" t="str">
        <f ca="1">Credits!EV6150</f>
        <v>New Zealand</v>
      </c>
    </row>
    <row r="234" spans="2:8" x14ac:dyDescent="0.2">
      <c r="B234" s="16">
        <v>33</v>
      </c>
      <c r="C234" s="16">
        <v>21</v>
      </c>
      <c r="D234" s="16" t="str">
        <f t="shared" ca="1" si="7"/>
        <v>Países Bajos</v>
      </c>
      <c r="E234" s="16" t="s">
        <v>219</v>
      </c>
      <c r="F234" s="16" t="s">
        <v>342</v>
      </c>
      <c r="G234" s="16" t="str">
        <f ca="1">Credits!EU6151</f>
        <v>Países Bajos</v>
      </c>
      <c r="H234" s="16" t="str">
        <f ca="1">Credits!EV6151</f>
        <v>Netherlands</v>
      </c>
    </row>
    <row r="235" spans="2:8" x14ac:dyDescent="0.2">
      <c r="B235" s="16">
        <v>34</v>
      </c>
      <c r="C235" s="16">
        <v>48</v>
      </c>
      <c r="D235" s="16" t="str">
        <f t="shared" ca="1" si="7"/>
        <v>Panamá</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Sudáfrica</v>
      </c>
      <c r="E239" s="16" t="s">
        <v>219</v>
      </c>
      <c r="F239" s="16" t="s">
        <v>347</v>
      </c>
      <c r="G239" s="16" t="str">
        <f ca="1">Credits!EU6156</f>
        <v>Sudáfrica</v>
      </c>
      <c r="H239" s="16" t="str">
        <f ca="1">Credits!EV6156</f>
        <v>South Africa</v>
      </c>
    </row>
    <row r="240" spans="2:8" x14ac:dyDescent="0.2">
      <c r="B240" s="16">
        <v>39</v>
      </c>
      <c r="C240" s="16">
        <v>8</v>
      </c>
      <c r="D240" s="16" t="str">
        <f t="shared" ca="1" si="7"/>
        <v>Suiza</v>
      </c>
      <c r="E240" s="16" t="s">
        <v>219</v>
      </c>
      <c r="F240" s="16" t="s">
        <v>348</v>
      </c>
      <c r="G240" s="16" t="str">
        <f ca="1">Credits!EU6157</f>
        <v>Suiza</v>
      </c>
      <c r="H240" s="16" t="str">
        <f ca="1">Credits!EV6157</f>
        <v>Switzerland</v>
      </c>
    </row>
    <row r="241" spans="2:8" x14ac:dyDescent="0.2">
      <c r="B241" s="16">
        <v>40</v>
      </c>
      <c r="C241" s="16">
        <v>24</v>
      </c>
      <c r="D241" s="16" t="str">
        <f t="shared" ca="1" si="7"/>
        <v>Túnez</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Uzbekistán</v>
      </c>
      <c r="E243" s="16" t="s">
        <v>219</v>
      </c>
      <c r="F243" s="16" t="s">
        <v>351</v>
      </c>
      <c r="G243" s="16" t="str">
        <f ca="1">Credits!EU6160</f>
        <v>Uzbekistán</v>
      </c>
      <c r="H243" s="16" t="str">
        <f ca="1">Credits!EV6160</f>
        <v>Uzbekistan</v>
      </c>
    </row>
    <row r="244" spans="2:8" x14ac:dyDescent="0.2">
      <c r="B244" s="16">
        <v>43</v>
      </c>
      <c r="C244" s="16">
        <v>42</v>
      </c>
      <c r="D244" s="16" t="str">
        <f t="shared" ca="1" si="7"/>
        <v>RD Congo</v>
      </c>
      <c r="E244" s="16" t="s">
        <v>219</v>
      </c>
      <c r="F244" s="16" t="s">
        <v>352</v>
      </c>
      <c r="G244" s="16" t="str">
        <f ca="1">Credits!EU6161</f>
        <v>RD Congo</v>
      </c>
      <c r="H244" s="16" t="str">
        <f ca="1">Credits!EV6161</f>
        <v>DR Congo</v>
      </c>
    </row>
    <row r="245" spans="2:8" x14ac:dyDescent="0.2">
      <c r="B245" s="16">
        <v>44</v>
      </c>
      <c r="C245" s="16">
        <v>35</v>
      </c>
      <c r="D245" s="16" t="str">
        <f t="shared" ca="1" si="7"/>
        <v>Irak</v>
      </c>
      <c r="E245" s="16" t="s">
        <v>219</v>
      </c>
      <c r="F245" s="16" t="s">
        <v>353</v>
      </c>
      <c r="G245" s="16" t="str">
        <f ca="1">Credits!EU6162</f>
        <v>Irak</v>
      </c>
      <c r="H245" s="16" t="str">
        <f ca="1">Credits!EV6162</f>
        <v>Iraq</v>
      </c>
    </row>
    <row r="246" spans="2:8" x14ac:dyDescent="0.2">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Suecia</v>
      </c>
      <c r="E247" s="16" t="s">
        <v>219</v>
      </c>
      <c r="F247" s="16" t="s">
        <v>355</v>
      </c>
      <c r="G247" s="16" t="str">
        <f ca="1">Credits!EU6164</f>
        <v>Suecia</v>
      </c>
      <c r="H247" s="16" t="str">
        <f ca="1">Credits!EV6164</f>
        <v>Sweden</v>
      </c>
    </row>
    <row r="248" spans="2:8" x14ac:dyDescent="0.2">
      <c r="B248" s="16">
        <v>47</v>
      </c>
      <c r="C248" s="16">
        <v>16</v>
      </c>
      <c r="D248" s="16" t="str">
        <f t="shared" ca="1" si="7"/>
        <v>Turquía</v>
      </c>
      <c r="E248" s="16" t="s">
        <v>219</v>
      </c>
      <c r="F248" s="16" t="s">
        <v>356</v>
      </c>
      <c r="G248" s="16" t="str">
        <f ca="1">Credits!EU6165</f>
        <v>Turquía</v>
      </c>
      <c r="H248" s="16" t="str">
        <f ca="1">Credits!EV6165</f>
        <v>Turkey</v>
      </c>
    </row>
    <row r="249" spans="2:8" x14ac:dyDescent="0.2">
      <c r="B249" s="16">
        <v>48</v>
      </c>
      <c r="C249" s="16">
        <v>4</v>
      </c>
      <c r="D249" s="16" t="str">
        <f t="shared" ca="1" si="7"/>
        <v>República Checa</v>
      </c>
      <c r="E249" s="16" t="s">
        <v>219</v>
      </c>
      <c r="F249" s="16" t="s">
        <v>357</v>
      </c>
      <c r="G249" s="16" t="str">
        <f ca="1">Credits!EU6166</f>
        <v>República Checa</v>
      </c>
      <c r="H249" s="16" t="str">
        <f ca="1">Credits!EV6166</f>
        <v>Czech Republic</v>
      </c>
    </row>
    <row r="252" spans="2:8" x14ac:dyDescent="0.2">
      <c r="C252" s="16" t="s">
        <v>1457</v>
      </c>
      <c r="D252" s="16" t="str">
        <f t="shared" ref="D252" si="8">IF($B$2,G252,H252)</f>
        <v>Estados Unidos</v>
      </c>
      <c r="E252" s="16" t="s">
        <v>384</v>
      </c>
      <c r="F252" s="16" t="s">
        <v>385</v>
      </c>
      <c r="G252" s="16" t="s">
        <v>507</v>
      </c>
      <c r="H252" s="16" t="s">
        <v>508</v>
      </c>
    </row>
    <row r="255" spans="2:8" x14ac:dyDescent="0.2">
      <c r="D255" s="16" t="str">
        <f t="shared" ref="D255:D270" si="9">IF($B$2,G255,H255)</f>
        <v>Campeón</v>
      </c>
      <c r="E255" s="16" t="s">
        <v>1247</v>
      </c>
      <c r="G255" s="16" t="s">
        <v>19</v>
      </c>
      <c r="H255" s="582" t="s">
        <v>229</v>
      </c>
    </row>
    <row r="256" spans="2:8" x14ac:dyDescent="0.2">
      <c r="D256" s="16" t="str">
        <f t="shared" si="9"/>
        <v>Subcampeón</v>
      </c>
      <c r="E256" s="16" t="s">
        <v>1247</v>
      </c>
      <c r="G256" s="16" t="s">
        <v>20</v>
      </c>
      <c r="H256" s="16" t="s">
        <v>230</v>
      </c>
    </row>
    <row r="257" spans="4:8" x14ac:dyDescent="0.2">
      <c r="D257" s="16" t="str">
        <f t="shared" si="9"/>
        <v>3º puesto</v>
      </c>
      <c r="E257" s="16" t="s">
        <v>1247</v>
      </c>
      <c r="G257" s="16" t="s">
        <v>1239</v>
      </c>
      <c r="H257" s="16" t="s">
        <v>1240</v>
      </c>
    </row>
    <row r="258" spans="4:8" x14ac:dyDescent="0.2">
      <c r="D258" s="16" t="str">
        <f t="shared" si="9"/>
        <v>Semifinales</v>
      </c>
      <c r="E258" s="16" t="s">
        <v>1247</v>
      </c>
      <c r="G258" s="16" t="s">
        <v>38</v>
      </c>
      <c r="H258" s="582" t="s">
        <v>227</v>
      </c>
    </row>
    <row r="259" spans="4:8" x14ac:dyDescent="0.2">
      <c r="D259" s="16" t="str">
        <f t="shared" si="9"/>
        <v>Cuartos de final</v>
      </c>
      <c r="E259" s="16" t="s">
        <v>1247</v>
      </c>
      <c r="G259" s="16" t="s">
        <v>71</v>
      </c>
      <c r="H259" s="582" t="s">
        <v>226</v>
      </c>
    </row>
    <row r="260" spans="4:8" x14ac:dyDescent="0.2">
      <c r="D260" s="16" t="str">
        <f t="shared" si="9"/>
        <v>Octavos de final</v>
      </c>
      <c r="E260" s="16" t="s">
        <v>1247</v>
      </c>
      <c r="G260" s="16" t="s">
        <v>88</v>
      </c>
      <c r="H260" s="582" t="s">
        <v>225</v>
      </c>
    </row>
    <row r="261" spans="4:8" x14ac:dyDescent="0.2">
      <c r="D261" s="16" t="str">
        <f t="shared" si="9"/>
        <v>Dieciseisavos de final</v>
      </c>
      <c r="E261" s="16" t="s">
        <v>1247</v>
      </c>
      <c r="G261" s="16" t="s">
        <v>491</v>
      </c>
      <c r="H261" s="16" t="s">
        <v>492</v>
      </c>
    </row>
    <row r="262" spans="4:8" x14ac:dyDescent="0.2">
      <c r="D262" s="16" t="str">
        <f t="shared" si="9"/>
        <v>Fase de grupos</v>
      </c>
      <c r="E262" s="16" t="s">
        <v>1247</v>
      </c>
      <c r="G262" s="16" t="s">
        <v>1248</v>
      </c>
      <c r="H262" s="582" t="s">
        <v>1249</v>
      </c>
    </row>
    <row r="263" spans="4:8" x14ac:dyDescent="0.2">
      <c r="D263" s="16" t="str">
        <f t="shared" si="9"/>
        <v>Pronóstica la ronda</v>
      </c>
      <c r="E263" s="16" t="s">
        <v>1247</v>
      </c>
      <c r="G263" s="582" t="s">
        <v>1241</v>
      </c>
      <c r="H263" s="582" t="s">
        <v>1242</v>
      </c>
    </row>
    <row r="264" spans="4:8" x14ac:dyDescent="0.2">
      <c r="D264" s="16" t="str">
        <f t="shared" si="9"/>
        <v>Predice la selección</v>
      </c>
      <c r="E264" s="16" t="s">
        <v>1247</v>
      </c>
      <c r="G264" s="582" t="s">
        <v>1250</v>
      </c>
      <c r="H264" s="582" t="s">
        <v>1251</v>
      </c>
    </row>
    <row r="265" spans="4:8" x14ac:dyDescent="0.2">
      <c r="D265" s="16" t="str">
        <f t="shared" si="9"/>
        <v>Ronda</v>
      </c>
      <c r="E265" s="16" t="s">
        <v>1247</v>
      </c>
      <c r="G265" s="582" t="s">
        <v>1243</v>
      </c>
      <c r="H265" s="582" t="s">
        <v>1244</v>
      </c>
    </row>
    <row r="266" spans="4:8" x14ac:dyDescent="0.2">
      <c r="D266" s="16" t="str">
        <f t="shared" si="9"/>
        <v>·Selecciona para cada ronda el la selección o selecciones que crees que van a llegar hasta esa ronda.</v>
      </c>
      <c r="E266" s="16" t="s">
        <v>1247</v>
      </c>
      <c r="G266" s="16" t="s">
        <v>1252</v>
      </c>
      <c r="H266" s="582" t="s">
        <v>1258</v>
      </c>
    </row>
    <row r="267" spans="4:8" x14ac:dyDescent="0.2">
      <c r="D267" s="16" t="str">
        <f t="shared" si="9"/>
        <v>·Una vez elijas una selección, dejará de aparecer en la lista</v>
      </c>
      <c r="E267" s="16" t="s">
        <v>1247</v>
      </c>
      <c r="G267" s="16" t="s">
        <v>1259</v>
      </c>
      <c r="H267" s="582" t="s">
        <v>1257</v>
      </c>
    </row>
    <row r="268" spans="4:8" x14ac:dyDescent="0.2">
      <c r="D268" s="16" t="str">
        <f t="shared" si="9"/>
        <v xml:space="preserve">·Si has rellenado todos y quieres hacer un cambio, </v>
      </c>
      <c r="E268" s="16" t="s">
        <v>1247</v>
      </c>
      <c r="G268" s="16" t="s">
        <v>1245</v>
      </c>
      <c r="H268" s="582" t="s">
        <v>1246</v>
      </c>
    </row>
    <row r="269" spans="4:8" x14ac:dyDescent="0.2">
      <c r="D269" s="16" t="str">
        <f t="shared" si="9"/>
        <v xml:space="preserve"> borra las selecciones que quieras cambiar y podrás volver a elegirlas</v>
      </c>
      <c r="E269" s="16" t="s">
        <v>1247</v>
      </c>
      <c r="G269" s="16" t="s">
        <v>1253</v>
      </c>
      <c r="H269" s="582" t="s">
        <v>1256</v>
      </c>
    </row>
    <row r="270" spans="4:8" x14ac:dyDescent="0.2">
      <c r="D270" s="16" t="str">
        <f t="shared" si="9"/>
        <v>Rellenar antes del comienzo del Mundial</v>
      </c>
      <c r="E270" s="16" t="s">
        <v>1247</v>
      </c>
      <c r="G270" s="16" t="s">
        <v>1254</v>
      </c>
      <c r="H270" s="582" t="s">
        <v>1255</v>
      </c>
    </row>
    <row r="271" spans="4:8" x14ac:dyDescent="0.2">
      <c r="D271" s="16" t="str">
        <f t="shared" ref="D271" si="10">IF($B$2,G271,H271)</f>
        <v>·Si en tu grupo no vais a usar el predictor, puedes dejarlo sin rellenar</v>
      </c>
      <c r="E271" s="16" t="s">
        <v>1247</v>
      </c>
      <c r="G271" s="16" t="s">
        <v>1369</v>
      </c>
      <c r="H271" s="16" t="s">
        <v>1370</v>
      </c>
    </row>
    <row r="273" spans="4:8" x14ac:dyDescent="0.2">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x14ac:dyDescent="0.2">
      <c r="D922" s="16" t="s">
        <v>1331</v>
      </c>
    </row>
    <row r="923" spans="4:4" x14ac:dyDescent="0.2">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ol min="14" max="14" width="9.5" style="16" bestFit="1" customWidth="1"/>
    <col min="15" max="15" width="6.5" style="16" bestFit="1" customWidth="1"/>
    <col min="16" max="16384" width="10.83203125" style="16"/>
  </cols>
  <sheetData>
    <row r="1" spans="1:23" x14ac:dyDescent="0.2">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x14ac:dyDescent="0.2">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x14ac:dyDescent="0.2">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x14ac:dyDescent="0.2">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x14ac:dyDescent="0.2">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x14ac:dyDescent="0.2">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x14ac:dyDescent="0.2">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x14ac:dyDescent="0.2">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x14ac:dyDescent="0.2">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x14ac:dyDescent="0.2">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x14ac:dyDescent="0.2">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x14ac:dyDescent="0.2">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x14ac:dyDescent="0.2">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x14ac:dyDescent="0.2">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x14ac:dyDescent="0.2">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x14ac:dyDescent="0.2">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x14ac:dyDescent="0.2">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x14ac:dyDescent="0.2">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x14ac:dyDescent="0.2">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x14ac:dyDescent="0.2">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x14ac:dyDescent="0.2">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x14ac:dyDescent="0.2">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x14ac:dyDescent="0.2">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x14ac:dyDescent="0.2">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x14ac:dyDescent="0.2">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x14ac:dyDescent="0.2">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x14ac:dyDescent="0.2">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x14ac:dyDescent="0.2">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x14ac:dyDescent="0.2">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x14ac:dyDescent="0.2">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x14ac:dyDescent="0.2">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x14ac:dyDescent="0.2">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x14ac:dyDescent="0.2">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x14ac:dyDescent="0.2">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x14ac:dyDescent="0.2">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x14ac:dyDescent="0.2">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x14ac:dyDescent="0.2">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x14ac:dyDescent="0.2">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x14ac:dyDescent="0.2">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x14ac:dyDescent="0.2">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x14ac:dyDescent="0.2">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x14ac:dyDescent="0.2">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x14ac:dyDescent="0.2">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x14ac:dyDescent="0.2">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x14ac:dyDescent="0.2">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x14ac:dyDescent="0.2">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x14ac:dyDescent="0.2">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x14ac:dyDescent="0.2">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x14ac:dyDescent="0.2">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x14ac:dyDescent="0.2">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x14ac:dyDescent="0.2">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x14ac:dyDescent="0.2">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x14ac:dyDescent="0.2">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x14ac:dyDescent="0.2">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x14ac:dyDescent="0.2">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x14ac:dyDescent="0.2">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x14ac:dyDescent="0.2">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x14ac:dyDescent="0.2">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x14ac:dyDescent="0.2">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x14ac:dyDescent="0.2">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x14ac:dyDescent="0.2">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x14ac:dyDescent="0.2">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x14ac:dyDescent="0.2">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x14ac:dyDescent="0.2">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x14ac:dyDescent="0.2">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x14ac:dyDescent="0.2">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x14ac:dyDescent="0.2">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x14ac:dyDescent="0.2">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x14ac:dyDescent="0.2">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x14ac:dyDescent="0.2">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x14ac:dyDescent="0.2">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x14ac:dyDescent="0.2">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x14ac:dyDescent="0.2">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x14ac:dyDescent="0.2">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x14ac:dyDescent="0.2">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x14ac:dyDescent="0.2">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x14ac:dyDescent="0.2">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x14ac:dyDescent="0.2">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x14ac:dyDescent="0.2">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x14ac:dyDescent="0.2">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x14ac:dyDescent="0.2">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x14ac:dyDescent="0.2">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x14ac:dyDescent="0.2">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x14ac:dyDescent="0.2">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x14ac:dyDescent="0.2">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x14ac:dyDescent="0.2">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x14ac:dyDescent="0.2">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x14ac:dyDescent="0.2">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x14ac:dyDescent="0.2">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x14ac:dyDescent="0.2">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x14ac:dyDescent="0.2">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x14ac:dyDescent="0.2">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x14ac:dyDescent="0.2">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x14ac:dyDescent="0.2">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x14ac:dyDescent="0.2">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x14ac:dyDescent="0.2">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x14ac:dyDescent="0.2">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x14ac:dyDescent="0.2">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x14ac:dyDescent="0.2">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x14ac:dyDescent="0.2">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x14ac:dyDescent="0.2">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x14ac:dyDescent="0.2">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x14ac:dyDescent="0.2">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x14ac:dyDescent="0.2">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x14ac:dyDescent="0.2">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x14ac:dyDescent="0.2">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x14ac:dyDescent="0.2">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x14ac:dyDescent="0.2">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x14ac:dyDescent="0.2">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x14ac:dyDescent="0.2">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x14ac:dyDescent="0.2">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x14ac:dyDescent="0.2">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x14ac:dyDescent="0.2">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x14ac:dyDescent="0.2">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x14ac:dyDescent="0.2">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x14ac:dyDescent="0.2">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x14ac:dyDescent="0.2">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x14ac:dyDescent="0.2">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x14ac:dyDescent="0.2">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x14ac:dyDescent="0.2">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x14ac:dyDescent="0.2">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x14ac:dyDescent="0.2">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x14ac:dyDescent="0.2">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x14ac:dyDescent="0.2">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x14ac:dyDescent="0.2">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x14ac:dyDescent="0.2">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x14ac:dyDescent="0.2">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x14ac:dyDescent="0.2">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x14ac:dyDescent="0.2">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x14ac:dyDescent="0.2">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x14ac:dyDescent="0.2">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x14ac:dyDescent="0.2">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x14ac:dyDescent="0.2">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x14ac:dyDescent="0.2">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x14ac:dyDescent="0.2">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x14ac:dyDescent="0.2">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x14ac:dyDescent="0.2">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x14ac:dyDescent="0.2">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x14ac:dyDescent="0.2">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x14ac:dyDescent="0.2">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x14ac:dyDescent="0.2">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x14ac:dyDescent="0.2">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x14ac:dyDescent="0.2">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x14ac:dyDescent="0.2">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x14ac:dyDescent="0.2">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x14ac:dyDescent="0.2">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x14ac:dyDescent="0.2">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x14ac:dyDescent="0.2">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x14ac:dyDescent="0.2">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x14ac:dyDescent="0.2">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x14ac:dyDescent="0.2">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x14ac:dyDescent="0.2">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x14ac:dyDescent="0.2">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x14ac:dyDescent="0.2">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x14ac:dyDescent="0.2">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x14ac:dyDescent="0.2">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x14ac:dyDescent="0.2">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x14ac:dyDescent="0.2">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x14ac:dyDescent="0.2">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x14ac:dyDescent="0.2">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x14ac:dyDescent="0.2">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x14ac:dyDescent="0.2">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x14ac:dyDescent="0.2">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x14ac:dyDescent="0.2">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x14ac:dyDescent="0.2">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x14ac:dyDescent="0.2">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x14ac:dyDescent="0.2">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x14ac:dyDescent="0.2">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x14ac:dyDescent="0.2">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x14ac:dyDescent="0.2">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x14ac:dyDescent="0.2">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x14ac:dyDescent="0.2">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x14ac:dyDescent="0.2">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x14ac:dyDescent="0.2">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x14ac:dyDescent="0.2">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x14ac:dyDescent="0.2">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x14ac:dyDescent="0.2">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x14ac:dyDescent="0.2">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x14ac:dyDescent="0.2">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x14ac:dyDescent="0.2">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x14ac:dyDescent="0.2">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x14ac:dyDescent="0.2">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x14ac:dyDescent="0.2">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x14ac:dyDescent="0.2">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x14ac:dyDescent="0.2">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x14ac:dyDescent="0.2">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x14ac:dyDescent="0.2">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x14ac:dyDescent="0.2">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x14ac:dyDescent="0.2">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x14ac:dyDescent="0.2">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x14ac:dyDescent="0.2">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x14ac:dyDescent="0.2">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x14ac:dyDescent="0.2">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x14ac:dyDescent="0.2">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x14ac:dyDescent="0.2">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x14ac:dyDescent="0.2">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x14ac:dyDescent="0.2">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x14ac:dyDescent="0.2">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x14ac:dyDescent="0.2">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x14ac:dyDescent="0.2">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x14ac:dyDescent="0.2">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x14ac:dyDescent="0.2">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x14ac:dyDescent="0.2">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x14ac:dyDescent="0.2">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x14ac:dyDescent="0.2">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x14ac:dyDescent="0.2">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x14ac:dyDescent="0.2">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x14ac:dyDescent="0.2">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x14ac:dyDescent="0.2">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x14ac:dyDescent="0.2">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x14ac:dyDescent="0.2">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x14ac:dyDescent="0.2">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x14ac:dyDescent="0.2">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x14ac:dyDescent="0.2">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x14ac:dyDescent="0.2">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x14ac:dyDescent="0.2">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x14ac:dyDescent="0.2">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x14ac:dyDescent="0.2">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x14ac:dyDescent="0.2">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x14ac:dyDescent="0.2">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x14ac:dyDescent="0.2">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x14ac:dyDescent="0.2">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x14ac:dyDescent="0.2">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x14ac:dyDescent="0.2">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x14ac:dyDescent="0.2">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x14ac:dyDescent="0.2">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x14ac:dyDescent="0.2">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x14ac:dyDescent="0.2">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x14ac:dyDescent="0.2">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x14ac:dyDescent="0.2">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x14ac:dyDescent="0.2">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x14ac:dyDescent="0.2">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x14ac:dyDescent="0.2">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x14ac:dyDescent="0.2">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x14ac:dyDescent="0.2">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x14ac:dyDescent="0.2">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x14ac:dyDescent="0.2">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x14ac:dyDescent="0.2">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x14ac:dyDescent="0.2">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x14ac:dyDescent="0.2">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x14ac:dyDescent="0.2">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x14ac:dyDescent="0.2">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x14ac:dyDescent="0.2">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x14ac:dyDescent="0.2">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x14ac:dyDescent="0.2">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x14ac:dyDescent="0.2">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x14ac:dyDescent="0.2">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x14ac:dyDescent="0.2">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x14ac:dyDescent="0.2">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x14ac:dyDescent="0.2">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x14ac:dyDescent="0.2">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x14ac:dyDescent="0.2">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x14ac:dyDescent="0.2">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x14ac:dyDescent="0.2">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x14ac:dyDescent="0.2">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x14ac:dyDescent="0.2">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x14ac:dyDescent="0.2">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x14ac:dyDescent="0.2">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x14ac:dyDescent="0.2">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x14ac:dyDescent="0.2">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x14ac:dyDescent="0.2">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x14ac:dyDescent="0.2">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x14ac:dyDescent="0.2">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x14ac:dyDescent="0.2">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x14ac:dyDescent="0.2">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x14ac:dyDescent="0.2">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x14ac:dyDescent="0.2">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x14ac:dyDescent="0.2">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x14ac:dyDescent="0.2">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x14ac:dyDescent="0.2">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x14ac:dyDescent="0.2">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x14ac:dyDescent="0.2">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x14ac:dyDescent="0.2">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x14ac:dyDescent="0.2">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x14ac:dyDescent="0.2">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x14ac:dyDescent="0.2">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x14ac:dyDescent="0.2">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x14ac:dyDescent="0.2">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x14ac:dyDescent="0.2">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x14ac:dyDescent="0.2">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x14ac:dyDescent="0.2">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x14ac:dyDescent="0.2">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x14ac:dyDescent="0.2">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x14ac:dyDescent="0.2">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x14ac:dyDescent="0.2">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x14ac:dyDescent="0.2">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x14ac:dyDescent="0.2">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x14ac:dyDescent="0.2">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x14ac:dyDescent="0.2">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x14ac:dyDescent="0.2">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x14ac:dyDescent="0.2">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x14ac:dyDescent="0.2">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x14ac:dyDescent="0.2">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x14ac:dyDescent="0.2">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x14ac:dyDescent="0.2">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x14ac:dyDescent="0.2">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x14ac:dyDescent="0.2">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x14ac:dyDescent="0.2">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x14ac:dyDescent="0.2">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x14ac:dyDescent="0.2">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x14ac:dyDescent="0.2">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x14ac:dyDescent="0.2">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x14ac:dyDescent="0.2">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x14ac:dyDescent="0.2">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x14ac:dyDescent="0.2">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x14ac:dyDescent="0.2">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x14ac:dyDescent="0.2">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x14ac:dyDescent="0.2">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x14ac:dyDescent="0.2">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x14ac:dyDescent="0.2">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x14ac:dyDescent="0.2">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x14ac:dyDescent="0.2">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x14ac:dyDescent="0.2">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x14ac:dyDescent="0.2">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x14ac:dyDescent="0.2">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x14ac:dyDescent="0.2">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x14ac:dyDescent="0.2">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x14ac:dyDescent="0.2">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x14ac:dyDescent="0.2">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x14ac:dyDescent="0.2">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x14ac:dyDescent="0.2">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x14ac:dyDescent="0.2">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x14ac:dyDescent="0.2">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x14ac:dyDescent="0.2">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x14ac:dyDescent="0.2">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x14ac:dyDescent="0.2">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x14ac:dyDescent="0.2">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x14ac:dyDescent="0.2">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x14ac:dyDescent="0.2">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x14ac:dyDescent="0.2">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x14ac:dyDescent="0.2">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x14ac:dyDescent="0.2">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x14ac:dyDescent="0.2">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x14ac:dyDescent="0.2">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x14ac:dyDescent="0.2">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x14ac:dyDescent="0.2">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x14ac:dyDescent="0.2">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x14ac:dyDescent="0.2">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x14ac:dyDescent="0.2">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x14ac:dyDescent="0.2">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x14ac:dyDescent="0.2">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x14ac:dyDescent="0.2">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x14ac:dyDescent="0.2">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x14ac:dyDescent="0.2">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x14ac:dyDescent="0.2">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x14ac:dyDescent="0.2">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x14ac:dyDescent="0.2">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x14ac:dyDescent="0.2">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x14ac:dyDescent="0.2">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x14ac:dyDescent="0.2">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x14ac:dyDescent="0.2">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x14ac:dyDescent="0.2">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x14ac:dyDescent="0.2">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x14ac:dyDescent="0.2">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x14ac:dyDescent="0.2">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x14ac:dyDescent="0.2">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x14ac:dyDescent="0.2">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x14ac:dyDescent="0.2">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x14ac:dyDescent="0.2">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x14ac:dyDescent="0.2">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x14ac:dyDescent="0.2">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x14ac:dyDescent="0.2">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x14ac:dyDescent="0.2">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x14ac:dyDescent="0.2">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x14ac:dyDescent="0.2">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x14ac:dyDescent="0.2">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x14ac:dyDescent="0.2">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x14ac:dyDescent="0.2">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x14ac:dyDescent="0.2">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x14ac:dyDescent="0.2">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x14ac:dyDescent="0.2">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x14ac:dyDescent="0.2">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x14ac:dyDescent="0.2">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x14ac:dyDescent="0.2">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x14ac:dyDescent="0.2">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x14ac:dyDescent="0.2">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x14ac:dyDescent="0.2">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x14ac:dyDescent="0.2">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x14ac:dyDescent="0.2">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x14ac:dyDescent="0.2">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x14ac:dyDescent="0.2">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x14ac:dyDescent="0.2">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x14ac:dyDescent="0.2">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x14ac:dyDescent="0.2">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x14ac:dyDescent="0.2">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x14ac:dyDescent="0.2">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x14ac:dyDescent="0.2">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x14ac:dyDescent="0.2">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x14ac:dyDescent="0.2">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x14ac:dyDescent="0.2">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x14ac:dyDescent="0.2">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x14ac:dyDescent="0.2">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x14ac:dyDescent="0.2">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x14ac:dyDescent="0.2">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x14ac:dyDescent="0.2">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x14ac:dyDescent="0.2">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x14ac:dyDescent="0.2">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x14ac:dyDescent="0.2">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x14ac:dyDescent="0.2">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x14ac:dyDescent="0.2">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x14ac:dyDescent="0.2">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x14ac:dyDescent="0.2">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x14ac:dyDescent="0.2">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x14ac:dyDescent="0.2">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x14ac:dyDescent="0.2">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x14ac:dyDescent="0.2">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x14ac:dyDescent="0.2">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x14ac:dyDescent="0.2">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x14ac:dyDescent="0.2">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x14ac:dyDescent="0.2">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x14ac:dyDescent="0.2">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x14ac:dyDescent="0.2">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x14ac:dyDescent="0.2">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x14ac:dyDescent="0.2">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x14ac:dyDescent="0.2">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x14ac:dyDescent="0.2">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x14ac:dyDescent="0.2">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x14ac:dyDescent="0.2">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x14ac:dyDescent="0.2">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x14ac:dyDescent="0.2">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x14ac:dyDescent="0.2">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x14ac:dyDescent="0.2">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x14ac:dyDescent="0.2">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x14ac:dyDescent="0.2">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x14ac:dyDescent="0.2">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x14ac:dyDescent="0.2">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x14ac:dyDescent="0.2">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x14ac:dyDescent="0.2">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x14ac:dyDescent="0.2">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x14ac:dyDescent="0.2">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x14ac:dyDescent="0.2">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x14ac:dyDescent="0.2">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x14ac:dyDescent="0.2">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x14ac:dyDescent="0.2">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x14ac:dyDescent="0.2">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x14ac:dyDescent="0.2">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x14ac:dyDescent="0.2">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x14ac:dyDescent="0.2">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x14ac:dyDescent="0.2">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x14ac:dyDescent="0.2">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x14ac:dyDescent="0.2">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x14ac:dyDescent="0.2">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x14ac:dyDescent="0.2">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x14ac:dyDescent="0.2">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x14ac:dyDescent="0.2">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x14ac:dyDescent="0.2">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x14ac:dyDescent="0.2">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x14ac:dyDescent="0.2">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x14ac:dyDescent="0.2">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x14ac:dyDescent="0.2">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x14ac:dyDescent="0.2">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x14ac:dyDescent="0.2">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x14ac:dyDescent="0.2">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x14ac:dyDescent="0.2">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x14ac:dyDescent="0.2">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x14ac:dyDescent="0.2">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x14ac:dyDescent="0.2">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x14ac:dyDescent="0.2">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x14ac:dyDescent="0.2">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x14ac:dyDescent="0.2">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x14ac:dyDescent="0.2">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ol min="6" max="6" width="0.5" style="5" customWidth="1"/>
    <col min="7" max="9" width="10.83203125" style="5"/>
    <col min="10" max="10" width="10.83203125" style="5" customWidth="1"/>
    <col min="11" max="11" width="4" style="5" customWidth="1"/>
    <col min="12" max="12" width="19.1640625" style="5" customWidth="1"/>
    <col min="13" max="13" width="10.83203125" style="5"/>
    <col min="14" max="17" width="15.83203125" style="5" customWidth="1"/>
    <col min="18" max="18" width="22.83203125" style="5" customWidth="1"/>
    <col min="20" max="20" width="10.83203125" style="16"/>
    <col min="21" max="22" width="10.83203125" style="582"/>
    <col min="23" max="24" width="10.83203125" style="582" hidden="1" customWidth="1"/>
    <col min="25" max="25" width="10.83203125" style="582"/>
    <col min="26" max="28" width="10.83203125" style="407"/>
    <col min="29" max="149" width="10.83203125" style="5"/>
    <col min="150" max="158" width="10.83203125" style="407"/>
    <col min="159" max="16384" width="10.83203125" style="5"/>
  </cols>
  <sheetData>
    <row r="1" spans="1:18" x14ac:dyDescent="0.2">
      <c r="A1" s="226"/>
      <c r="B1" s="226"/>
      <c r="C1" s="226"/>
      <c r="D1" s="226"/>
      <c r="E1" s="228"/>
      <c r="F1" s="228"/>
      <c r="G1" s="228"/>
      <c r="H1" s="228"/>
      <c r="I1" s="228"/>
      <c r="J1" s="228"/>
      <c r="K1" s="227"/>
      <c r="L1" s="227"/>
      <c r="M1" s="227"/>
      <c r="N1" s="227"/>
      <c r="O1" s="227"/>
      <c r="P1" s="227"/>
      <c r="Q1" s="227"/>
    </row>
    <row r="2" spans="1:18" x14ac:dyDescent="0.2">
      <c r="A2" s="226"/>
      <c r="B2" s="265" t="str">
        <f>Idiomas!D82</f>
        <v>Limitación de responsabilidad:</v>
      </c>
      <c r="C2" s="229"/>
      <c r="D2" s="229"/>
      <c r="E2" s="230"/>
      <c r="F2" s="230"/>
      <c r="G2" s="230"/>
      <c r="H2" s="230"/>
      <c r="I2" s="230"/>
      <c r="J2" s="230"/>
      <c r="K2" s="227"/>
      <c r="L2" s="265" t="s">
        <v>188</v>
      </c>
      <c r="M2" s="227"/>
      <c r="N2" s="227"/>
      <c r="O2" s="227"/>
      <c r="P2" s="227"/>
      <c r="Q2" s="227"/>
    </row>
    <row r="3" spans="1:18" x14ac:dyDescent="0.2">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x14ac:dyDescent="0.2">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x14ac:dyDescent="0.2">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x14ac:dyDescent="0.2">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x14ac:dyDescent="0.2">
      <c r="A7" s="226"/>
      <c r="B7" s="715"/>
      <c r="C7" s="716"/>
      <c r="D7" s="716"/>
      <c r="E7" s="716"/>
      <c r="F7" s="716"/>
      <c r="G7" s="716"/>
      <c r="H7" s="716"/>
      <c r="I7" s="716"/>
      <c r="J7" s="717"/>
      <c r="K7" s="227"/>
      <c r="L7" s="342"/>
      <c r="M7" s="343"/>
      <c r="N7" s="343"/>
      <c r="O7" s="343"/>
      <c r="P7" s="343"/>
      <c r="Q7" s="343"/>
      <c r="R7" s="344"/>
    </row>
    <row r="8" spans="1:18" x14ac:dyDescent="0.2">
      <c r="A8" s="226"/>
      <c r="B8" s="715"/>
      <c r="C8" s="716"/>
      <c r="D8" s="716"/>
      <c r="E8" s="716"/>
      <c r="F8" s="716"/>
      <c r="G8" s="716"/>
      <c r="H8" s="716"/>
      <c r="I8" s="716"/>
      <c r="J8" s="717"/>
      <c r="K8" s="227"/>
      <c r="L8"/>
      <c r="M8"/>
      <c r="N8"/>
      <c r="O8"/>
      <c r="P8"/>
      <c r="Q8"/>
      <c r="R8"/>
    </row>
    <row r="9" spans="1:18" x14ac:dyDescent="0.2">
      <c r="A9" s="226"/>
      <c r="B9" s="715"/>
      <c r="C9" s="716"/>
      <c r="D9" s="716"/>
      <c r="E9" s="716"/>
      <c r="F9" s="716"/>
      <c r="G9" s="716"/>
      <c r="H9" s="716"/>
      <c r="I9" s="716"/>
      <c r="J9" s="717"/>
      <c r="K9" s="227"/>
      <c r="L9" s="265" t="s">
        <v>490</v>
      </c>
      <c r="M9"/>
      <c r="N9"/>
      <c r="O9"/>
      <c r="P9"/>
      <c r="Q9"/>
      <c r="R9"/>
    </row>
    <row r="10" spans="1:18" x14ac:dyDescent="0.2">
      <c r="A10" s="226"/>
      <c r="B10" s="715"/>
      <c r="C10" s="716"/>
      <c r="D10" s="716"/>
      <c r="E10" s="716"/>
      <c r="F10" s="716"/>
      <c r="G10" s="716"/>
      <c r="H10" s="716"/>
      <c r="I10" s="716"/>
      <c r="J10" s="717"/>
      <c r="K10" s="227"/>
      <c r="L10" s="338"/>
      <c r="M10" s="339"/>
      <c r="N10" s="339"/>
      <c r="O10" s="339"/>
      <c r="P10" s="339"/>
      <c r="Q10" s="339"/>
      <c r="R10" s="340"/>
    </row>
    <row r="11" spans="1:18" x14ac:dyDescent="0.2">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x14ac:dyDescent="0.2">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x14ac:dyDescent="0.2">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x14ac:dyDescent="0.2">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x14ac:dyDescent="0.2">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x14ac:dyDescent="0.2">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x14ac:dyDescent="0.2">
      <c r="A17" s="226"/>
      <c r="B17" s="245"/>
      <c r="C17" s="246"/>
      <c r="D17" s="246"/>
      <c r="E17" s="246"/>
      <c r="F17" s="246"/>
      <c r="G17" s="246"/>
      <c r="H17" s="246"/>
      <c r="I17" s="246"/>
      <c r="J17" s="247"/>
      <c r="K17" s="227"/>
      <c r="L17"/>
      <c r="M17"/>
      <c r="N17"/>
      <c r="O17"/>
      <c r="P17"/>
      <c r="Q17"/>
      <c r="R17"/>
    </row>
    <row r="18" spans="1:158" x14ac:dyDescent="0.2">
      <c r="A18" s="226"/>
      <c r="B18" s="232"/>
      <c r="C18" s="232"/>
      <c r="D18" s="232"/>
      <c r="E18" s="233"/>
      <c r="F18" s="233"/>
      <c r="G18" s="226"/>
      <c r="H18" s="226"/>
      <c r="I18" s="226"/>
      <c r="J18" s="613"/>
      <c r="K18" s="227"/>
      <c r="L18" s="265" t="s">
        <v>443</v>
      </c>
      <c r="M18"/>
      <c r="N18"/>
      <c r="O18"/>
      <c r="P18"/>
      <c r="Q18"/>
      <c r="R18"/>
    </row>
    <row r="19" spans="1:158" ht="20" customHeight="1" x14ac:dyDescent="0.2">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x14ac:dyDescent="0.2">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x14ac:dyDescent="0.2">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x14ac:dyDescent="0.2">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x14ac:dyDescent="0.2">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x14ac:dyDescent="0.2">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x14ac:dyDescent="0.2">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x14ac:dyDescent="0.2">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x14ac:dyDescent="0.2">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x14ac:dyDescent="0.2">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x14ac:dyDescent="0.2">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x14ac:dyDescent="0.2">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x14ac:dyDescent="0.2">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x14ac:dyDescent="0.2">
      <c r="A32" s="227"/>
      <c r="B32" s="254"/>
      <c r="C32" s="255"/>
      <c r="D32" s="255"/>
      <c r="E32" s="255"/>
      <c r="F32" s="255"/>
      <c r="G32" s="255"/>
      <c r="H32" s="255"/>
      <c r="I32" s="255"/>
      <c r="J32" s="256"/>
      <c r="K32" s="227"/>
      <c r="L32" s="262"/>
      <c r="M32" s="262"/>
      <c r="N32" s="262"/>
      <c r="O32" s="262"/>
      <c r="P32" s="262"/>
      <c r="Q32" s="262"/>
      <c r="R32" s="262"/>
    </row>
    <row r="33" spans="1:17" ht="16" thickBot="1" x14ac:dyDescent="0.25">
      <c r="A33" s="227"/>
      <c r="K33" s="227"/>
    </row>
    <row r="34" spans="1:17" ht="28" customHeight="1" thickBot="1" x14ac:dyDescent="0.25">
      <c r="A34" s="227"/>
      <c r="B34" s="721" t="str">
        <f>HYPERLINK(Idiomas!D10,Idiomas!D9)</f>
        <v>▼ Descargar Excel Administrador Porra ▼</v>
      </c>
      <c r="C34" s="722"/>
      <c r="D34" s="722"/>
      <c r="E34" s="722"/>
      <c r="F34" s="722"/>
      <c r="G34" s="722"/>
      <c r="H34" s="722"/>
      <c r="I34" s="722"/>
      <c r="J34" s="723"/>
      <c r="K34" s="227"/>
      <c r="L34" s="288" t="s">
        <v>1350</v>
      </c>
    </row>
    <row r="35" spans="1:17" x14ac:dyDescent="0.2">
      <c r="A35" s="227"/>
      <c r="C35" s="227"/>
      <c r="D35" s="227"/>
      <c r="E35" s="227"/>
      <c r="F35" s="227"/>
      <c r="G35" s="227"/>
      <c r="H35" s="227"/>
      <c r="I35" s="227"/>
      <c r="J35" s="227"/>
      <c r="K35" s="227"/>
      <c r="L35" s="227"/>
      <c r="M35" s="226"/>
      <c r="N35" s="227"/>
      <c r="O35" s="227"/>
      <c r="P35" s="227"/>
      <c r="Q35" s="227"/>
    </row>
    <row r="36" spans="1:17" ht="28" customHeight="1" x14ac:dyDescent="0.2">
      <c r="A36" s="227"/>
      <c r="D36" s="227"/>
      <c r="E36" s="227"/>
      <c r="F36" s="227"/>
      <c r="G36" s="227"/>
      <c r="H36" s="227"/>
      <c r="I36" s="227"/>
      <c r="J36" s="227"/>
      <c r="K36" s="227"/>
      <c r="L36" s="227"/>
      <c r="M36" s="226"/>
      <c r="N36" s="227"/>
      <c r="O36" s="227"/>
      <c r="P36" s="227"/>
      <c r="Q36" s="227"/>
    </row>
    <row r="37" spans="1:17" ht="15" customHeight="1" x14ac:dyDescent="0.2">
      <c r="A37" s="227"/>
      <c r="K37" s="227"/>
      <c r="L37" s="227"/>
      <c r="M37" s="226"/>
      <c r="N37" s="227"/>
      <c r="O37" s="227"/>
      <c r="P37" s="227"/>
      <c r="Q37" s="227"/>
    </row>
    <row r="38" spans="1:17" ht="34" customHeight="1" x14ac:dyDescent="0.2">
      <c r="A38" s="227"/>
      <c r="B38" s="227"/>
      <c r="D38" s="227"/>
      <c r="E38" s="227"/>
      <c r="F38" s="227"/>
      <c r="G38" s="227"/>
      <c r="H38" s="227"/>
      <c r="I38" s="227"/>
      <c r="J38" s="227"/>
      <c r="K38" s="227"/>
      <c r="M38" s="227"/>
      <c r="N38" s="227"/>
      <c r="O38" s="227"/>
      <c r="P38" s="227"/>
      <c r="Q38" s="227"/>
    </row>
    <row r="39" spans="1:17" x14ac:dyDescent="0.2">
      <c r="A39" s="227"/>
      <c r="B39" s="227"/>
      <c r="C39" s="227"/>
      <c r="D39" s="227"/>
      <c r="E39" s="227"/>
      <c r="F39" s="227"/>
      <c r="G39" s="227"/>
      <c r="H39" s="227"/>
      <c r="I39" s="227"/>
      <c r="J39" s="227"/>
      <c r="K39" s="227"/>
      <c r="L39" s="227"/>
      <c r="M39" s="227"/>
      <c r="N39" s="227"/>
      <c r="O39" s="227"/>
      <c r="P39" s="227"/>
      <c r="Q39" s="227"/>
    </row>
    <row r="40" spans="1:17" x14ac:dyDescent="0.2">
      <c r="A40" s="227"/>
      <c r="B40" s="227"/>
      <c r="C40" s="227"/>
      <c r="D40" s="227"/>
      <c r="E40" s="227"/>
      <c r="F40" s="227"/>
      <c r="G40" s="227"/>
      <c r="H40" s="227"/>
      <c r="I40" s="227"/>
      <c r="J40" s="227"/>
      <c r="K40" s="227"/>
      <c r="L40" s="227"/>
      <c r="M40" s="227"/>
      <c r="N40" s="227"/>
      <c r="O40" s="227"/>
      <c r="P40" s="227"/>
      <c r="Q40" s="227"/>
    </row>
    <row r="41" spans="1:17" x14ac:dyDescent="0.2">
      <c r="A41" s="227"/>
      <c r="B41" s="227"/>
      <c r="C41" s="227"/>
      <c r="D41" s="227"/>
      <c r="E41" s="227"/>
      <c r="F41" s="227"/>
      <c r="G41" s="227"/>
      <c r="H41" s="227"/>
      <c r="I41" s="227"/>
      <c r="J41" s="227"/>
      <c r="K41" s="227"/>
      <c r="L41" s="227"/>
      <c r="M41" s="227"/>
      <c r="N41" s="227"/>
      <c r="O41" s="227"/>
      <c r="P41" s="227"/>
      <c r="Q41" s="227"/>
    </row>
    <row r="45" spans="1:17" x14ac:dyDescent="0.2">
      <c r="B45" s="227"/>
    </row>
    <row r="83" spans="12:28" x14ac:dyDescent="0.2">
      <c r="L83" s="3"/>
      <c r="M83" s="3"/>
      <c r="N83" s="3"/>
      <c r="O83" s="583"/>
      <c r="P83" s="6"/>
      <c r="Q83" s="6"/>
      <c r="R83" s="6"/>
      <c r="U83" s="9"/>
      <c r="V83" s="9"/>
      <c r="W83" s="9"/>
      <c r="X83" s="9"/>
      <c r="Y83" s="9"/>
      <c r="Z83" s="6"/>
      <c r="AA83" s="6"/>
      <c r="AB83" s="6"/>
    </row>
    <row r="84" spans="12:28" ht="60" customHeight="1" x14ac:dyDescent="0.2">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x14ac:dyDescent="0.2">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2">
        <v>#VALUE!</v>
      </c>
      <c r="Y87" s="9">
        <v>3.5</v>
      </c>
      <c r="Z87" s="6"/>
      <c r="AA87" s="6"/>
      <c r="AB87" s="6"/>
    </row>
    <row r="88" spans="12:28" x14ac:dyDescent="0.2">
      <c r="L88" s="3"/>
      <c r="M88" s="3"/>
      <c r="N88" s="3"/>
      <c r="O88" s="6"/>
      <c r="P88" s="6"/>
      <c r="Q88" s="6"/>
      <c r="R88" s="6"/>
      <c r="T88" s="16" t="s">
        <v>1478</v>
      </c>
      <c r="U88" s="9" t="s">
        <v>1463</v>
      </c>
      <c r="V88" s="9" t="s">
        <v>1464</v>
      </c>
      <c r="W88" s="9" t="s">
        <v>1465</v>
      </c>
      <c r="X88" s="584" t="e" vm="3">
        <v>#VALUE!</v>
      </c>
      <c r="Y88" s="9">
        <v>4</v>
      </c>
      <c r="Z88" s="6"/>
      <c r="AA88" s="6"/>
      <c r="AB88" s="6"/>
    </row>
    <row r="89" spans="12:28" ht="16" x14ac:dyDescent="0.2">
      <c r="L89" s="3"/>
      <c r="M89" s="3"/>
      <c r="N89" s="3"/>
      <c r="O89" s="6"/>
      <c r="P89" s="6"/>
      <c r="Q89" s="6"/>
      <c r="R89" s="6"/>
      <c r="T89" s="16" t="s">
        <v>1479</v>
      </c>
      <c r="U89" s="9" t="s">
        <v>1466</v>
      </c>
      <c r="V89" s="9" t="s">
        <v>1466</v>
      </c>
      <c r="W89" s="585" t="s">
        <v>1468</v>
      </c>
      <c r="X89" s="584" t="e" vm="4">
        <v>#VALUE!</v>
      </c>
      <c r="Y89" s="9">
        <v>-4</v>
      </c>
      <c r="Z89" s="6"/>
      <c r="AA89" s="6"/>
      <c r="AB89" s="6"/>
    </row>
    <row r="90" spans="12:28" ht="16" x14ac:dyDescent="0.2">
      <c r="L90" s="3"/>
      <c r="M90" s="3"/>
      <c r="N90" s="3"/>
      <c r="O90" s="6"/>
      <c r="P90" s="6"/>
      <c r="Q90" s="6"/>
      <c r="R90" s="6"/>
      <c r="T90" s="16" t="s">
        <v>1480</v>
      </c>
      <c r="U90" s="9" t="s">
        <v>1467</v>
      </c>
      <c r="V90" s="9" t="s">
        <v>1470</v>
      </c>
      <c r="W90" s="586" t="s">
        <v>1469</v>
      </c>
      <c r="X90" s="584" t="e" vm="5">
        <v>#VALUE!</v>
      </c>
      <c r="Y90" s="9">
        <v>-3</v>
      </c>
      <c r="Z90" s="6"/>
      <c r="AA90" s="6"/>
      <c r="AB90" s="6"/>
    </row>
    <row r="91" spans="12:28" x14ac:dyDescent="0.2">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409" t="s">
        <v>1458</v>
      </c>
      <c r="O92" s="409" t="s">
        <v>1459</v>
      </c>
      <c r="P92" s="409" t="s">
        <v>1493</v>
      </c>
      <c r="Q92" s="409" t="s">
        <v>1481</v>
      </c>
      <c r="R92" s="409" t="s">
        <v>1473</v>
      </c>
      <c r="Z92" s="6"/>
      <c r="AA92" s="6"/>
      <c r="AB92" s="6"/>
    </row>
    <row r="93" spans="12:28" ht="25" customHeight="1" x14ac:dyDescent="0.2">
      <c r="L93" s="3"/>
      <c r="M93" s="9" t="s">
        <v>1475</v>
      </c>
      <c r="N93" s="587" t="s">
        <v>1513</v>
      </c>
      <c r="O93" s="587" t="s">
        <v>1482</v>
      </c>
      <c r="P93" s="587"/>
      <c r="Q93" s="587"/>
      <c r="R93" s="587"/>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1451</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ol min="9" max="9" width="13" style="6" customWidth="1"/>
    <col min="10" max="10" width="12" style="6" customWidth="1"/>
    <col min="11" max="11" width="20.5" style="6"/>
    <col min="12" max="13" width="0" style="6" hidden="1" customWidth="1"/>
    <col min="14" max="14" width="4.5" style="616" customWidth="1"/>
    <col min="15" max="16384" width="20.5" style="617"/>
  </cols>
  <sheetData>
    <row r="1" spans="1:18 8826:8826" ht="15" customHeight="1" x14ac:dyDescent="0.2">
      <c r="A1" s="409" t="s">
        <v>379</v>
      </c>
      <c r="B1" s="409" t="s">
        <v>32</v>
      </c>
      <c r="C1" s="409" t="s">
        <v>73</v>
      </c>
      <c r="D1" s="409" t="s">
        <v>11</v>
      </c>
      <c r="E1" s="9"/>
      <c r="F1" s="9" t="s">
        <v>35</v>
      </c>
      <c r="G1" s="9"/>
      <c r="H1" s="409"/>
      <c r="I1" s="409"/>
      <c r="J1" s="9"/>
      <c r="K1" s="9" t="s">
        <v>70</v>
      </c>
      <c r="L1" s="9" t="s">
        <v>1358</v>
      </c>
      <c r="M1" s="9"/>
    </row>
    <row r="2" spans="1:18 8826:8826" ht="15" customHeight="1" x14ac:dyDescent="0.2">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617" t="s">
        <v>15</v>
      </c>
    </row>
    <row r="3" spans="1:18 8826:8826" ht="15" customHeight="1" x14ac:dyDescent="0.2">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7">
        <v>#VALUE!</v>
      </c>
    </row>
    <row r="4" spans="1:18 8826:8826" ht="15" customHeight="1" x14ac:dyDescent="0.2">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8">
        <v>#VALUE!</v>
      </c>
    </row>
    <row r="5" spans="1:18 8826:8826" ht="15" customHeight="1" x14ac:dyDescent="0.2">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9">
        <v>#VALUE!</v>
      </c>
    </row>
    <row r="6" spans="1:18 8826:8826" ht="15" customHeight="1" x14ac:dyDescent="0.2">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0">
        <v>#VALUE!</v>
      </c>
    </row>
    <row r="7" spans="1:18 8826:8826" ht="15" customHeight="1" x14ac:dyDescent="0.2">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1">
        <v>#VALUE!</v>
      </c>
    </row>
    <row r="8" spans="1:18 8826:8826" ht="15" customHeight="1" x14ac:dyDescent="0.2">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x14ac:dyDescent="0.2">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3">
        <v>#VALUE!</v>
      </c>
    </row>
    <row r="10" spans="1:18 8826:8826" ht="15" customHeight="1" x14ac:dyDescent="0.2">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4">
        <v>#VALUE!</v>
      </c>
    </row>
    <row r="11" spans="1:18 8826:8826" ht="15" customHeight="1" x14ac:dyDescent="0.2">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5">
        <v>#VALUE!</v>
      </c>
    </row>
    <row r="12" spans="1:18 8826:8826" ht="15" customHeight="1" x14ac:dyDescent="0.2">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6">
        <v>#VALUE!</v>
      </c>
    </row>
    <row r="13" spans="1:18 8826:8826" ht="15" customHeight="1" x14ac:dyDescent="0.2">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7">
        <v>#VALUE!</v>
      </c>
    </row>
    <row r="14" spans="1:18 8826:8826" ht="15" customHeight="1" x14ac:dyDescent="0.2">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8">
        <v>#VALUE!</v>
      </c>
    </row>
    <row r="15" spans="1:18 8826:8826" ht="15" customHeight="1" x14ac:dyDescent="0.2">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9">
        <v>#VALUE!</v>
      </c>
      <c r="P15" s="619"/>
      <c r="Q15" s="619"/>
      <c r="R15" s="619"/>
    </row>
    <row r="16" spans="1:18 8826:8826" ht="15" customHeight="1" x14ac:dyDescent="0.2">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x14ac:dyDescent="0.2">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1">
        <v>#VALUE!</v>
      </c>
    </row>
    <row r="18" spans="1:331 8826:8826" ht="15" customHeight="1" x14ac:dyDescent="0.2">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2">
        <v>#VALUE!</v>
      </c>
    </row>
    <row r="19" spans="1:331 8826:8826" ht="15" customHeight="1" x14ac:dyDescent="0.2">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3">
        <v>#VALUE!</v>
      </c>
    </row>
    <row r="20" spans="1:331 8826:8826" ht="15" customHeight="1" x14ac:dyDescent="0.2">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x14ac:dyDescent="0.2">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x14ac:dyDescent="0.2">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6">
        <v>#VALUE!</v>
      </c>
    </row>
    <row r="23" spans="1:331 8826:8826" ht="15" customHeight="1" x14ac:dyDescent="0.2">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x14ac:dyDescent="0.2">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8">
        <v>#VALUE!</v>
      </c>
    </row>
    <row r="25" spans="1:331 8826:8826" ht="15" customHeight="1" x14ac:dyDescent="0.2">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9">
        <v>#VALUE!</v>
      </c>
    </row>
    <row r="26" spans="1:331 8826:8826" ht="15" customHeight="1" x14ac:dyDescent="0.2">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x14ac:dyDescent="0.2">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1">
        <f>+INDEX(Credits!$X$87:$X$91,MATCH(Credits!$EZ$6144,Credits!$U$87:$U$91,0))</f>
        <v>#VALUE!</v>
      </c>
    </row>
    <row r="28" spans="1:331 8826:8826" ht="15" customHeight="1" x14ac:dyDescent="0.2">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2">
        <v>#VALUE!</v>
      </c>
      <c r="LS28" s="617" t="s">
        <v>15</v>
      </c>
      <c r="MAL28" s="617" t="s">
        <v>15</v>
      </c>
    </row>
    <row r="29" spans="1:331 8826:8826" ht="15" customHeight="1" x14ac:dyDescent="0.2">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3">
        <v>#VALUE!</v>
      </c>
    </row>
    <row r="30" spans="1:331 8826:8826" ht="15" customHeight="1" x14ac:dyDescent="0.2">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4">
        <v>#VALUE!</v>
      </c>
    </row>
    <row r="31" spans="1:331 8826:8826" ht="15" customHeight="1" x14ac:dyDescent="0.2">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5">
        <v>#VALUE!</v>
      </c>
    </row>
    <row r="32" spans="1:331 8826:8826" ht="15" customHeight="1" x14ac:dyDescent="0.2">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6">
        <v>#VALUE!</v>
      </c>
    </row>
    <row r="33" spans="1:13" ht="15" customHeight="1" x14ac:dyDescent="0.2">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7">
        <v>#VALUE!</v>
      </c>
    </row>
    <row r="34" spans="1:13" ht="15" customHeight="1" x14ac:dyDescent="0.2">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8">
        <v>#VALUE!</v>
      </c>
    </row>
    <row r="35" spans="1:13" ht="15" customHeight="1" x14ac:dyDescent="0.2">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9">
        <v>#VALUE!</v>
      </c>
    </row>
    <row r="36" spans="1:13" ht="15" customHeight="1" x14ac:dyDescent="0.2">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40">
        <v>#VALUE!</v>
      </c>
    </row>
    <row r="37" spans="1:13" ht="15" customHeight="1" x14ac:dyDescent="0.2">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1">
        <v>#VALUE!</v>
      </c>
    </row>
    <row r="38" spans="1:13" ht="15" customHeight="1" x14ac:dyDescent="0.2">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2">
        <v>#VALUE!</v>
      </c>
    </row>
    <row r="39" spans="1:13" ht="15" customHeight="1" x14ac:dyDescent="0.2">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3">
        <v>#VALUE!</v>
      </c>
    </row>
    <row r="40" spans="1:13" ht="15" customHeight="1" x14ac:dyDescent="0.2">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4">
        <v>#VALUE!</v>
      </c>
    </row>
    <row r="41" spans="1:13" ht="15" customHeight="1" x14ac:dyDescent="0.2">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5">
        <v>#VALUE!</v>
      </c>
    </row>
    <row r="42" spans="1:13" ht="15" customHeight="1" x14ac:dyDescent="0.2">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6">
        <v>#VALUE!</v>
      </c>
    </row>
    <row r="43" spans="1:13" ht="15" customHeight="1" x14ac:dyDescent="0.2">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7">
        <v>#VALUE!</v>
      </c>
    </row>
    <row r="44" spans="1:13" ht="15" customHeight="1" x14ac:dyDescent="0.2">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8">
        <v>#VALUE!</v>
      </c>
    </row>
    <row r="45" spans="1:13" ht="15" customHeight="1" x14ac:dyDescent="0.2">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9">
        <v>#VALUE!</v>
      </c>
    </row>
    <row r="46" spans="1:13" ht="15" customHeight="1" x14ac:dyDescent="0.2">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50">
        <v>#VALUE!</v>
      </c>
    </row>
    <row r="47" spans="1:13" ht="15" customHeight="1" x14ac:dyDescent="0.2">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1">
        <v>#VALUE!</v>
      </c>
    </row>
    <row r="48" spans="1:13" ht="15" customHeight="1" x14ac:dyDescent="0.2">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2">
        <v>#VALUE!</v>
      </c>
    </row>
    <row r="49" spans="1:13" ht="15" customHeight="1" x14ac:dyDescent="0.2">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3">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ol min="7" max="7" width="12.33203125" style="14" bestFit="1" customWidth="1"/>
    <col min="8" max="9" width="10.83203125" style="14"/>
    <col min="10" max="10" width="13.5" style="14" customWidth="1"/>
    <col min="11" max="15" width="10.83203125" style="14"/>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ol min="27" max="27" width="6.5" style="14" customWidth="1"/>
    <col min="28" max="33" width="10.83203125" style="14"/>
    <col min="34" max="34" width="3.33203125" style="14" bestFit="1" customWidth="1"/>
    <col min="35" max="16384" width="10.83203125" style="14"/>
  </cols>
  <sheetData>
    <row r="1" spans="1:35" x14ac:dyDescent="0.2">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x14ac:dyDescent="0.2">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6" x14ac:dyDescent="0.2">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6" x14ac:dyDescent="0.2">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6" x14ac:dyDescent="0.2">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6" x14ac:dyDescent="0.2">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6" x14ac:dyDescent="0.2">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6" x14ac:dyDescent="0.2">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6" x14ac:dyDescent="0.2">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6" x14ac:dyDescent="0.2">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6" x14ac:dyDescent="0.2">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6" x14ac:dyDescent="0.2">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6" x14ac:dyDescent="0.2">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6" x14ac:dyDescent="0.2">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6" x14ac:dyDescent="0.2">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6" x14ac:dyDescent="0.2">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6" x14ac:dyDescent="0.2">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6" x14ac:dyDescent="0.2">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6" x14ac:dyDescent="0.2">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6" x14ac:dyDescent="0.2">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6" x14ac:dyDescent="0.2">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6" x14ac:dyDescent="0.2">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6" x14ac:dyDescent="0.2">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6" x14ac:dyDescent="0.2">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6" x14ac:dyDescent="0.2">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6" x14ac:dyDescent="0.2">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6" x14ac:dyDescent="0.2">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6" x14ac:dyDescent="0.2">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6" x14ac:dyDescent="0.2">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6" x14ac:dyDescent="0.2">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6" x14ac:dyDescent="0.2">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6" x14ac:dyDescent="0.2">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6" x14ac:dyDescent="0.2">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6" x14ac:dyDescent="0.2">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6" x14ac:dyDescent="0.2">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6" x14ac:dyDescent="0.2">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6" x14ac:dyDescent="0.2">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6" x14ac:dyDescent="0.2">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6" x14ac:dyDescent="0.2">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6" x14ac:dyDescent="0.2">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6" x14ac:dyDescent="0.2">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6" x14ac:dyDescent="0.2">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6" x14ac:dyDescent="0.2">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6" x14ac:dyDescent="0.2">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x14ac:dyDescent="0.2">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x14ac:dyDescent="0.2">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x14ac:dyDescent="0.2">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x14ac:dyDescent="0.2">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x14ac:dyDescent="0.2">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x14ac:dyDescent="0.2">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x14ac:dyDescent="0.2">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x14ac:dyDescent="0.2">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x14ac:dyDescent="0.2">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x14ac:dyDescent="0.2">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x14ac:dyDescent="0.2">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x14ac:dyDescent="0.2">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x14ac:dyDescent="0.2">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x14ac:dyDescent="0.2">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x14ac:dyDescent="0.2">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x14ac:dyDescent="0.2">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x14ac:dyDescent="0.2">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x14ac:dyDescent="0.2">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x14ac:dyDescent="0.2">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x14ac:dyDescent="0.2">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x14ac:dyDescent="0.2">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x14ac:dyDescent="0.2">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x14ac:dyDescent="0.2">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x14ac:dyDescent="0.2">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x14ac:dyDescent="0.2">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x14ac:dyDescent="0.2">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x14ac:dyDescent="0.2">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x14ac:dyDescent="0.2">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x14ac:dyDescent="0.2">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x14ac:dyDescent="0.2">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x14ac:dyDescent="0.2">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x14ac:dyDescent="0.2">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x14ac:dyDescent="0.2">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x14ac:dyDescent="0.2">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x14ac:dyDescent="0.2">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x14ac:dyDescent="0.2">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x14ac:dyDescent="0.2">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x14ac:dyDescent="0.2">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x14ac:dyDescent="0.2">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x14ac:dyDescent="0.2">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x14ac:dyDescent="0.2">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x14ac:dyDescent="0.2">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x14ac:dyDescent="0.2">
      <c r="A87" s="594">
        <v>46196.916666666664</v>
      </c>
      <c r="B87" s="16"/>
      <c r="C87" s="594">
        <f t="shared" ca="1" si="35"/>
        <v>46197.166666666664</v>
      </c>
      <c r="D87" s="622"/>
    </row>
    <row r="88" spans="1:35" x14ac:dyDescent="0.2">
      <c r="A88" s="594">
        <v>46200.8125</v>
      </c>
      <c r="B88" s="16"/>
      <c r="C88" s="594">
        <f t="shared" ca="1" si="35"/>
        <v>46201.0625</v>
      </c>
      <c r="D88" s="622"/>
    </row>
    <row r="89" spans="1:35" x14ac:dyDescent="0.2">
      <c r="A89" s="594">
        <v>46200.8125</v>
      </c>
      <c r="B89" s="16"/>
      <c r="C89" s="594">
        <f t="shared" ca="1" si="35"/>
        <v>46201.0625</v>
      </c>
      <c r="D89" s="622"/>
    </row>
    <row r="90" spans="1:35" x14ac:dyDescent="0.2">
      <c r="A90" s="16"/>
      <c r="B90" s="16"/>
      <c r="C90" s="594"/>
    </row>
    <row r="91" spans="1:35" x14ac:dyDescent="0.2">
      <c r="A91" s="9" t="s">
        <v>499</v>
      </c>
      <c r="B91" s="16"/>
      <c r="C91" s="594"/>
    </row>
    <row r="92" spans="1:35" x14ac:dyDescent="0.2">
      <c r="A92" s="594">
        <v>46190.666666666664</v>
      </c>
      <c r="B92" s="16"/>
      <c r="C92" s="594">
        <f t="shared" ref="C92:C97" ca="1" si="36">A92+INDEX($V$3:$V$86,MATCH($C$3,$P$3:$P$86,0))*INDEX($W$3:$W$86,MATCH($C$3,$P$3:$P$86,0))</f>
        <v>46190.916666666664</v>
      </c>
      <c r="D92" s="622"/>
    </row>
    <row r="93" spans="1:35" x14ac:dyDescent="0.2">
      <c r="A93" s="594">
        <v>46190.791666666664</v>
      </c>
      <c r="B93" s="16"/>
      <c r="C93" s="594">
        <f t="shared" ca="1" si="36"/>
        <v>46191.041666666664</v>
      </c>
      <c r="D93" s="622"/>
    </row>
    <row r="94" spans="1:35" x14ac:dyDescent="0.2">
      <c r="A94" s="594">
        <v>46196.666666666664</v>
      </c>
      <c r="B94" s="16"/>
      <c r="C94" s="594">
        <f t="shared" ca="1" si="36"/>
        <v>46196.916666666664</v>
      </c>
      <c r="D94" s="622"/>
    </row>
    <row r="95" spans="1:35" x14ac:dyDescent="0.2">
      <c r="A95" s="594">
        <v>46196.791666666664</v>
      </c>
      <c r="B95" s="16"/>
      <c r="C95" s="594">
        <f t="shared" ca="1" si="36"/>
        <v>46197.041666666664</v>
      </c>
      <c r="D95" s="622"/>
    </row>
    <row r="96" spans="1:35" x14ac:dyDescent="0.2">
      <c r="A96" s="594">
        <v>46200.708333333336</v>
      </c>
      <c r="B96" s="16"/>
      <c r="C96" s="594">
        <f t="shared" ca="1" si="36"/>
        <v>46200.958333333336</v>
      </c>
      <c r="D96" s="622"/>
    </row>
    <row r="97" spans="1:10" x14ac:dyDescent="0.2">
      <c r="A97" s="594">
        <v>46200.708333333336</v>
      </c>
      <c r="B97" s="16"/>
      <c r="C97" s="594">
        <f t="shared" ca="1" si="36"/>
        <v>46200.958333333336</v>
      </c>
      <c r="D97" s="622"/>
    </row>
    <row r="98" spans="1:10" x14ac:dyDescent="0.2">
      <c r="A98" s="16"/>
      <c r="B98" s="16"/>
      <c r="C98" s="16"/>
    </row>
    <row r="99" spans="1:10" x14ac:dyDescent="0.2">
      <c r="A99" s="16"/>
      <c r="B99" s="16"/>
      <c r="C99" s="16"/>
    </row>
    <row r="100" spans="1:10" x14ac:dyDescent="0.2">
      <c r="A100" s="626" t="s">
        <v>500</v>
      </c>
      <c r="B100" s="16"/>
      <c r="C100" s="594"/>
      <c r="F100" s="16" t="s">
        <v>1455</v>
      </c>
      <c r="G100" s="16"/>
      <c r="I100" s="16" t="s">
        <v>1454</v>
      </c>
      <c r="J100" s="16"/>
    </row>
    <row r="101" spans="1:10" x14ac:dyDescent="0.2">
      <c r="A101" s="594">
        <v>46201.625</v>
      </c>
      <c r="B101" s="16"/>
      <c r="C101" s="594">
        <f t="shared" ref="C101:C116" ca="1" si="37">A101+INDEX($V$3:$V$86,MATCH($C$3,$P$3:$P$86,0))*INDEX($W$3:$W$86,MATCH($C$3,$P$3:$P$86,0))</f>
        <v>46201.875</v>
      </c>
      <c r="F101" s="16">
        <v>73</v>
      </c>
      <c r="G101" s="594">
        <v>46201.625</v>
      </c>
      <c r="I101" s="16">
        <v>73</v>
      </c>
      <c r="J101" s="594">
        <v>46201.625</v>
      </c>
    </row>
    <row r="102" spans="1:10" x14ac:dyDescent="0.2">
      <c r="A102" s="594">
        <v>46202.541666666664</v>
      </c>
      <c r="B102" s="16"/>
      <c r="C102" s="594">
        <f t="shared" ca="1" si="37"/>
        <v>46202.791666666664</v>
      </c>
      <c r="F102" s="16">
        <v>76</v>
      </c>
      <c r="G102" s="594">
        <v>46202.541666666664</v>
      </c>
      <c r="I102" s="16">
        <v>74</v>
      </c>
      <c r="J102" s="594">
        <v>46202.6875</v>
      </c>
    </row>
    <row r="103" spans="1:10" x14ac:dyDescent="0.2">
      <c r="A103" s="594">
        <v>46202.6875</v>
      </c>
      <c r="B103" s="16"/>
      <c r="C103" s="594">
        <f t="shared" ca="1" si="37"/>
        <v>46202.9375</v>
      </c>
      <c r="F103" s="16">
        <v>74</v>
      </c>
      <c r="G103" s="594">
        <v>46202.6875</v>
      </c>
      <c r="I103" s="16">
        <v>75</v>
      </c>
      <c r="J103" s="594">
        <v>46202.875</v>
      </c>
    </row>
    <row r="104" spans="1:10" x14ac:dyDescent="0.2">
      <c r="A104" s="594">
        <v>46202.875</v>
      </c>
      <c r="B104" s="16"/>
      <c r="C104" s="594">
        <f t="shared" ca="1" si="37"/>
        <v>46203.125</v>
      </c>
      <c r="F104" s="16">
        <v>75</v>
      </c>
      <c r="G104" s="594">
        <v>46202.875</v>
      </c>
      <c r="I104" s="16">
        <v>76</v>
      </c>
      <c r="J104" s="594">
        <v>46202.541666666664</v>
      </c>
    </row>
    <row r="105" spans="1:10" x14ac:dyDescent="0.2">
      <c r="A105" s="594">
        <v>46203.541666666664</v>
      </c>
      <c r="B105" s="16"/>
      <c r="C105" s="594">
        <f t="shared" ca="1" si="37"/>
        <v>46203.791666666664</v>
      </c>
      <c r="F105" s="16">
        <v>78</v>
      </c>
      <c r="G105" s="594">
        <v>46203.541666666664</v>
      </c>
      <c r="I105" s="16">
        <v>77</v>
      </c>
      <c r="J105" s="594">
        <v>46203.708333333336</v>
      </c>
    </row>
    <row r="106" spans="1:10" x14ac:dyDescent="0.2">
      <c r="A106" s="594">
        <v>46203.708333333336</v>
      </c>
      <c r="B106" s="16"/>
      <c r="C106" s="594">
        <f t="shared" ca="1" si="37"/>
        <v>46203.958333333336</v>
      </c>
      <c r="F106" s="16">
        <v>77</v>
      </c>
      <c r="G106" s="594">
        <v>46203.708333333336</v>
      </c>
      <c r="I106" s="16">
        <v>78</v>
      </c>
      <c r="J106" s="594">
        <v>46203.541666666664</v>
      </c>
    </row>
    <row r="107" spans="1:10" x14ac:dyDescent="0.2">
      <c r="A107" s="594">
        <v>46203.875</v>
      </c>
      <c r="B107" s="16"/>
      <c r="C107" s="594">
        <f t="shared" ca="1" si="37"/>
        <v>46204.125</v>
      </c>
      <c r="F107" s="16">
        <v>79</v>
      </c>
      <c r="G107" s="594">
        <v>46203.875</v>
      </c>
      <c r="I107" s="16">
        <v>79</v>
      </c>
      <c r="J107" s="594">
        <v>46203.875</v>
      </c>
    </row>
    <row r="108" spans="1:10" x14ac:dyDescent="0.2">
      <c r="A108" s="594">
        <v>46204.5</v>
      </c>
      <c r="B108" s="16"/>
      <c r="C108" s="594">
        <f t="shared" ca="1" si="37"/>
        <v>46204.75</v>
      </c>
      <c r="F108" s="16">
        <v>80</v>
      </c>
      <c r="G108" s="594">
        <v>46204.5</v>
      </c>
      <c r="I108" s="16">
        <v>80</v>
      </c>
      <c r="J108" s="594">
        <v>46204.5</v>
      </c>
    </row>
    <row r="109" spans="1:10" x14ac:dyDescent="0.2">
      <c r="A109" s="594">
        <v>46204.666666666664</v>
      </c>
      <c r="B109" s="16"/>
      <c r="C109" s="594">
        <f t="shared" ca="1" si="37"/>
        <v>46204.916666666664</v>
      </c>
      <c r="F109" s="16">
        <v>82</v>
      </c>
      <c r="G109" s="594">
        <v>46204.666666666664</v>
      </c>
      <c r="I109" s="16">
        <v>81</v>
      </c>
      <c r="J109" s="594">
        <v>46204.833333333336</v>
      </c>
    </row>
    <row r="110" spans="1:10" x14ac:dyDescent="0.2">
      <c r="A110" s="594">
        <v>46204.833333333336</v>
      </c>
      <c r="B110" s="16"/>
      <c r="C110" s="594">
        <f t="shared" ca="1" si="37"/>
        <v>46205.083333333336</v>
      </c>
      <c r="F110" s="16">
        <v>81</v>
      </c>
      <c r="G110" s="594">
        <v>46204.833333333336</v>
      </c>
      <c r="I110" s="16">
        <v>82</v>
      </c>
      <c r="J110" s="594">
        <v>46204.666666666664</v>
      </c>
    </row>
    <row r="111" spans="1:10" x14ac:dyDescent="0.2">
      <c r="A111" s="594">
        <v>46205.625</v>
      </c>
      <c r="B111" s="16"/>
      <c r="C111" s="594">
        <f t="shared" ca="1" si="37"/>
        <v>46205.875</v>
      </c>
      <c r="F111" s="16">
        <v>84</v>
      </c>
      <c r="G111" s="594">
        <v>46205.625</v>
      </c>
      <c r="I111" s="16">
        <v>83</v>
      </c>
      <c r="J111" s="594">
        <v>46205.791666666664</v>
      </c>
    </row>
    <row r="112" spans="1:10" x14ac:dyDescent="0.2">
      <c r="A112" s="594">
        <v>46205.791666666664</v>
      </c>
      <c r="B112" s="16"/>
      <c r="C112" s="594">
        <f t="shared" ca="1" si="37"/>
        <v>46206.041666666664</v>
      </c>
      <c r="F112" s="16">
        <v>83</v>
      </c>
      <c r="G112" s="594">
        <v>46205.791666666664</v>
      </c>
      <c r="I112" s="16">
        <v>84</v>
      </c>
      <c r="J112" s="594">
        <v>46205.625</v>
      </c>
    </row>
    <row r="113" spans="1:10" x14ac:dyDescent="0.2">
      <c r="A113" s="594">
        <v>46205.958333333336</v>
      </c>
      <c r="B113" s="16"/>
      <c r="C113" s="594">
        <f t="shared" ca="1" si="37"/>
        <v>46206.208333333336</v>
      </c>
      <c r="F113" s="16">
        <v>85</v>
      </c>
      <c r="G113" s="594">
        <v>46205.958333333336</v>
      </c>
      <c r="I113" s="16">
        <v>85</v>
      </c>
      <c r="J113" s="594">
        <v>46205.958333333336</v>
      </c>
    </row>
    <row r="114" spans="1:10" x14ac:dyDescent="0.2">
      <c r="A114" s="594">
        <v>46206.583333333336</v>
      </c>
      <c r="B114" s="16"/>
      <c r="C114" s="594">
        <f t="shared" ca="1" si="37"/>
        <v>46206.833333333336</v>
      </c>
      <c r="F114" s="16">
        <v>88</v>
      </c>
      <c r="G114" s="594">
        <v>46206.583333333336</v>
      </c>
      <c r="I114" s="16">
        <v>86</v>
      </c>
      <c r="J114" s="594">
        <v>46206.75</v>
      </c>
    </row>
    <row r="115" spans="1:10" x14ac:dyDescent="0.2">
      <c r="A115" s="594">
        <v>46206.75</v>
      </c>
      <c r="B115" s="16"/>
      <c r="C115" s="594">
        <f t="shared" ca="1" si="37"/>
        <v>46207</v>
      </c>
      <c r="F115" s="16">
        <v>86</v>
      </c>
      <c r="G115" s="594">
        <v>46206.75</v>
      </c>
      <c r="I115" s="16">
        <v>87</v>
      </c>
      <c r="J115" s="594">
        <v>46206.895833333336</v>
      </c>
    </row>
    <row r="116" spans="1:10" x14ac:dyDescent="0.2">
      <c r="A116" s="594">
        <v>46206.895833333336</v>
      </c>
      <c r="B116" s="16"/>
      <c r="C116" s="594">
        <f t="shared" ca="1" si="37"/>
        <v>46207.145833333336</v>
      </c>
      <c r="F116" s="16">
        <v>87</v>
      </c>
      <c r="G116" s="594">
        <v>46206.895833333336</v>
      </c>
      <c r="I116" s="16">
        <v>88</v>
      </c>
      <c r="J116" s="594">
        <v>46206.583333333336</v>
      </c>
    </row>
    <row r="117" spans="1:10" x14ac:dyDescent="0.2">
      <c r="A117" s="16"/>
      <c r="B117" s="16"/>
      <c r="C117" s="594"/>
      <c r="F117" s="16"/>
      <c r="G117" s="594"/>
      <c r="I117" s="16"/>
      <c r="J117" s="16"/>
    </row>
    <row r="118" spans="1:10" x14ac:dyDescent="0.2">
      <c r="A118" s="16"/>
      <c r="B118" s="16"/>
      <c r="C118" s="594"/>
      <c r="F118" s="16"/>
      <c r="G118" s="594"/>
      <c r="I118" s="16"/>
      <c r="J118" s="16"/>
    </row>
    <row r="119" spans="1:10" x14ac:dyDescent="0.2">
      <c r="A119" s="626" t="s">
        <v>729</v>
      </c>
      <c r="B119" s="16"/>
      <c r="C119" s="16"/>
      <c r="F119" s="16"/>
      <c r="G119" s="594"/>
      <c r="I119" s="16"/>
      <c r="J119" s="16"/>
    </row>
    <row r="120" spans="1:10" x14ac:dyDescent="0.2">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x14ac:dyDescent="0.2">
      <c r="A121" s="594">
        <v>46207.708333333336</v>
      </c>
      <c r="B121" s="16"/>
      <c r="C121" s="594">
        <f t="shared" ca="1" si="38"/>
        <v>46207.958333333336</v>
      </c>
      <c r="D121" s="622"/>
      <c r="F121" s="16">
        <v>89</v>
      </c>
      <c r="G121" s="594">
        <v>46207.708333333336</v>
      </c>
      <c r="I121" s="16">
        <v>90</v>
      </c>
      <c r="J121" s="594">
        <v>46207.541666666664</v>
      </c>
    </row>
    <row r="122" spans="1:10" x14ac:dyDescent="0.2">
      <c r="A122" s="594">
        <v>46208.666666666664</v>
      </c>
      <c r="B122" s="16"/>
      <c r="C122" s="594">
        <f t="shared" ca="1" si="38"/>
        <v>46208.916666666664</v>
      </c>
      <c r="D122" s="622"/>
      <c r="F122" s="16">
        <v>91</v>
      </c>
      <c r="G122" s="594">
        <v>46208.666666666664</v>
      </c>
      <c r="I122" s="16">
        <v>91</v>
      </c>
      <c r="J122" s="594">
        <v>46208.666666666664</v>
      </c>
    </row>
    <row r="123" spans="1:10" x14ac:dyDescent="0.2">
      <c r="A123" s="594">
        <v>46208.833333333336</v>
      </c>
      <c r="B123" s="16"/>
      <c r="C123" s="594">
        <f t="shared" ca="1" si="38"/>
        <v>46209.083333333336</v>
      </c>
      <c r="D123" s="622"/>
      <c r="F123" s="16">
        <v>92</v>
      </c>
      <c r="G123" s="594">
        <v>46208.833333333336</v>
      </c>
      <c r="I123" s="16">
        <v>92</v>
      </c>
      <c r="J123" s="594">
        <v>46208.833333333336</v>
      </c>
    </row>
    <row r="124" spans="1:10" x14ac:dyDescent="0.2">
      <c r="A124" s="594">
        <v>46209.625</v>
      </c>
      <c r="B124" s="16"/>
      <c r="C124" s="594">
        <f t="shared" ca="1" si="38"/>
        <v>46209.875</v>
      </c>
      <c r="D124" s="622"/>
      <c r="F124" s="16">
        <v>93</v>
      </c>
      <c r="G124" s="594">
        <v>46209.625</v>
      </c>
      <c r="I124" s="16">
        <v>93</v>
      </c>
      <c r="J124" s="594">
        <v>46209.625</v>
      </c>
    </row>
    <row r="125" spans="1:10" x14ac:dyDescent="0.2">
      <c r="A125" s="594">
        <v>46209.833333333336</v>
      </c>
      <c r="B125" s="16"/>
      <c r="C125" s="594">
        <f t="shared" ca="1" si="38"/>
        <v>46210.083333333336</v>
      </c>
      <c r="D125" s="622"/>
      <c r="F125" s="16">
        <v>94</v>
      </c>
      <c r="G125" s="594">
        <v>46209.833333333336</v>
      </c>
      <c r="I125" s="16">
        <v>94</v>
      </c>
      <c r="J125" s="594">
        <v>46209.833333333336</v>
      </c>
    </row>
    <row r="126" spans="1:10" x14ac:dyDescent="0.2">
      <c r="A126" s="594">
        <v>46210.5</v>
      </c>
      <c r="B126" s="16"/>
      <c r="C126" s="594">
        <f t="shared" ca="1" si="38"/>
        <v>46210.75</v>
      </c>
      <c r="D126" s="622"/>
      <c r="F126" s="16">
        <v>95</v>
      </c>
      <c r="G126" s="594">
        <v>46210.5</v>
      </c>
      <c r="I126" s="16">
        <v>95</v>
      </c>
      <c r="J126" s="594">
        <v>46210.5</v>
      </c>
    </row>
    <row r="127" spans="1:10" x14ac:dyDescent="0.2">
      <c r="A127" s="594">
        <v>46210.666666666664</v>
      </c>
      <c r="B127" s="16"/>
      <c r="C127" s="594">
        <f t="shared" ca="1" si="38"/>
        <v>46210.916666666664</v>
      </c>
      <c r="D127" s="622"/>
      <c r="F127" s="16">
        <v>96</v>
      </c>
      <c r="G127" s="594">
        <v>46210.666666666664</v>
      </c>
      <c r="I127" s="16">
        <v>96</v>
      </c>
      <c r="J127" s="594">
        <v>46210.666666666664</v>
      </c>
    </row>
    <row r="128" spans="1:10" x14ac:dyDescent="0.2">
      <c r="A128" s="16"/>
      <c r="B128" s="16"/>
      <c r="C128" s="16"/>
      <c r="F128" s="16"/>
      <c r="G128" s="594"/>
      <c r="I128" s="16"/>
      <c r="J128" s="16"/>
    </row>
    <row r="129" spans="1:10" x14ac:dyDescent="0.2">
      <c r="A129" s="16"/>
      <c r="B129" s="16"/>
      <c r="C129" s="16"/>
      <c r="F129" s="16"/>
      <c r="G129" s="594"/>
      <c r="I129" s="16"/>
      <c r="J129" s="16"/>
    </row>
    <row r="130" spans="1:10" x14ac:dyDescent="0.2">
      <c r="A130" s="626" t="s">
        <v>96</v>
      </c>
      <c r="B130" s="16"/>
      <c r="C130" s="594"/>
      <c r="F130" s="16"/>
      <c r="G130" s="594"/>
      <c r="I130" s="16"/>
      <c r="J130" s="16"/>
    </row>
    <row r="131" spans="1:10" x14ac:dyDescent="0.2">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x14ac:dyDescent="0.2">
      <c r="A132" s="594">
        <v>46213.625</v>
      </c>
      <c r="B132" s="16"/>
      <c r="C132" s="594">
        <f ca="1">A132+INDEX($V$3:$V$86,MATCH($C$3,$P$3:$P$86,0))*INDEX($W$3:$W$86,MATCH($C$3,$P$3:$P$86,0))</f>
        <v>46213.875</v>
      </c>
      <c r="D132" s="622"/>
      <c r="F132" s="16">
        <v>98</v>
      </c>
      <c r="G132" s="594">
        <v>46213.625</v>
      </c>
      <c r="I132" s="16">
        <v>98</v>
      </c>
      <c r="J132" s="594">
        <v>46213.625</v>
      </c>
    </row>
    <row r="133" spans="1:10" x14ac:dyDescent="0.2">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x14ac:dyDescent="0.2">
      <c r="A134" s="594">
        <v>46214.875</v>
      </c>
      <c r="B134" s="16"/>
      <c r="C134" s="594">
        <f ca="1">A134+INDEX($V$3:$V$86,MATCH($C$3,$P$3:$P$86,0))*INDEX($W$3:$W$86,MATCH($C$3,$P$3:$P$86,0))</f>
        <v>46215.125</v>
      </c>
      <c r="D134" s="622"/>
      <c r="F134" s="16">
        <v>100</v>
      </c>
      <c r="G134" s="594">
        <v>46214.875</v>
      </c>
      <c r="I134" s="16">
        <v>100</v>
      </c>
      <c r="J134" s="594">
        <v>46214.875</v>
      </c>
    </row>
    <row r="135" spans="1:10" x14ac:dyDescent="0.2">
      <c r="A135" s="16"/>
      <c r="B135" s="16"/>
      <c r="C135" s="594"/>
    </row>
    <row r="136" spans="1:10" x14ac:dyDescent="0.2">
      <c r="A136" s="16"/>
      <c r="B136" s="16"/>
      <c r="C136" s="16"/>
    </row>
    <row r="137" spans="1:10" x14ac:dyDescent="0.2">
      <c r="A137" s="627" t="s">
        <v>43</v>
      </c>
      <c r="B137" s="16"/>
      <c r="C137" s="594"/>
    </row>
    <row r="138" spans="1:10" x14ac:dyDescent="0.2">
      <c r="A138" s="594">
        <v>46217.625</v>
      </c>
      <c r="B138" s="16"/>
      <c r="C138" s="594">
        <f ca="1">A138+INDEX($V$3:$V$86,MATCH($C$3,$P$3:$P$86,0))*INDEX($W$3:$W$86,MATCH($C$3,$P$3:$P$86,0))</f>
        <v>46217.875</v>
      </c>
      <c r="D138" s="622"/>
    </row>
    <row r="139" spans="1:10" x14ac:dyDescent="0.2">
      <c r="A139" s="594">
        <v>46218.625</v>
      </c>
      <c r="B139" s="16"/>
      <c r="C139" s="594">
        <f ca="1">A139+INDEX($V$3:$V$86,MATCH($C$3,$P$3:$P$86,0))*INDEX($W$3:$W$86,MATCH($C$3,$P$3:$P$86,0))</f>
        <v>46218.875</v>
      </c>
      <c r="D139" s="622"/>
    </row>
    <row r="140" spans="1:10" x14ac:dyDescent="0.2">
      <c r="A140" s="16"/>
      <c r="B140" s="16"/>
      <c r="C140" s="594"/>
    </row>
    <row r="141" spans="1:10" x14ac:dyDescent="0.2">
      <c r="A141" s="16"/>
      <c r="B141" s="16"/>
      <c r="C141" s="16"/>
    </row>
    <row r="142" spans="1:10" x14ac:dyDescent="0.2">
      <c r="A142" s="628" t="s">
        <v>503</v>
      </c>
      <c r="B142" s="16"/>
      <c r="C142" s="16"/>
    </row>
    <row r="143" spans="1:10" x14ac:dyDescent="0.2">
      <c r="A143" s="594">
        <v>46221.708333333336</v>
      </c>
      <c r="B143" s="16"/>
      <c r="C143" s="594">
        <f ca="1">A143+INDEX($V$3:$V$86,MATCH($C$3,$P$3:$P$86,0))*INDEX($W$3:$W$86,MATCH($C$3,$P$3:$P$86,0))</f>
        <v>46221.958333333336</v>
      </c>
      <c r="D143" s="622"/>
    </row>
    <row r="144" spans="1:10" x14ac:dyDescent="0.2">
      <c r="A144" s="16"/>
      <c r="B144" s="16"/>
      <c r="C144" s="16"/>
    </row>
    <row r="145" spans="1:4" x14ac:dyDescent="0.2">
      <c r="A145" s="16"/>
      <c r="B145" s="16"/>
      <c r="C145" s="16"/>
    </row>
    <row r="146" spans="1:4" x14ac:dyDescent="0.2">
      <c r="A146" s="629" t="s">
        <v>4</v>
      </c>
      <c r="B146" s="16"/>
      <c r="C146" s="594"/>
    </row>
    <row r="147" spans="1:4" x14ac:dyDescent="0.2">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Pablo Crespo Bellido</cp:lastModifiedBy>
  <cp:lastPrinted>2018-12-06T18:06:35Z</cp:lastPrinted>
  <dcterms:created xsi:type="dcterms:W3CDTF">2015-10-31T09:41:54Z</dcterms:created>
  <dcterms:modified xsi:type="dcterms:W3CDTF">2026-06-28T17:57:42Z</dcterms:modified>
</cp:coreProperties>
</file>