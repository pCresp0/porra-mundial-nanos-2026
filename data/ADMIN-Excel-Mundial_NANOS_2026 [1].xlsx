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D540D9A6-410A-F94B-B7F4-1AF4028DDCCB}"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U3" i="32" l="1"/>
  <c r="W32" i="32"/>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77" i="46" l="1"/>
  <c r="H12" i="46"/>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<sst xmlns="http://schemas.openxmlformats.org/spreadsheetml/2006/main" count="8001" uniqueCount="1985">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</sst>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c r="AD7" s="200"/>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c r="AD13" s="200"/>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c r="AD14" s="200"/>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c r="AD15" s="200"/>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c r="AD20" s="200"/>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c r="AD21" s="200"/>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c r="AD22" s="200"/>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c r="AD23" s="200"/>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c r="AD28" s="200"/>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c r="AD29" s="200"/>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c r="AD30" s="200"/>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c r="AD31" s="200"/>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c r="AD36" s="200"/>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c r="AD37" s="200"/>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c r="AD38" s="200"/>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c r="AD39" s="200"/>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c r="AD44" s="200"/>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c r="AD45" s="200"/>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c r="AD46" s="200"/>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c r="AD47" s="200"/>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c r="AD52" s="200"/>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c r="AD53" s="200"/>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c r="AD60" s="200"/>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c r="AD61" s="200"/>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c r="AD68" s="200"/>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c r="AD69" s="200"/>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c r="AD76" s="200"/>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c r="AD77" s="200"/>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c r="AD84" s="200"/>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c r="AD85" s="200"/>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c r="AD92" s="200"/>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c r="AD93" s="200"/>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I18" sqref="I18"/>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3</v>
      </c>
      <c r="W1" s="93"/>
      <c r="X1" s="71"/>
      <c r="Y1" s="93">
        <f ca="1">+IFERROR(RANK(Y2,OFFSET($S$2,0,0,1,$D$5*3),0),"-")</f>
        <v>4</v>
      </c>
      <c r="Z1" s="93"/>
      <c r="AA1" s="71"/>
      <c r="AB1" s="93">
        <f ca="1">+IFERROR(RANK(AB2,OFFSET($S$2,0,0,1,$D$5*3),0),"-")</f>
        <v>5</v>
      </c>
      <c r="AC1" s="93"/>
      <c r="AD1" s="71"/>
      <c r="AE1" s="93">
        <f ca="1">+IFERROR(RANK(AE2,OFFSET($S$2,0,0,1,$D$5*3),0),"-")</f>
        <v>2</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1.9972000000000001</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3</v>
      </c>
      <c r="W3" s="93"/>
      <c r="X3" s="71"/>
      <c r="Y3" s="93">
        <f ca="1">RANK(Y4,OFFSET($S$4,0,0,1,$D$5*3),0)</f>
        <v>3</v>
      </c>
      <c r="Z3" s="93"/>
      <c r="AA3" s="71"/>
      <c r="AB3" s="93">
        <f ca="1">RANK(AB4,OFFSET($S$4,0,0,1,$D$5*3),0)</f>
        <v>3</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2</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1947</v>
      </c>
      <c r="T8" s="79">
        <f t="shared" si="8"/>
        <v>0</v>
      </c>
      <c r="U8" s="71"/>
      <c r="V8" s="80" t="s">
        <v>1950</v>
      </c>
      <c r="W8" s="79">
        <f t="shared" si="9"/>
        <v>0</v>
      </c>
      <c r="X8" s="71"/>
      <c r="Y8" s="80" t="s">
        <v>1955</v>
      </c>
      <c r="Z8" s="79">
        <f t="shared" si="10"/>
        <v>0</v>
      </c>
      <c r="AA8" s="71"/>
      <c r="AB8" s="80" t="s">
        <v>1947</v>
      </c>
      <c r="AC8" s="79">
        <f t="shared" si="10"/>
        <v>0</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1947</v>
      </c>
      <c r="T30" s="83">
        <f t="shared" si="13"/>
        <v>6</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2</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VÍCTOR</v>
      </c>
      <c r="D6" s="97">
        <f ca="1">IFERROR(HLOOKUP(A6,Rango_Admin_Clas,4,FALSE),"-")</f>
        <v>6</v>
      </c>
      <c r="E6" s="98" cm="1">
        <f t="array" aca="1" ref="E6" ca="1">IFERROR(INDEX(Rango_Admin_Clas_Total,E$2,MATCH($A6,Rango_Admin_Clas_Primera,0)+1),"-")</f>
        <v>6</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LARRY</v>
      </c>
      <c r="D7" s="97">
        <f ca="1">IFERROR(HLOOKUP(A7,Rango_Admin_Clas,4,FALSE),"-")</f>
        <v>2</v>
      </c>
      <c r="E7" s="98" cm="1">
        <f t="array" aca="1" ref="E7" ca="1">IFERROR(INDEX(Rango_Admin_Clas_Total,E$2,MATCH($A7,Rango_Admin_Clas_Primera,0)+1),"-")</f>
        <v>2</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3</v>
      </c>
      <c r="C8" s="18" t="str">
        <f ca="1">IFERROR(HLOOKUP(A8,Rango_Admin_Clas,5,FALSE),"-")</f>
        <v>LUIS/VIR</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3</v>
      </c>
      <c r="C9" s="18" t="str">
        <f ca="1">IFERROR(HLOOKUP(A9,Rango_Admin_Clas,5,FALSE),"-")</f>
        <v>MEDINA</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2026-06-12T22:25:07Z</dcterms:modified>
  <cp:category/>
</cp:coreProperties>
</file>