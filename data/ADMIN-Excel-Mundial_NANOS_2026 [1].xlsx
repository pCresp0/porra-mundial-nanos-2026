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<sst xmlns="http://schemas.openxmlformats.org/spreadsheetml/2006/main" count="8001" uniqueCount="1985">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</sst>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v>0</v>
      </c>
      <c r="AD88" s="200">
        <v>0</v>
      </c>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v>3</v>
      </c>
      <c r="AD89" s="239">
        <v>1</v>
      </c>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v>2</v>
      </c>
      <c r="AD97" s="239">
        <v>1</v>
      </c>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RD Congo</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c r="AD109" s="287"/>
      <c r="AE109" t="str">
        <v>🇸🇳</v>
      </c>
      <c r="AF109" t="str">
        <v>Senegal</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Croacia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Irán</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Ghana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República Checa</v>
      </c>
      <c r="T80" s="83">
        <f ca="1">($M80=S80)*$D$11</f>
        <v>0</v>
      </c>
      <c r="U80" s="70"/>
      <c r="V80" t="str">
        <v>México</v>
      </c>
      <c r="W80" s="83">
        <f t="shared" ref="W80" ca="1" si="26">($M80=V80)*$D$11</f>
        <v>0</v>
      </c>
      <c r="X80" s="70"/>
      <c r="Y80" t="str">
        <v>Corea del Sur</v>
      </c>
      <c r="Z80" s="83">
        <f t="shared" ref="Z80" ca="1" si="27">($M80=Y80)*$D$11</f>
        <v>0</v>
      </c>
      <c r="AA80" s="70"/>
      <c r="AB80" t="str">
        <v>México</v>
      </c>
      <c r="AC80" s="83">
        <f t="shared" ref="AC80" ca="1" si="28">($M80=AB80)*$D$11</f>
        <v>0</v>
      </c>
      <c r="AD80" s="70"/>
      <c r="AE80" t="str">
        <v>México</v>
      </c>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México</v>
      </c>
      <c r="T81" s="79">
        <f ca="1">($M81=S81)*$D$12</f>
        <v>0</v>
      </c>
      <c r="U81" s="70"/>
      <c r="V81" t="str">
        <v>República Checa</v>
      </c>
      <c r="W81" s="79">
        <f t="shared" ref="W81" ca="1" si="30">($M81=V81)*$D$12</f>
        <v>0</v>
      </c>
      <c r="X81" s="70"/>
      <c r="Y81" t="str">
        <v>República Checa</v>
      </c>
      <c r="Z81" s="79">
        <f t="shared" ref="Z81" ca="1" si="31">($M81=Y81)*$D$12</f>
        <v>0</v>
      </c>
      <c r="AA81" s="70"/>
      <c r="AB81" t="str">
        <v>Corea del Sur</v>
      </c>
      <c r="AC81" s="79">
        <f t="shared" ref="AC81" ca="1" si="32">($M81=AB81)*$D$12</f>
        <v>0</v>
      </c>
      <c r="AD81" s="70"/>
      <c r="AE81" t="str">
        <v>Corea del Sur</v>
      </c>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t="str">
        <v>Corea del Sur</v>
      </c>
      <c r="W82" s="79">
        <f t="shared" ref="W82" ca="1" si="34">($M82=V82)*$D$13</f>
        <v>0</v>
      </c>
      <c r="X82" s="70"/>
      <c r="Y82" t="str">
        <v>México</v>
      </c>
      <c r="Z82" s="79">
        <f t="shared" ref="Z82" ca="1" si="35">($M82=Y82)*$D$13</f>
        <v>0</v>
      </c>
      <c r="AA82" s="70"/>
      <c r="AB82" t="str">
        <v>República Checa</v>
      </c>
      <c r="AC82" s="79">
        <f t="shared" ref="AC82" ca="1" si="36">($M82=AB82)*$D$13</f>
        <v>0</v>
      </c>
      <c r="AD82" s="70"/>
      <c r="AE82" t="str">
        <v>República Checa</v>
      </c>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t="str">
        <v>Sudáfrica</v>
      </c>
      <c r="W83" s="79">
        <f t="shared" ref="W83" ca="1" si="38">($M83=V83)*$D$14</f>
        <v>0</v>
      </c>
      <c r="X83" s="70"/>
      <c r="Y83" t="str">
        <v>Sudáfrica</v>
      </c>
      <c r="Z83" s="79">
        <f t="shared" ref="Z83" ca="1" si="39">($M83=Y83)*$D$14</f>
        <v>0</v>
      </c>
      <c r="AA83" s="70"/>
      <c r="AB83" t="str">
        <v>Sudáfrica</v>
      </c>
      <c r="AC83" s="79">
        <f t="shared" ref="AC83" ca="1" si="40">($M83=AB83)*$D$14</f>
        <v>0</v>
      </c>
      <c r="AD83" s="70"/>
      <c r="AE83" t="str">
        <v>Sudáfrica</v>
      </c>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t="str">
        <v>Suiza</v>
      </c>
      <c r="W84" s="79">
        <f t="shared" ref="W84:AF84" ca="1" si="44">($M84=V84)*$D$11</f>
        <v>0</v>
      </c>
      <c r="X84" s="70"/>
      <c r="Y84" t="str">
        <v>Suiza</v>
      </c>
      <c r="Z84" s="79">
        <f t="shared" ca="1" si="44"/>
        <v>0</v>
      </c>
      <c r="AA84" s="70"/>
      <c r="AB84" t="str">
        <v>Suiza</v>
      </c>
      <c r="AC84" s="79">
        <f t="shared" ca="1" si="44"/>
        <v>0</v>
      </c>
      <c r="AD84" s="70"/>
      <c r="AE84" t="str">
        <v>Suiza</v>
      </c>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t="str">
        <v>Bosnia y Herzegovina</v>
      </c>
      <c r="W85" s="79">
        <f t="shared" ref="W85:AF85" ca="1" si="47">($M85=V85)*$D$12</f>
        <v>0</v>
      </c>
      <c r="X85" s="70"/>
      <c r="Y85" t="str">
        <v>Bosnia y Herzegovina</v>
      </c>
      <c r="Z85" s="79">
        <f t="shared" ca="1" si="47"/>
        <v>0</v>
      </c>
      <c r="AA85" s="70"/>
      <c r="AB85" t="str">
        <v>Canadá</v>
      </c>
      <c r="AC85" s="79">
        <f t="shared" ca="1" si="47"/>
        <v>0</v>
      </c>
      <c r="AD85" s="70"/>
      <c r="AE85" t="str">
        <v>Canadá</v>
      </c>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Bosnia y Herzegovina</v>
      </c>
      <c r="T86" s="79">
        <f t="shared" ref="T86" ca="1" si="49">($M86=S86)*$D$13</f>
        <v>0</v>
      </c>
      <c r="U86" s="70"/>
      <c r="V86" t="str">
        <v>Canadá</v>
      </c>
      <c r="W86" s="79">
        <f t="shared" ref="W86:AF86" ca="1" si="50">($M86=V86)*$D$13</f>
        <v>0</v>
      </c>
      <c r="X86" s="70"/>
      <c r="Y86" t="str">
        <v>Canadá</v>
      </c>
      <c r="Z86" s="79">
        <f t="shared" ca="1" si="50"/>
        <v>0</v>
      </c>
      <c r="AA86" s="70"/>
      <c r="AB86" t="str">
        <v>Bosnia y Herzegovina</v>
      </c>
      <c r="AC86" s="79">
        <f t="shared" ca="1" si="50"/>
        <v>0</v>
      </c>
      <c r="AD86" s="70"/>
      <c r="AE86" t="str">
        <v>Bosnia y Herzegovina</v>
      </c>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Catar</v>
      </c>
      <c r="T87" s="79">
        <f t="shared" ref="T87" ca="1" si="52">($M87=S87)*$D$14</f>
        <v>0</v>
      </c>
      <c r="U87" s="70"/>
      <c r="V87" t="str">
        <v>Catar</v>
      </c>
      <c r="W87" s="79">
        <f t="shared" ref="W87:AF87" ca="1" si="53">($M87=V87)*$D$14</f>
        <v>0</v>
      </c>
      <c r="X87" s="70"/>
      <c r="Y87" t="str">
        <v>Catar</v>
      </c>
      <c r="Z87" s="79">
        <f t="shared" ca="1" si="53"/>
        <v>0</v>
      </c>
      <c r="AA87" s="70"/>
      <c r="AB87" t="str">
        <v>Catar</v>
      </c>
      <c r="AC87" s="79">
        <f t="shared" ca="1" si="53"/>
        <v>0</v>
      </c>
      <c r="AD87" s="70"/>
      <c r="AE87" t="str">
        <v>Catar</v>
      </c>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t="str">
        <v>Brasil</v>
      </c>
      <c r="W88" s="79">
        <f t="shared" ref="W88:AF88" ca="1" si="56">($M88=V88)*$D$11</f>
        <v>0</v>
      </c>
      <c r="X88" s="70"/>
      <c r="Y88" t="str">
        <v>Brasil</v>
      </c>
      <c r="Z88" s="79">
        <f t="shared" ca="1" si="56"/>
        <v>0</v>
      </c>
      <c r="AA88" s="70"/>
      <c r="AB88" t="str">
        <v>Brasil</v>
      </c>
      <c r="AC88" s="79">
        <f t="shared" ca="1" si="56"/>
        <v>0</v>
      </c>
      <c r="AD88" s="70"/>
      <c r="AE88" t="str">
        <v>Brasil</v>
      </c>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t="str">
        <v>Marruecos</v>
      </c>
      <c r="W89" s="79">
        <f t="shared" ref="W89:AF89" ca="1" si="59">($M89=V89)*$D$12</f>
        <v>0</v>
      </c>
      <c r="X89" s="70"/>
      <c r="Y89" t="str">
        <v>Marruecos</v>
      </c>
      <c r="Z89" s="79">
        <f t="shared" ca="1" si="59"/>
        <v>0</v>
      </c>
      <c r="AA89" s="70"/>
      <c r="AB89" t="str">
        <v>Marruecos</v>
      </c>
      <c r="AC89" s="79">
        <f t="shared" ca="1" si="59"/>
        <v>0</v>
      </c>
      <c r="AD89" s="70"/>
      <c r="AE89" t="str">
        <v>Marruecos</v>
      </c>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t="str">
        <v>Escocia</v>
      </c>
      <c r="W90" s="79">
        <f t="shared" ref="W90:AF90" ca="1" si="62">($M90=V90)*$D$13</f>
        <v>0</v>
      </c>
      <c r="X90" s="70"/>
      <c r="Y90" t="str">
        <v>Escocia</v>
      </c>
      <c r="Z90" s="79">
        <f t="shared" ca="1" si="62"/>
        <v>0</v>
      </c>
      <c r="AA90" s="70"/>
      <c r="AB90" t="str">
        <v>Escocia</v>
      </c>
      <c r="AC90" s="79">
        <f t="shared" ca="1" si="62"/>
        <v>0</v>
      </c>
      <c r="AD90" s="70"/>
      <c r="AE90" t="str">
        <v>Escocia</v>
      </c>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t="str">
        <v>Haití</v>
      </c>
      <c r="W91" s="79">
        <f t="shared" ref="W91:AF91" ca="1" si="65">($M91=V91)*$D$14</f>
        <v>0</v>
      </c>
      <c r="X91" s="70"/>
      <c r="Y91" t="str">
        <v>Haití</v>
      </c>
      <c r="Z91" s="79">
        <f t="shared" ca="1" si="65"/>
        <v>0</v>
      </c>
      <c r="AA91" s="70"/>
      <c r="AB91" t="str">
        <v>Haití</v>
      </c>
      <c r="AC91" s="79">
        <f t="shared" ca="1" si="65"/>
        <v>0</v>
      </c>
      <c r="AD91" s="70"/>
      <c r="AE91" t="str">
        <v>Haití</v>
      </c>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Turquía</v>
      </c>
      <c r="T92" s="79">
        <f t="shared" ref="T92" ca="1" si="67">($M92=S92)*$D$11</f>
        <v>0</v>
      </c>
      <c r="U92" s="70"/>
      <c r="V92" t="str">
        <v>Turquía</v>
      </c>
      <c r="W92" s="79">
        <f t="shared" ref="W92:AF92" ca="1" si="68">($M92=V92)*$D$11</f>
        <v>0</v>
      </c>
      <c r="X92" s="70"/>
      <c r="Y92" t="str">
        <v>Turquía</v>
      </c>
      <c r="Z92" s="79">
        <f t="shared" ca="1" si="68"/>
        <v>0</v>
      </c>
      <c r="AA92" s="70"/>
      <c r="AB92" t="str">
        <v>Estados Unidos</v>
      </c>
      <c r="AC92" s="79">
        <f t="shared" ca="1" si="68"/>
        <v>0</v>
      </c>
      <c r="AD92" s="70"/>
      <c r="AE92" t="str">
        <v>Turquía</v>
      </c>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Estados Unidos</v>
      </c>
      <c r="T93" s="79">
        <f t="shared" ref="T93" ca="1" si="70">($M93=S93)*$D$12</f>
        <v>0</v>
      </c>
      <c r="U93" s="70"/>
      <c r="V93" t="str">
        <v>Paraguay</v>
      </c>
      <c r="W93" s="79">
        <f t="shared" ref="W93:AF93" ca="1" si="71">($M93=V93)*$D$12</f>
        <v>0</v>
      </c>
      <c r="X93" s="70"/>
      <c r="Y93" t="str">
        <v>Paraguay</v>
      </c>
      <c r="Z93" s="79">
        <f t="shared" ca="1" si="71"/>
        <v>0</v>
      </c>
      <c r="AA93" s="70"/>
      <c r="AB93" t="str">
        <v>Turquía</v>
      </c>
      <c r="AC93" s="79">
        <f t="shared" ca="1" si="71"/>
        <v>0</v>
      </c>
      <c r="AD93" s="70"/>
      <c r="AE93" t="str">
        <v>Estados Unidos</v>
      </c>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Paraguay</v>
      </c>
      <c r="T94" s="79">
        <f t="shared" ref="T94" ca="1" si="73">($M94=S94)*$D$13</f>
        <v>0</v>
      </c>
      <c r="U94" s="70"/>
      <c r="V94" t="str">
        <v>Estados Unidos</v>
      </c>
      <c r="W94" s="79">
        <f t="shared" ref="W94:AF94" ca="1" si="74">($M94=V94)*$D$13</f>
        <v>0</v>
      </c>
      <c r="X94" s="70"/>
      <c r="Y94" t="str">
        <v>Estados Unidos</v>
      </c>
      <c r="Z94" s="79">
        <f t="shared" ca="1" si="74"/>
        <v>0</v>
      </c>
      <c r="AA94" s="70"/>
      <c r="AB94" t="str">
        <v>Paraguay</v>
      </c>
      <c r="AC94" s="79">
        <f t="shared" ca="1" si="74"/>
        <v>0</v>
      </c>
      <c r="AD94" s="70"/>
      <c r="AE94" t="str">
        <v>Paraguay</v>
      </c>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Australia</v>
      </c>
      <c r="T95" s="79">
        <f t="shared" ref="T95" ca="1" si="76">($M95=S95)*$D$14</f>
        <v>0</v>
      </c>
      <c r="U95" s="70"/>
      <c r="V95" t="str">
        <v>Australia</v>
      </c>
      <c r="W95" s="79">
        <f t="shared" ref="W95:AF95" ca="1" si="77">($M95=V95)*$D$14</f>
        <v>0</v>
      </c>
      <c r="X95" s="70"/>
      <c r="Y95" t="str">
        <v>Australia</v>
      </c>
      <c r="Z95" s="79">
        <f t="shared" ca="1" si="77"/>
        <v>0</v>
      </c>
      <c r="AA95" s="70"/>
      <c r="AB95" t="str">
        <v>Australia</v>
      </c>
      <c r="AC95" s="79">
        <f t="shared" ca="1" si="77"/>
        <v>0</v>
      </c>
      <c r="AD95" s="70"/>
      <c r="AE95" t="str">
        <v>Australia</v>
      </c>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t="str">
        <v>Ecuador</v>
      </c>
      <c r="W96" s="79">
        <f t="shared" ref="W96:AF96" ca="1" si="80">($M96=V96)*$D$11</f>
        <v>0</v>
      </c>
      <c r="X96" s="70"/>
      <c r="Y96" t="str">
        <v>Alemania</v>
      </c>
      <c r="Z96" s="79">
        <f t="shared" ca="1" si="80"/>
        <v>0</v>
      </c>
      <c r="AA96" s="70"/>
      <c r="AB96" t="str">
        <v>Alemania</v>
      </c>
      <c r="AC96" s="79">
        <f t="shared" ca="1" si="80"/>
        <v>0</v>
      </c>
      <c r="AD96" s="70"/>
      <c r="AE96" t="str">
        <v>Alemania</v>
      </c>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Ecuador</v>
      </c>
      <c r="T97" s="79">
        <f t="shared" ref="T97" ca="1" si="82">($M97=S97)*$D$12</f>
        <v>0</v>
      </c>
      <c r="U97" s="70"/>
      <c r="V97" t="str">
        <v>Alemania</v>
      </c>
      <c r="W97" s="79">
        <f t="shared" ref="W97:AF97" ca="1" si="83">($M97=V97)*$D$12</f>
        <v>0</v>
      </c>
      <c r="X97" s="70"/>
      <c r="Y97" t="str">
        <v>Costa de Marfil</v>
      </c>
      <c r="Z97" s="79">
        <f t="shared" ca="1" si="83"/>
        <v>0</v>
      </c>
      <c r="AA97" s="70"/>
      <c r="AB97" t="str">
        <v>Costa de Marfil</v>
      </c>
      <c r="AC97" s="79">
        <f t="shared" ca="1" si="83"/>
        <v>0</v>
      </c>
      <c r="AD97" s="70"/>
      <c r="AE97" t="str">
        <v>Ecuador</v>
      </c>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Costa de Marfil</v>
      </c>
      <c r="T98" s="79">
        <f t="shared" ref="T98" ca="1" si="85">($M98=S98)*$D$13</f>
        <v>0</v>
      </c>
      <c r="U98" s="70"/>
      <c r="V98" t="str">
        <v>Costa de Marfil</v>
      </c>
      <c r="W98" s="79">
        <f t="shared" ref="W98:AF98" ca="1" si="86">($M98=V98)*$D$13</f>
        <v>0</v>
      </c>
      <c r="X98" s="70"/>
      <c r="Y98" t="str">
        <v>Ecuador</v>
      </c>
      <c r="Z98" s="79">
        <f t="shared" ca="1" si="86"/>
        <v>0</v>
      </c>
      <c r="AA98" s="70"/>
      <c r="AB98" t="str">
        <v>Ecuador</v>
      </c>
      <c r="AC98" s="79">
        <f t="shared" ca="1" si="86"/>
        <v>0</v>
      </c>
      <c r="AD98" s="70"/>
      <c r="AE98" t="str">
        <v>Costa de Marfil</v>
      </c>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t="str">
        <v>Curazao</v>
      </c>
      <c r="W99" s="79">
        <f t="shared" ref="W99:AF99" ca="1" si="89">($M99=V99)*$D$14</f>
        <v>0</v>
      </c>
      <c r="X99" s="70"/>
      <c r="Y99" t="str">
        <v>Curazao</v>
      </c>
      <c r="Z99" s="79">
        <f t="shared" ca="1" si="89"/>
        <v>0</v>
      </c>
      <c r="AA99" s="70"/>
      <c r="AB99" t="str">
        <v>Curazao</v>
      </c>
      <c r="AC99" s="79">
        <f t="shared" ca="1" si="89"/>
        <v>0</v>
      </c>
      <c r="AD99" s="70"/>
      <c r="AE99" t="str">
        <v>Curazao</v>
      </c>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t="str">
        <v>Países Bajos</v>
      </c>
      <c r="W100" s="79">
        <f t="shared" ref="W100:AF100" ca="1" si="92">($M100=V100)*$D$11</f>
        <v>0</v>
      </c>
      <c r="X100" s="70"/>
      <c r="Y100" t="str">
        <v>Países Bajos</v>
      </c>
      <c r="Z100" s="79">
        <f t="shared" ca="1" si="92"/>
        <v>0</v>
      </c>
      <c r="AA100" s="70"/>
      <c r="AB100" t="str">
        <v>Países Bajos</v>
      </c>
      <c r="AC100" s="79">
        <f t="shared" ca="1" si="92"/>
        <v>0</v>
      </c>
      <c r="AD100" s="70"/>
      <c r="AE100" t="str">
        <v>Países Bajos</v>
      </c>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Japón</v>
      </c>
      <c r="T101" s="79">
        <f t="shared" ref="T101" ca="1" si="94">($M101=S101)*$D$12</f>
        <v>0</v>
      </c>
      <c r="U101" s="70"/>
      <c r="V101" t="str">
        <v>Japón</v>
      </c>
      <c r="W101" s="79">
        <f t="shared" ref="W101:AF101" ca="1" si="95">($M101=V101)*$D$12</f>
        <v>0</v>
      </c>
      <c r="X101" s="70"/>
      <c r="Y101" t="str">
        <v>Japón</v>
      </c>
      <c r="Z101" s="79">
        <f t="shared" ca="1" si="95"/>
        <v>0</v>
      </c>
      <c r="AA101" s="70"/>
      <c r="AB101" t="str">
        <v>Japón</v>
      </c>
      <c r="AC101" s="79">
        <f t="shared" ca="1" si="95"/>
        <v>0</v>
      </c>
      <c r="AD101" s="70"/>
      <c r="AE101" t="str">
        <v>Suecia</v>
      </c>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Túnez</v>
      </c>
      <c r="T102" s="79">
        <f t="shared" ref="T102" ca="1" si="97">($M102=S102)*$D$13</f>
        <v>0</v>
      </c>
      <c r="U102" s="70"/>
      <c r="V102" t="str">
        <v>Suecia</v>
      </c>
      <c r="W102" s="79">
        <f t="shared" ref="W102:AF102" ca="1" si="98">($M102=V102)*$D$13</f>
        <v>0</v>
      </c>
      <c r="X102" s="70"/>
      <c r="Y102" t="str">
        <v>Túnez</v>
      </c>
      <c r="Z102" s="79">
        <f t="shared" ca="1" si="98"/>
        <v>0</v>
      </c>
      <c r="AA102" s="70"/>
      <c r="AB102" t="str">
        <v>Suecia</v>
      </c>
      <c r="AC102" s="79">
        <f t="shared" ca="1" si="98"/>
        <v>0</v>
      </c>
      <c r="AD102" s="70"/>
      <c r="AE102" t="str">
        <v>Japón</v>
      </c>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Suecia</v>
      </c>
      <c r="T103" s="79">
        <f t="shared" ref="T103" ca="1" si="100">($M103=S103)*$D$14</f>
        <v>0</v>
      </c>
      <c r="U103" s="70"/>
      <c r="V103" t="str">
        <v>Túnez</v>
      </c>
      <c r="W103" s="79">
        <f t="shared" ref="W103:AF103" ca="1" si="101">($M103=V103)*$D$14</f>
        <v>0</v>
      </c>
      <c r="X103" s="70"/>
      <c r="Y103" t="str">
        <v>Suecia</v>
      </c>
      <c r="Z103" s="79">
        <f t="shared" ca="1" si="101"/>
        <v>0</v>
      </c>
      <c r="AA103" s="70"/>
      <c r="AB103" t="str">
        <v>Túnez</v>
      </c>
      <c r="AC103" s="79">
        <f t="shared" ca="1" si="101"/>
        <v>0</v>
      </c>
      <c r="AD103" s="70"/>
      <c r="AE103" t="str">
        <v>Túnez</v>
      </c>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t="str">
        <v>Bélgica</v>
      </c>
      <c r="W104" s="79">
        <f t="shared" ref="W104:AF104" ca="1" si="104">($M104=V104)*$D$11</f>
        <v>0</v>
      </c>
      <c r="X104" s="70"/>
      <c r="Y104" t="str">
        <v>Bélgica</v>
      </c>
      <c r="Z104" s="79">
        <f t="shared" ca="1" si="104"/>
        <v>0</v>
      </c>
      <c r="AA104" s="70"/>
      <c r="AB104" t="str">
        <v>Bélgica</v>
      </c>
      <c r="AC104" s="79">
        <f t="shared" ca="1" si="104"/>
        <v>0</v>
      </c>
      <c r="AD104" s="70"/>
      <c r="AE104" t="str">
        <v>Bélgica</v>
      </c>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t="str">
        <v>Egipto</v>
      </c>
      <c r="W105" s="79">
        <f t="shared" ref="W105:AF105" ca="1" si="107">($M105=V105)*$D$12</f>
        <v>0</v>
      </c>
      <c r="X105" s="70"/>
      <c r="Y105" t="str">
        <v>Egipto</v>
      </c>
      <c r="Z105" s="79">
        <f t="shared" ca="1" si="107"/>
        <v>0</v>
      </c>
      <c r="AA105" s="70"/>
      <c r="AB105" t="str">
        <v>Egipto</v>
      </c>
      <c r="AC105" s="79">
        <f t="shared" ca="1" si="107"/>
        <v>0</v>
      </c>
      <c r="AD105" s="70"/>
      <c r="AE105" t="str">
        <v>Irán</v>
      </c>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Irán</v>
      </c>
      <c r="T106" s="79">
        <f t="shared" ref="T106" ca="1" si="109">($M106=S106)*$D$13</f>
        <v>0</v>
      </c>
      <c r="U106" s="70"/>
      <c r="V106" t="str">
        <v>Irán</v>
      </c>
      <c r="W106" s="79">
        <f t="shared" ref="W106:AF106" ca="1" si="110">($M106=V106)*$D$13</f>
        <v>0</v>
      </c>
      <c r="X106" s="70"/>
      <c r="Y106" t="str">
        <v>Irán</v>
      </c>
      <c r="Z106" s="79">
        <f t="shared" ca="1" si="110"/>
        <v>0</v>
      </c>
      <c r="AA106" s="70"/>
      <c r="AB106" t="str">
        <v>Irán</v>
      </c>
      <c r="AC106" s="79">
        <f t="shared" ca="1" si="110"/>
        <v>0</v>
      </c>
      <c r="AD106" s="70"/>
      <c r="AE106" t="str">
        <v>Egipto</v>
      </c>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Nueva Zelanda</v>
      </c>
      <c r="T107" s="79">
        <f t="shared" ref="T107" ca="1" si="112">($M107=S107)*$D$14</f>
        <v>0</v>
      </c>
      <c r="U107" s="70"/>
      <c r="V107" t="str">
        <v>Nueva Zelanda</v>
      </c>
      <c r="W107" s="79">
        <f t="shared" ref="W107:AF107" ca="1" si="113">($M107=V107)*$D$14</f>
        <v>0</v>
      </c>
      <c r="X107" s="70"/>
      <c r="Y107" t="str">
        <v>Nueva Zelanda</v>
      </c>
      <c r="Z107" s="79">
        <f t="shared" ca="1" si="113"/>
        <v>0</v>
      </c>
      <c r="AA107" s="70"/>
      <c r="AB107" t="str">
        <v>Nueva Zelanda</v>
      </c>
      <c r="AC107" s="79">
        <f t="shared" ca="1" si="113"/>
        <v>0</v>
      </c>
      <c r="AD107" s="70"/>
      <c r="AE107" t="str">
        <v>Nueva Zelanda</v>
      </c>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t="str">
        <v>España</v>
      </c>
      <c r="W108" s="79">
        <f t="shared" ref="W108:AF108" ca="1" si="116">($M108=V108)*$D$11</f>
        <v>0</v>
      </c>
      <c r="X108" s="70"/>
      <c r="Y108" t="str">
        <v>Uruguay</v>
      </c>
      <c r="Z108" s="79">
        <f t="shared" ca="1" si="116"/>
        <v>0</v>
      </c>
      <c r="AA108" s="70"/>
      <c r="AB108" t="str">
        <v>España</v>
      </c>
      <c r="AC108" s="79">
        <f t="shared" ca="1" si="116"/>
        <v>0</v>
      </c>
      <c r="AD108" s="70"/>
      <c r="AE108" t="str">
        <v>España</v>
      </c>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t="str">
        <v>Uruguay</v>
      </c>
      <c r="W109" s="79">
        <f t="shared" ref="W109:AF109" ca="1" si="119">($M109=V109)*$D$12</f>
        <v>0</v>
      </c>
      <c r="X109" s="70"/>
      <c r="Y109" t="str">
        <v>España</v>
      </c>
      <c r="Z109" s="79">
        <f t="shared" ca="1" si="119"/>
        <v>0</v>
      </c>
      <c r="AA109" s="70"/>
      <c r="AB109" t="str">
        <v>Uruguay</v>
      </c>
      <c r="AC109" s="79">
        <f t="shared" ca="1" si="119"/>
        <v>0</v>
      </c>
      <c r="AD109" s="70"/>
      <c r="AE109" t="str">
        <v>Uruguay</v>
      </c>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t="str">
        <v>Arabia Saudita</v>
      </c>
      <c r="W110" s="79">
        <f t="shared" ref="W110:AF110" ca="1" si="122">($M110=V110)*$D$13</f>
        <v>0</v>
      </c>
      <c r="X110" s="70"/>
      <c r="Y110" t="str">
        <v>Arabia Saudita</v>
      </c>
      <c r="Z110" s="79">
        <f t="shared" ca="1" si="122"/>
        <v>0</v>
      </c>
      <c r="AA110" s="70"/>
      <c r="AB110" t="str">
        <v>Arabia Saudita</v>
      </c>
      <c r="AC110" s="79">
        <f t="shared" ca="1" si="122"/>
        <v>0</v>
      </c>
      <c r="AD110" s="70"/>
      <c r="AE110" t="str">
        <v>Arabia Saudita</v>
      </c>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t="str">
        <v>Cabo Verde</v>
      </c>
      <c r="W111" s="79">
        <f t="shared" ref="W111:AF111" ca="1" si="125">($M111=V111)*$D$14</f>
        <v>0</v>
      </c>
      <c r="X111" s="70"/>
      <c r="Y111" t="str">
        <v>Cabo Verde</v>
      </c>
      <c r="Z111" s="79">
        <f t="shared" ca="1" si="125"/>
        <v>0</v>
      </c>
      <c r="AA111" s="70"/>
      <c r="AB111" t="str">
        <v>Cabo Verde</v>
      </c>
      <c r="AC111" s="79">
        <f t="shared" ca="1" si="125"/>
        <v>0</v>
      </c>
      <c r="AD111" s="70"/>
      <c r="AE111" t="str">
        <v>Cabo Verde</v>
      </c>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t="str">
        <v>Francia</v>
      </c>
      <c r="W112" s="79">
        <f t="shared" ref="W112:AF112" ca="1" si="128">($M112=V112)*$D$11</f>
        <v>0</v>
      </c>
      <c r="X112" s="70"/>
      <c r="Y112" t="str">
        <v>Francia</v>
      </c>
      <c r="Z112" s="79">
        <f t="shared" ca="1" si="128"/>
        <v>0</v>
      </c>
      <c r="AA112" s="70"/>
      <c r="AB112" t="str">
        <v>Francia</v>
      </c>
      <c r="AC112" s="79">
        <f t="shared" ca="1" si="128"/>
        <v>0</v>
      </c>
      <c r="AD112" s="70"/>
      <c r="AE112" t="str">
        <v>Francia</v>
      </c>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t="str">
        <v>Noruega</v>
      </c>
      <c r="W113" s="79">
        <f t="shared" ref="W113:AF113" ca="1" si="131">($M113=V113)*$D$12</f>
        <v>0</v>
      </c>
      <c r="X113" s="70"/>
      <c r="Y113" t="str">
        <v>Noruega</v>
      </c>
      <c r="Z113" s="79">
        <f t="shared" ca="1" si="131"/>
        <v>0</v>
      </c>
      <c r="AA113" s="70"/>
      <c r="AB113" t="str">
        <v>Senegal</v>
      </c>
      <c r="AC113" s="79">
        <f t="shared" ca="1" si="131"/>
        <v>0</v>
      </c>
      <c r="AD113" s="70"/>
      <c r="AE113" t="str">
        <v>Noruega</v>
      </c>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t="str">
        <v>Senegal</v>
      </c>
      <c r="W114" s="79">
        <f t="shared" ref="W114:AF114" ca="1" si="134">($M114=V114)*$D$13</f>
        <v>0</v>
      </c>
      <c r="X114" s="70"/>
      <c r="Y114" t="str">
        <v>Senegal</v>
      </c>
      <c r="Z114" s="79">
        <f t="shared" ca="1" si="134"/>
        <v>0</v>
      </c>
      <c r="AA114" s="70"/>
      <c r="AB114" t="str">
        <v>Noruega</v>
      </c>
      <c r="AC114" s="79">
        <f t="shared" ca="1" si="134"/>
        <v>0</v>
      </c>
      <c r="AD114" s="70"/>
      <c r="AE114" t="str">
        <v>Senegal</v>
      </c>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t="str">
        <v>Irak</v>
      </c>
      <c r="W115" s="79">
        <f t="shared" ref="W115:AF115" ca="1" si="137">($M115=V115)*$D$14</f>
        <v>0</v>
      </c>
      <c r="X115" s="70"/>
      <c r="Y115" t="str">
        <v>Irak</v>
      </c>
      <c r="Z115" s="79">
        <f t="shared" ca="1" si="137"/>
        <v>0</v>
      </c>
      <c r="AA115" s="70"/>
      <c r="AB115" t="str">
        <v>Irak</v>
      </c>
      <c r="AC115" s="79">
        <f t="shared" ca="1" si="137"/>
        <v>0</v>
      </c>
      <c r="AD115" s="70"/>
      <c r="AE115" t="str">
        <v>Irak</v>
      </c>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t="str">
        <v>Austria</v>
      </c>
      <c r="W116" s="79">
        <f t="shared" ref="W116:AF116" ca="1" si="140">($M116=V116)*$D$11</f>
        <v>0</v>
      </c>
      <c r="X116" s="70"/>
      <c r="Y116" t="str">
        <v>Argentina</v>
      </c>
      <c r="Z116" s="79">
        <f t="shared" ca="1" si="140"/>
        <v>0</v>
      </c>
      <c r="AA116" s="70"/>
      <c r="AB116" t="str">
        <v>Argentina</v>
      </c>
      <c r="AC116" s="79">
        <f t="shared" ca="1" si="140"/>
        <v>0</v>
      </c>
      <c r="AD116" s="70"/>
      <c r="AE116" t="str">
        <v>Argentina</v>
      </c>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t="str">
        <v>Argentina</v>
      </c>
      <c r="W117" s="79">
        <f t="shared" ref="W117:AF117" ca="1" si="143">($M117=V117)*$D$12</f>
        <v>0</v>
      </c>
      <c r="X117" s="70"/>
      <c r="Y117" t="str">
        <v>Argelia</v>
      </c>
      <c r="Z117" s="79">
        <f t="shared" ca="1" si="143"/>
        <v>0</v>
      </c>
      <c r="AA117" s="70"/>
      <c r="AB117" t="str">
        <v>Austria</v>
      </c>
      <c r="AC117" s="79">
        <f t="shared" ca="1" si="143"/>
        <v>0</v>
      </c>
      <c r="AD117" s="70"/>
      <c r="AE117" t="str">
        <v>Austria</v>
      </c>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t="str">
        <v>Argelia</v>
      </c>
      <c r="W118" s="79">
        <f t="shared" ref="W118:AF118" ca="1" si="146">($M118=V118)*$D$13</f>
        <v>0</v>
      </c>
      <c r="X118" s="70"/>
      <c r="Y118" t="str">
        <v>Austria</v>
      </c>
      <c r="Z118" s="79">
        <f t="shared" ca="1" si="146"/>
        <v>0</v>
      </c>
      <c r="AA118" s="70"/>
      <c r="AB118" t="str">
        <v>Argelia</v>
      </c>
      <c r="AC118" s="79">
        <f t="shared" ca="1" si="146"/>
        <v>0</v>
      </c>
      <c r="AD118" s="70"/>
      <c r="AE118" t="str">
        <v>Argelia</v>
      </c>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t="str">
        <v>Jordania</v>
      </c>
      <c r="W119" s="79">
        <f t="shared" ref="W119:AF119" ca="1" si="149">($M119=V119)*$D$14</f>
        <v>0</v>
      </c>
      <c r="X119" s="70"/>
      <c r="Y119" t="str">
        <v>Jordania</v>
      </c>
      <c r="Z119" s="79">
        <f t="shared" ca="1" si="149"/>
        <v>0</v>
      </c>
      <c r="AA119" s="70"/>
      <c r="AB119" t="str">
        <v>Jordania</v>
      </c>
      <c r="AC119" s="79">
        <f t="shared" ca="1" si="149"/>
        <v>0</v>
      </c>
      <c r="AD119" s="70"/>
      <c r="AE119" t="str">
        <v>Jordania</v>
      </c>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Colombia</v>
      </c>
      <c r="T120" s="79">
        <f t="shared" ref="T120" ca="1" si="151">($M120=S120)*$D$11</f>
        <v>0</v>
      </c>
      <c r="U120" s="70"/>
      <c r="V120" t="str">
        <v>Portugal</v>
      </c>
      <c r="W120" s="79">
        <f t="shared" ref="W120:AF120" ca="1" si="152">($M120=V120)*$D$11</f>
        <v>0</v>
      </c>
      <c r="X120" s="70"/>
      <c r="Y120" t="str">
        <v>Colombia</v>
      </c>
      <c r="Z120" s="79">
        <f t="shared" ca="1" si="152"/>
        <v>0</v>
      </c>
      <c r="AA120" s="70"/>
      <c r="AB120" t="str">
        <v>Portugal</v>
      </c>
      <c r="AC120" s="79">
        <f t="shared" ca="1" si="152"/>
        <v>0</v>
      </c>
      <c r="AD120" s="70"/>
      <c r="AE120" t="str">
        <v>Portugal</v>
      </c>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Portugal</v>
      </c>
      <c r="T121" s="79">
        <f t="shared" ref="T121" ca="1" si="154">($M121=S121)*$D$12</f>
        <v>0</v>
      </c>
      <c r="U121" s="70"/>
      <c r="V121" t="str">
        <v>Colombia</v>
      </c>
      <c r="W121" s="79">
        <f t="shared" ref="W121:AF121" ca="1" si="155">($M121=V121)*$D$12</f>
        <v>0</v>
      </c>
      <c r="X121" s="70"/>
      <c r="Y121" t="str">
        <v>Portugal</v>
      </c>
      <c r="Z121" s="79">
        <f t="shared" ca="1" si="155"/>
        <v>0</v>
      </c>
      <c r="AA121" s="70"/>
      <c r="AB121" t="str">
        <v>Colombia</v>
      </c>
      <c r="AC121" s="79">
        <f t="shared" ca="1" si="155"/>
        <v>0</v>
      </c>
      <c r="AD121" s="70"/>
      <c r="AE121" t="str">
        <v>Colombia</v>
      </c>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RD Congo</v>
      </c>
      <c r="T122" s="79">
        <f t="shared" ref="T122" ca="1" si="157">($M122=S122)*$D$13</f>
        <v>0</v>
      </c>
      <c r="U122" s="70"/>
      <c r="V122" t="str">
        <v>RD Congo</v>
      </c>
      <c r="W122" s="79">
        <f t="shared" ref="W122:AF122" ca="1" si="158">($M122=V122)*$D$13</f>
        <v>0</v>
      </c>
      <c r="X122" s="70"/>
      <c r="Y122" t="str">
        <v>RD Congo</v>
      </c>
      <c r="Z122" s="79">
        <f t="shared" ca="1" si="158"/>
        <v>0</v>
      </c>
      <c r="AA122" s="70"/>
      <c r="AB122" t="str">
        <v>Uzbekistán</v>
      </c>
      <c r="AC122" s="79">
        <f t="shared" ca="1" si="158"/>
        <v>0</v>
      </c>
      <c r="AD122" s="70"/>
      <c r="AE122" t="str">
        <v>Uzbekistán</v>
      </c>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Uzbekistán</v>
      </c>
      <c r="T123" s="79">
        <f t="shared" ref="T123" ca="1" si="160">($M123=S123)*$D$14</f>
        <v>0</v>
      </c>
      <c r="U123" s="70"/>
      <c r="V123" t="str">
        <v>Uzbekistán</v>
      </c>
      <c r="W123" s="79">
        <f t="shared" ref="W123:AF123" ca="1" si="161">($M123=V123)*$D$14</f>
        <v>0</v>
      </c>
      <c r="X123" s="70"/>
      <c r="Y123" t="str">
        <v>Uzbekistán</v>
      </c>
      <c r="Z123" s="79">
        <f t="shared" ca="1" si="161"/>
        <v>0</v>
      </c>
      <c r="AA123" s="70"/>
      <c r="AB123" t="str">
        <v>RD Congo</v>
      </c>
      <c r="AC123" s="79">
        <f t="shared" ca="1" si="161"/>
        <v>0</v>
      </c>
      <c r="AD123" s="70"/>
      <c r="AE123" t="str">
        <v>RD Congo</v>
      </c>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t="str">
        <v>Inglaterra</v>
      </c>
      <c r="W124" s="79">
        <f t="shared" ref="W124:AF124" ca="1" si="164">($M124=V124)*$D$11</f>
        <v>0</v>
      </c>
      <c r="X124" s="70"/>
      <c r="Y124" t="str">
        <v>Inglaterra</v>
      </c>
      <c r="Z124" s="79">
        <f t="shared" ca="1" si="164"/>
        <v>0</v>
      </c>
      <c r="AA124" s="70"/>
      <c r="AB124" t="str">
        <v>Inglaterra</v>
      </c>
      <c r="AC124" s="79">
        <f t="shared" ca="1" si="164"/>
        <v>0</v>
      </c>
      <c r="AD124" s="70"/>
      <c r="AE124" t="str">
        <v>Inglaterra</v>
      </c>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t="str">
        <v>Ghana</v>
      </c>
      <c r="W125" s="79">
        <f t="shared" ref="W125:AF125" ca="1" si="167">($M125=V125)*$D$12</f>
        <v>0</v>
      </c>
      <c r="X125" s="70"/>
      <c r="Y125" t="str">
        <v>Croacia</v>
      </c>
      <c r="Z125" s="79">
        <f t="shared" ca="1" si="167"/>
        <v>0</v>
      </c>
      <c r="AA125" s="70"/>
      <c r="AB125" t="str">
        <v>Croacia</v>
      </c>
      <c r="AC125" s="79">
        <f t="shared" ca="1" si="167"/>
        <v>0</v>
      </c>
      <c r="AD125" s="70"/>
      <c r="AE125" t="str">
        <v>Croacia</v>
      </c>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Panamá</v>
      </c>
      <c r="T126" s="79">
        <f t="shared" ref="T126" ca="1" si="169">($M126=S126)*$D$13</f>
        <v>0</v>
      </c>
      <c r="U126" s="70"/>
      <c r="V126" t="str">
        <v>Croacia</v>
      </c>
      <c r="W126" s="79">
        <f t="shared" ref="W126:AF126" ca="1" si="170">($M126=V126)*$D$13</f>
        <v>0</v>
      </c>
      <c r="X126" s="70"/>
      <c r="Y126" t="str">
        <v>Ghana</v>
      </c>
      <c r="Z126" s="79">
        <f t="shared" ca="1" si="170"/>
        <v>0</v>
      </c>
      <c r="AA126" s="70"/>
      <c r="AB126" t="str">
        <v>Ghana</v>
      </c>
      <c r="AC126" s="79">
        <f t="shared" ca="1" si="170"/>
        <v>0</v>
      </c>
      <c r="AD126" s="70"/>
      <c r="AE126" t="str">
        <v>Ghana</v>
      </c>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Ghana</v>
      </c>
      <c r="T127" s="87">
        <f t="shared" ref="T127" ca="1" si="172">($M127=S127)*$D$14</f>
        <v>0</v>
      </c>
      <c r="U127" s="70"/>
      <c r="V127" t="str">
        <v>Panamá</v>
      </c>
      <c r="W127" s="87">
        <f t="shared" ref="W127:AF127" ca="1" si="173">($M127=V127)*$D$14</f>
        <v>0</v>
      </c>
      <c r="X127" s="70"/>
      <c r="Y127" t="str">
        <v>Panamá</v>
      </c>
      <c r="Z127" s="87">
        <f t="shared" ca="1" si="173"/>
        <v>0</v>
      </c>
      <c r="AA127" s="70"/>
      <c r="AB127" t="str">
        <v>Panamá</v>
      </c>
      <c r="AC127" s="87">
        <f t="shared" ca="1" si="173"/>
        <v>0</v>
      </c>
      <c r="AD127" s="70"/>
      <c r="AE127" t="str">
        <v>Panamá</v>
      </c>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México</v>
      </c>
      <c r="T130" s="83">
        <f t="shared" ref="T130:T161" ca="1" si="178">COUNTIF($M$130:$M$161,S130)*$D$15</f>
        <v>0</v>
      </c>
      <c r="U130" s="70"/>
      <c r="V130" t="str">
        <v>República Checa</v>
      </c>
      <c r="W130" s="83">
        <f t="shared" ref="W130:W161" ca="1" si="179">COUNTIF($M$130:$M$161,V130)*$D$15</f>
        <v>0</v>
      </c>
      <c r="X130" s="70"/>
      <c r="Y130" t="str">
        <v>República Checa</v>
      </c>
      <c r="Z130" s="83">
        <f t="shared" ref="Z130:Z161" ca="1" si="180">COUNTIF($M$130:$M$161,Y130)*$D$15</f>
        <v>0</v>
      </c>
      <c r="AA130" s="70"/>
      <c r="AB130" t="str">
        <v>Corea del Sur</v>
      </c>
      <c r="AC130" s="83">
        <f t="shared" ref="AC130:AC161" ca="1" si="181">COUNTIF($M$130:$M$161,AB130)*$D$15</f>
        <v>0</v>
      </c>
      <c r="AD130" s="70"/>
      <c r="AE130" t="str">
        <v>Corea del Sur</v>
      </c>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t="str">
        <v>Brasil</v>
      </c>
      <c r="W131" s="79">
        <f t="shared" ca="1" si="179"/>
        <v>0</v>
      </c>
      <c r="X131" s="70"/>
      <c r="Y131" t="str">
        <v>Brasil</v>
      </c>
      <c r="Z131" s="79">
        <f t="shared" ca="1" si="180"/>
        <v>0</v>
      </c>
      <c r="AA131" s="70"/>
      <c r="AB131" t="str">
        <v>Brasil</v>
      </c>
      <c r="AC131" s="79">
        <f t="shared" ca="1" si="181"/>
        <v>0</v>
      </c>
      <c r="AD131" s="70"/>
      <c r="AE131" t="str">
        <v>Brasil</v>
      </c>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t="str">
        <v>Ecuador</v>
      </c>
      <c r="W132" s="79">
        <f t="shared" ca="1" si="179"/>
        <v>0</v>
      </c>
      <c r="X132" s="70"/>
      <c r="Y132" t="str">
        <v>Alemania</v>
      </c>
      <c r="Z132" s="79">
        <f t="shared" ca="1" si="180"/>
        <v>0</v>
      </c>
      <c r="AA132" s="70"/>
      <c r="AB132" t="str">
        <v>Alemania</v>
      </c>
      <c r="AC132" s="79">
        <f t="shared" ca="1" si="181"/>
        <v>0</v>
      </c>
      <c r="AD132" s="70"/>
      <c r="AE132" t="str">
        <v>Alemania</v>
      </c>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t="str">
        <v>Países Bajos</v>
      </c>
      <c r="W133" s="79">
        <f t="shared" ca="1" si="179"/>
        <v>0</v>
      </c>
      <c r="X133" s="70"/>
      <c r="Y133" t="str">
        <v>Países Bajos</v>
      </c>
      <c r="Z133" s="79">
        <f t="shared" ca="1" si="180"/>
        <v>0</v>
      </c>
      <c r="AA133" s="70"/>
      <c r="AB133" t="str">
        <v>Países Bajos</v>
      </c>
      <c r="AC133" s="79">
        <f t="shared" ca="1" si="181"/>
        <v>0</v>
      </c>
      <c r="AD133" s="70"/>
      <c r="AE133" t="str">
        <v>Países Bajos</v>
      </c>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Ecuador</v>
      </c>
      <c r="T134" s="79">
        <f t="shared" ca="1" si="178"/>
        <v>0</v>
      </c>
      <c r="U134" s="70"/>
      <c r="V134" t="str">
        <v>Alemania</v>
      </c>
      <c r="W134" s="79">
        <f t="shared" ca="1" si="179"/>
        <v>0</v>
      </c>
      <c r="X134" s="70"/>
      <c r="Y134" t="str">
        <v>Costa de Marfil</v>
      </c>
      <c r="Z134" s="79">
        <f t="shared" ca="1" si="180"/>
        <v>0</v>
      </c>
      <c r="AA134" s="70"/>
      <c r="AB134" t="str">
        <v>Costa de Marfil</v>
      </c>
      <c r="AC134" s="79">
        <f t="shared" ca="1" si="181"/>
        <v>0</v>
      </c>
      <c r="AD134" s="70"/>
      <c r="AE134" t="str">
        <v>Ecuador</v>
      </c>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t="str">
        <v>Francia</v>
      </c>
      <c r="W135" s="79">
        <f t="shared" ca="1" si="179"/>
        <v>0</v>
      </c>
      <c r="X135" s="70"/>
      <c r="Y135" t="str">
        <v>Francia</v>
      </c>
      <c r="Z135" s="79">
        <f t="shared" ca="1" si="180"/>
        <v>0</v>
      </c>
      <c r="AA135" s="70"/>
      <c r="AB135" t="str">
        <v>Francia</v>
      </c>
      <c r="AC135" s="79">
        <f t="shared" ca="1" si="181"/>
        <v>0</v>
      </c>
      <c r="AD135" s="70"/>
      <c r="AE135" t="str">
        <v>Francia</v>
      </c>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República Checa</v>
      </c>
      <c r="T136" s="79">
        <f t="shared" ca="1" si="178"/>
        <v>0</v>
      </c>
      <c r="U136" s="70"/>
      <c r="V136" t="str">
        <v>México</v>
      </c>
      <c r="W136" s="79">
        <f t="shared" ca="1" si="179"/>
        <v>0</v>
      </c>
      <c r="X136" s="70"/>
      <c r="Y136" t="str">
        <v>Corea del Sur</v>
      </c>
      <c r="Z136" s="79">
        <f t="shared" ca="1" si="180"/>
        <v>0</v>
      </c>
      <c r="AA136" s="70"/>
      <c r="AB136" t="str">
        <v>México</v>
      </c>
      <c r="AC136" s="79">
        <f t="shared" ca="1" si="181"/>
        <v>0</v>
      </c>
      <c r="AD136" s="70"/>
      <c r="AE136" t="str">
        <v>México</v>
      </c>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t="str">
        <v>Inglaterra</v>
      </c>
      <c r="W137" s="79">
        <f t="shared" ca="1" si="179"/>
        <v>0</v>
      </c>
      <c r="X137" s="70"/>
      <c r="Y137" t="str">
        <v>Inglaterra</v>
      </c>
      <c r="Z137" s="79">
        <f t="shared" ca="1" si="180"/>
        <v>0</v>
      </c>
      <c r="AA137" s="70"/>
      <c r="AB137" t="str">
        <v>Inglaterra</v>
      </c>
      <c r="AC137" s="79">
        <f t="shared" ca="1" si="181"/>
        <v>0</v>
      </c>
      <c r="AD137" s="70"/>
      <c r="AE137" t="str">
        <v>Inglaterra</v>
      </c>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t="str">
        <v>Bélgica</v>
      </c>
      <c r="W138" s="79">
        <f t="shared" ca="1" si="179"/>
        <v>0</v>
      </c>
      <c r="X138" s="70"/>
      <c r="Y138" t="str">
        <v>Bélgica</v>
      </c>
      <c r="Z138" s="79">
        <f t="shared" ca="1" si="180"/>
        <v>0</v>
      </c>
      <c r="AA138" s="70"/>
      <c r="AB138" t="str">
        <v>Bélgica</v>
      </c>
      <c r="AC138" s="79">
        <f t="shared" ca="1" si="181"/>
        <v>0</v>
      </c>
      <c r="AD138" s="70"/>
      <c r="AE138" t="str">
        <v>Bélgica</v>
      </c>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Turquía</v>
      </c>
      <c r="T139" s="79">
        <f t="shared" ca="1" si="178"/>
        <v>0</v>
      </c>
      <c r="U139" s="70"/>
      <c r="V139" t="str">
        <v>Turquía</v>
      </c>
      <c r="W139" s="79">
        <f t="shared" ca="1" si="179"/>
        <v>0</v>
      </c>
      <c r="X139" s="70"/>
      <c r="Y139" t="str">
        <v>Turquía</v>
      </c>
      <c r="Z139" s="79">
        <f t="shared" ca="1" si="180"/>
        <v>0</v>
      </c>
      <c r="AA139" s="70"/>
      <c r="AB139" t="str">
        <v>Estados Unidos</v>
      </c>
      <c r="AC139" s="79">
        <f t="shared" ca="1" si="181"/>
        <v>0</v>
      </c>
      <c r="AD139" s="70"/>
      <c r="AE139" t="str">
        <v>Turquía</v>
      </c>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t="str">
        <v>España</v>
      </c>
      <c r="W140" s="79">
        <f t="shared" ca="1" si="179"/>
        <v>0</v>
      </c>
      <c r="X140" s="70"/>
      <c r="Y140" t="str">
        <v>Uruguay</v>
      </c>
      <c r="Z140" s="79">
        <f t="shared" ca="1" si="180"/>
        <v>0</v>
      </c>
      <c r="AA140" s="70"/>
      <c r="AB140" t="str">
        <v>España</v>
      </c>
      <c r="AC140" s="79">
        <f t="shared" ca="1" si="181"/>
        <v>0</v>
      </c>
      <c r="AD140" s="70"/>
      <c r="AE140" t="str">
        <v>España</v>
      </c>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Portugal</v>
      </c>
      <c r="T141" s="79">
        <f t="shared" ca="1" si="178"/>
        <v>0</v>
      </c>
      <c r="U141" s="70"/>
      <c r="V141" t="str">
        <v>Colombia</v>
      </c>
      <c r="W141" s="79">
        <f t="shared" ca="1" si="179"/>
        <v>0</v>
      </c>
      <c r="X141" s="70"/>
      <c r="Y141" t="str">
        <v>Portugal</v>
      </c>
      <c r="Z141" s="79">
        <f t="shared" ca="1" si="180"/>
        <v>0</v>
      </c>
      <c r="AA141" s="70"/>
      <c r="AB141" t="str">
        <v>Colombia</v>
      </c>
      <c r="AC141" s="79">
        <f t="shared" ca="1" si="181"/>
        <v>0</v>
      </c>
      <c r="AD141" s="70"/>
      <c r="AE141" t="str">
        <v>Colombia</v>
      </c>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t="str">
        <v>Suiza</v>
      </c>
      <c r="W142" s="79">
        <f t="shared" ca="1" si="179"/>
        <v>0</v>
      </c>
      <c r="X142" s="70"/>
      <c r="Y142" t="str">
        <v>Suiza</v>
      </c>
      <c r="Z142" s="79">
        <f t="shared" ca="1" si="180"/>
        <v>0</v>
      </c>
      <c r="AA142" s="70"/>
      <c r="AB142" t="str">
        <v>Suiza</v>
      </c>
      <c r="AC142" s="79">
        <f t="shared" ca="1" si="181"/>
        <v>0</v>
      </c>
      <c r="AD142" s="70"/>
      <c r="AE142" t="str">
        <v>Suiza</v>
      </c>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Estados Unidos</v>
      </c>
      <c r="T143" s="79">
        <f t="shared" ca="1" si="178"/>
        <v>0</v>
      </c>
      <c r="U143" s="70"/>
      <c r="V143" t="str">
        <v>Paraguay</v>
      </c>
      <c r="W143" s="79">
        <f t="shared" ca="1" si="179"/>
        <v>0</v>
      </c>
      <c r="X143" s="70"/>
      <c r="Y143" t="str">
        <v>Paraguay</v>
      </c>
      <c r="Z143" s="79">
        <f t="shared" ca="1" si="180"/>
        <v>0</v>
      </c>
      <c r="AA143" s="70"/>
      <c r="AB143" t="str">
        <v>Turquía</v>
      </c>
      <c r="AC143" s="79">
        <f t="shared" ca="1" si="181"/>
        <v>0</v>
      </c>
      <c r="AD143" s="70"/>
      <c r="AE143" t="str">
        <v>Estados Unidos</v>
      </c>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t="str">
        <v>Austria</v>
      </c>
      <c r="W144" s="79">
        <f t="shared" ca="1" si="179"/>
        <v>0</v>
      </c>
      <c r="X144" s="70"/>
      <c r="Y144" t="str">
        <v>Argentina</v>
      </c>
      <c r="Z144" s="79">
        <f t="shared" ca="1" si="180"/>
        <v>0</v>
      </c>
      <c r="AA144" s="70"/>
      <c r="AB144" t="str">
        <v>Argentina</v>
      </c>
      <c r="AC144" s="79">
        <f t="shared" ca="1" si="181"/>
        <v>0</v>
      </c>
      <c r="AD144" s="70"/>
      <c r="AE144" t="str">
        <v>Argentina</v>
      </c>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Colombia</v>
      </c>
      <c r="T145" s="79">
        <f t="shared" ca="1" si="178"/>
        <v>0</v>
      </c>
      <c r="U145" s="70"/>
      <c r="V145" t="str">
        <v>Portugal</v>
      </c>
      <c r="W145" s="79">
        <f t="shared" ca="1" si="179"/>
        <v>0</v>
      </c>
      <c r="X145" s="70"/>
      <c r="Y145" t="str">
        <v>Colombia</v>
      </c>
      <c r="Z145" s="79">
        <f t="shared" ca="1" si="180"/>
        <v>0</v>
      </c>
      <c r="AA145" s="70"/>
      <c r="AB145" t="str">
        <v>Portugal</v>
      </c>
      <c r="AC145" s="79">
        <f t="shared" ca="1" si="181"/>
        <v>0</v>
      </c>
      <c r="AD145" s="70"/>
      <c r="AE145" t="str">
        <v>Portugal</v>
      </c>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t="str">
        <v>Bosnia y Herzegovina</v>
      </c>
      <c r="W146" s="79">
        <f t="shared" ca="1" si="179"/>
        <v>0</v>
      </c>
      <c r="X146" s="70"/>
      <c r="Y146" t="str">
        <v>Bosnia y Herzegovina</v>
      </c>
      <c r="Z146" s="79">
        <f t="shared" ca="1" si="180"/>
        <v>0</v>
      </c>
      <c r="AA146" s="70"/>
      <c r="AB146" t="str">
        <v>Canadá</v>
      </c>
      <c r="AC146" s="79">
        <f t="shared" ca="1" si="181"/>
        <v>0</v>
      </c>
      <c r="AD146" s="70"/>
      <c r="AE146" t="str">
        <v>Canadá</v>
      </c>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Japón</v>
      </c>
      <c r="T147" s="79">
        <f t="shared" ca="1" si="178"/>
        <v>0</v>
      </c>
      <c r="U147" s="70"/>
      <c r="V147" t="str">
        <v>Japón</v>
      </c>
      <c r="W147" s="79">
        <f t="shared" ca="1" si="179"/>
        <v>0</v>
      </c>
      <c r="X147" s="70"/>
      <c r="Y147" t="str">
        <v>Japón</v>
      </c>
      <c r="Z147" s="79">
        <f t="shared" ca="1" si="180"/>
        <v>0</v>
      </c>
      <c r="AA147" s="70"/>
      <c r="AB147" t="str">
        <v>Japón</v>
      </c>
      <c r="AC147" s="79">
        <f t="shared" ca="1" si="181"/>
        <v>0</v>
      </c>
      <c r="AD147" s="70"/>
      <c r="AE147" t="str">
        <v>Suecia</v>
      </c>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Escocia</v>
      </c>
      <c r="T148" s="79">
        <f t="shared" ca="1" si="178"/>
        <v>0</v>
      </c>
      <c r="U148" s="70"/>
      <c r="V148" t="str">
        <v>Estados Unidos</v>
      </c>
      <c r="W148" s="79">
        <f t="shared" ca="1" si="179"/>
        <v>0</v>
      </c>
      <c r="X148" s="70"/>
      <c r="Y148" t="str">
        <v>Estados Unidos</v>
      </c>
      <c r="Z148" s="79">
        <f t="shared" ca="1" si="180"/>
        <v>0</v>
      </c>
      <c r="AA148" s="70"/>
      <c r="AB148" t="str">
        <v>Escocia</v>
      </c>
      <c r="AC148" s="79">
        <f t="shared" ca="1" si="181"/>
        <v>0</v>
      </c>
      <c r="AD148" s="70"/>
      <c r="AE148" t="str">
        <v>Escocia</v>
      </c>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t="str">
        <v>Marruecos</v>
      </c>
      <c r="W149" s="79">
        <f t="shared" ca="1" si="179"/>
        <v>0</v>
      </c>
      <c r="X149" s="70"/>
      <c r="Y149" t="str">
        <v>Marruecos</v>
      </c>
      <c r="Z149" s="79">
        <f t="shared" ca="1" si="180"/>
        <v>0</v>
      </c>
      <c r="AA149" s="70"/>
      <c r="AB149" t="str">
        <v>Marruecos</v>
      </c>
      <c r="AC149" s="79">
        <f t="shared" ca="1" si="181"/>
        <v>0</v>
      </c>
      <c r="AD149" s="70"/>
      <c r="AE149" t="str">
        <v>Marruecos</v>
      </c>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t="str">
        <v>Noruega</v>
      </c>
      <c r="W150" s="79">
        <f t="shared" ca="1" si="179"/>
        <v>0</v>
      </c>
      <c r="X150" s="70"/>
      <c r="Y150" t="str">
        <v>Noruega</v>
      </c>
      <c r="Z150" s="79">
        <f t="shared" ca="1" si="180"/>
        <v>0</v>
      </c>
      <c r="AA150" s="70"/>
      <c r="AB150" t="str">
        <v>Senegal</v>
      </c>
      <c r="AC150" s="79">
        <f t="shared" ca="1" si="181"/>
        <v>0</v>
      </c>
      <c r="AD150" s="70"/>
      <c r="AE150" t="str">
        <v>Noruega</v>
      </c>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Túnez</v>
      </c>
      <c r="T151" s="79">
        <f t="shared" ca="1" si="178"/>
        <v>0</v>
      </c>
      <c r="U151" s="70"/>
      <c r="V151" t="str">
        <v>Suecia</v>
      </c>
      <c r="W151" s="79">
        <f t="shared" ca="1" si="179"/>
        <v>0</v>
      </c>
      <c r="X151" s="70"/>
      <c r="Y151" t="str">
        <v>Irán</v>
      </c>
      <c r="Z151" s="79">
        <f t="shared" ca="1" si="180"/>
        <v>0</v>
      </c>
      <c r="AA151" s="70"/>
      <c r="AB151" t="str">
        <v>Suecia</v>
      </c>
      <c r="AC151" s="79">
        <f t="shared" ca="1" si="181"/>
        <v>0</v>
      </c>
      <c r="AD151" s="70"/>
      <c r="AE151" t="str">
        <v>Japón</v>
      </c>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Arabia Saudita</v>
      </c>
      <c r="T152" s="79">
        <f t="shared" ca="1" si="178"/>
        <v>0</v>
      </c>
      <c r="U152" s="70"/>
      <c r="V152" t="str">
        <v>Escocia</v>
      </c>
      <c r="W152" s="79">
        <f t="shared" ca="1" si="179"/>
        <v>0</v>
      </c>
      <c r="X152" s="70"/>
      <c r="Y152" t="str">
        <v>Ecuador</v>
      </c>
      <c r="Z152" s="79">
        <f t="shared" ca="1" si="180"/>
        <v>0</v>
      </c>
      <c r="AA152" s="70"/>
      <c r="AB152" t="str">
        <v>Arabia Saudita</v>
      </c>
      <c r="AC152" s="79">
        <f t="shared" ca="1" si="181"/>
        <v>0</v>
      </c>
      <c r="AD152" s="70"/>
      <c r="AE152" t="str">
        <v>Costa de Marfil</v>
      </c>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Senegal</v>
      </c>
      <c r="T153" s="79">
        <f t="shared" ca="1" si="178"/>
        <v>0</v>
      </c>
      <c r="U153" s="70"/>
      <c r="V153" t="str">
        <v>Senegal</v>
      </c>
      <c r="W153" s="79">
        <f t="shared" ca="1" si="179"/>
        <v>0</v>
      </c>
      <c r="X153" s="70"/>
      <c r="Y153" t="str">
        <v>RD Congo</v>
      </c>
      <c r="Z153" s="79">
        <f t="shared" ca="1" si="180"/>
        <v>0</v>
      </c>
      <c r="AA153" s="70"/>
      <c r="AB153" t="str">
        <v>Noruega</v>
      </c>
      <c r="AC153" s="79">
        <f t="shared" ca="1" si="181"/>
        <v>0</v>
      </c>
      <c r="AD153" s="70"/>
      <c r="AE153" t="str">
        <v>Uzbekistán</v>
      </c>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t="str">
        <v>Corea del Sur</v>
      </c>
      <c r="W154" s="79">
        <f t="shared" ca="1" si="179"/>
        <v>0</v>
      </c>
      <c r="X154" s="70"/>
      <c r="Y154" t="str">
        <v>Senegal</v>
      </c>
      <c r="Z154" s="79">
        <f t="shared" ca="1" si="180"/>
        <v>0</v>
      </c>
      <c r="AA154" s="70"/>
      <c r="AB154" t="str">
        <v>República Checa</v>
      </c>
      <c r="AC154" s="79">
        <f t="shared" ca="1" si="181"/>
        <v>0</v>
      </c>
      <c r="AD154" s="70"/>
      <c r="AE154" t="str">
        <v>República Checa</v>
      </c>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Costa de Marfil</v>
      </c>
      <c r="T155" s="79">
        <f t="shared" ca="1" si="178"/>
        <v>0</v>
      </c>
      <c r="U155" s="70"/>
      <c r="V155" t="str">
        <v>Costa de Marfil</v>
      </c>
      <c r="W155" s="79">
        <f t="shared" ca="1" si="179"/>
        <v>0</v>
      </c>
      <c r="X155" s="70"/>
      <c r="Y155" t="str">
        <v>Canadá</v>
      </c>
      <c r="Z155" s="79">
        <f t="shared" ca="1" si="180"/>
        <v>0</v>
      </c>
      <c r="AA155" s="70"/>
      <c r="AB155" t="str">
        <v>Ecuador</v>
      </c>
      <c r="AC155" s="79">
        <f t="shared" ca="1" si="181"/>
        <v>0</v>
      </c>
      <c r="AD155" s="70"/>
      <c r="AE155" t="str">
        <v>Bosnia y Herzegovina</v>
      </c>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t="str">
        <v>Argentina</v>
      </c>
      <c r="W156" s="79">
        <f t="shared" ca="1" si="179"/>
        <v>0</v>
      </c>
      <c r="X156" s="70"/>
      <c r="Y156" t="str">
        <v>Argelia</v>
      </c>
      <c r="Z156" s="79">
        <f t="shared" ca="1" si="180"/>
        <v>0</v>
      </c>
      <c r="AA156" s="70"/>
      <c r="AB156" t="str">
        <v>Austria</v>
      </c>
      <c r="AC156" s="79">
        <f t="shared" ca="1" si="181"/>
        <v>0</v>
      </c>
      <c r="AD156" s="70"/>
      <c r="AE156" t="str">
        <v>Austria</v>
      </c>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t="str">
        <v>Ghana</v>
      </c>
      <c r="W157" s="79">
        <f t="shared" ca="1" si="179"/>
        <v>0</v>
      </c>
      <c r="X157" s="70"/>
      <c r="Y157" t="str">
        <v>Croacia</v>
      </c>
      <c r="Z157" s="79">
        <f t="shared" ca="1" si="180"/>
        <v>0</v>
      </c>
      <c r="AA157" s="70"/>
      <c r="AB157" t="str">
        <v>Croacia</v>
      </c>
      <c r="AC157" s="79">
        <f t="shared" ca="1" si="181"/>
        <v>0</v>
      </c>
      <c r="AD157" s="70"/>
      <c r="AE157" t="str">
        <v>Croacia</v>
      </c>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Argelia</v>
      </c>
      <c r="T158" s="79">
        <f t="shared" ca="1" si="178"/>
        <v>0</v>
      </c>
      <c r="U158" s="70"/>
      <c r="V158" t="str">
        <v>Argelia</v>
      </c>
      <c r="W158" s="79">
        <f t="shared" ca="1" si="179"/>
        <v>0</v>
      </c>
      <c r="X158" s="70"/>
      <c r="Y158" t="str">
        <v>Austria</v>
      </c>
      <c r="Z158" s="79">
        <f t="shared" ca="1" si="180"/>
        <v>0</v>
      </c>
      <c r="AA158" s="70"/>
      <c r="AB158" t="str">
        <v>Argelia</v>
      </c>
      <c r="AC158" s="79">
        <f t="shared" ca="1" si="181"/>
        <v>0</v>
      </c>
      <c r="AD158" s="70"/>
      <c r="AE158" t="str">
        <v>Egipto</v>
      </c>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t="str">
        <v>Egipto</v>
      </c>
      <c r="W159" s="79">
        <f t="shared" ca="1" si="179"/>
        <v>0</v>
      </c>
      <c r="X159" s="70"/>
      <c r="Y159" t="str">
        <v>Egipto</v>
      </c>
      <c r="Z159" s="79">
        <f t="shared" ca="1" si="180"/>
        <v>0</v>
      </c>
      <c r="AA159" s="70"/>
      <c r="AB159" t="str">
        <v>Egipto</v>
      </c>
      <c r="AC159" s="79">
        <f t="shared" ca="1" si="181"/>
        <v>0</v>
      </c>
      <c r="AD159" s="70"/>
      <c r="AE159" t="str">
        <v>Irán</v>
      </c>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t="str">
        <v>Uruguay</v>
      </c>
      <c r="W160" s="79">
        <f t="shared" ca="1" si="179"/>
        <v>0</v>
      </c>
      <c r="X160" s="70"/>
      <c r="Y160" t="str">
        <v>España</v>
      </c>
      <c r="Z160" s="79">
        <f t="shared" ca="1" si="180"/>
        <v>0</v>
      </c>
      <c r="AA160" s="70"/>
      <c r="AB160" t="str">
        <v>Uruguay</v>
      </c>
      <c r="AC160" s="79">
        <f t="shared" ca="1" si="181"/>
        <v>0</v>
      </c>
      <c r="AD160" s="70"/>
      <c r="AE160" t="str">
        <v>Uruguay</v>
      </c>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Paraguay</v>
      </c>
      <c r="T161" s="87">
        <f t="shared" ca="1" si="178"/>
        <v>0</v>
      </c>
      <c r="U161" s="70"/>
      <c r="V161" t="str">
        <v>Croacia</v>
      </c>
      <c r="W161" s="87">
        <f t="shared" ca="1" si="179"/>
        <v>0</v>
      </c>
      <c r="X161" s="70"/>
      <c r="Y161" t="str">
        <v>Ghana</v>
      </c>
      <c r="Z161" s="87">
        <f t="shared" ca="1" si="180"/>
        <v>0</v>
      </c>
      <c r="AA161" s="70"/>
      <c r="AB161" t="str">
        <v>Ghana</v>
      </c>
      <c r="AC161" s="87">
        <f t="shared" ca="1" si="181"/>
        <v>0</v>
      </c>
      <c r="AD161" s="70"/>
      <c r="AE161" t="str">
        <v>Senegal</v>
      </c>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México-Canadá·0|-</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t="str">
        <v>República Checa-Bosnia y Herzegovina·2|1-2</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t="str">
        <v>República Checa-Bosnia y Herzegovina·0|-</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t="str">
        <v>Corea del Sur-Canadá·0|-</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t="str">
        <v>Corea del Sur-Canadá·0|-</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Brasil-Japón·0|-</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t="str">
        <v>Brasil-Japón·1|2-1</v>
      </c>
      <c r="W165" s="83">
        <f t="shared" ca="1" si="188"/>
        <v>0</v>
      </c>
      <c r="X165" s="116"/>
      <c r="Y165" t="str">
        <v>Brasil-Japón·0|-</v>
      </c>
      <c r="Z165" s="83">
        <f t="shared" ca="1" si="188"/>
        <v>0</v>
      </c>
      <c r="AA165" s="116"/>
      <c r="AB165" t="str">
        <v>Brasil-Japón·0|-</v>
      </c>
      <c r="AC165" s="83">
        <f t="shared" ca="1" si="188"/>
        <v>0</v>
      </c>
      <c r="AD165" s="116"/>
      <c r="AE165" t="str">
        <v>Brasil-Suecia·0|-</v>
      </c>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Alemania-Escocia·0|-</v>
      </c>
      <c r="T166" s="83">
        <f t="shared" ca="1" si="196"/>
        <v>0</v>
      </c>
      <c r="U166" s="116"/>
      <c r="V166" t="str">
        <v>Ecuador-Estados Unidos·1|3-0</v>
      </c>
      <c r="W166" s="83">
        <f t="shared" ca="1" si="188"/>
        <v>0</v>
      </c>
      <c r="X166" s="116"/>
      <c r="Y166" t="str">
        <v>Alemania-Estados Unidos·0|-</v>
      </c>
      <c r="Z166" s="83">
        <f t="shared" ca="1" si="188"/>
        <v>0</v>
      </c>
      <c r="AA166" s="116"/>
      <c r="AB166" t="str">
        <v>Alemania-Escocia·0|-</v>
      </c>
      <c r="AC166" s="83">
        <f t="shared" ca="1" si="188"/>
        <v>0</v>
      </c>
      <c r="AD166" s="116"/>
      <c r="AE166" t="str">
        <v>Alemania-Escocia·0|-</v>
      </c>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Bajos-Marruecos·0|-</v>
      </c>
      <c r="T167" s="83">
        <f t="shared" ca="1" si="196"/>
        <v>0</v>
      </c>
      <c r="U167" s="116"/>
      <c r="V167" t="str">
        <v>Países Bajos-Marruecos·X|1-1</v>
      </c>
      <c r="W167" s="83">
        <f t="shared" ca="1" si="188"/>
        <v>0</v>
      </c>
      <c r="X167" s="116"/>
      <c r="Y167" t="str">
        <v>Países Bajos-Marruecos·0|-</v>
      </c>
      <c r="Z167" s="83">
        <f t="shared" ca="1" si="188"/>
        <v>0</v>
      </c>
      <c r="AA167" s="116"/>
      <c r="AB167" t="str">
        <v>Países Bajos-Marruecos·0|-</v>
      </c>
      <c r="AC167" s="83">
        <f t="shared" ca="1" si="188"/>
        <v>0</v>
      </c>
      <c r="AD167" s="116"/>
      <c r="AE167" t="str">
        <v>Países Bajos-Marruecos·0|-</v>
      </c>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Ecuador-Noruega·0|-</v>
      </c>
      <c r="T168" s="83">
        <f t="shared" ca="1" si="196"/>
        <v>0</v>
      </c>
      <c r="U168" s="116"/>
      <c r="V168" t="str">
        <v>Alemania-Noruega·1|3-2</v>
      </c>
      <c r="W168" s="83">
        <f t="shared" ca="1" si="188"/>
        <v>0</v>
      </c>
      <c r="X168" s="116"/>
      <c r="Y168" t="str">
        <v>Costa de Marfil-Noruega·0|-</v>
      </c>
      <c r="Z168" s="83">
        <f t="shared" ca="1" si="188"/>
        <v>0</v>
      </c>
      <c r="AA168" s="116"/>
      <c r="AB168" t="str">
        <v>Costa de Marfil-Senegal·0|-</v>
      </c>
      <c r="AC168" s="83">
        <f t="shared" ca="1" si="188"/>
        <v>0</v>
      </c>
      <c r="AD168" s="116"/>
      <c r="AE168" t="str">
        <v>Ecuador-Noruega·0|-</v>
      </c>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Francia-Túnez·0|-</v>
      </c>
      <c r="T169" s="83">
        <f t="shared" ca="1" si="196"/>
        <v>0</v>
      </c>
      <c r="U169" s="116"/>
      <c r="V169" t="str">
        <v>Francia-Suecia·1|3-0</v>
      </c>
      <c r="W169" s="83">
        <f t="shared" ca="1" si="188"/>
        <v>0</v>
      </c>
      <c r="X169" s="116"/>
      <c r="Y169" t="str">
        <v>Francia-Irán·0|-</v>
      </c>
      <c r="Z169" s="83">
        <f t="shared" ca="1" si="188"/>
        <v>0</v>
      </c>
      <c r="AA169" s="116"/>
      <c r="AB169" t="str">
        <v>Francia-Suecia·0|-</v>
      </c>
      <c r="AC169" s="83">
        <f t="shared" ca="1" si="188"/>
        <v>0</v>
      </c>
      <c r="AD169" s="116"/>
      <c r="AE169" t="str">
        <v>Francia-Japón·0|-</v>
      </c>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República Checa-Arabia Saudita·0|-</v>
      </c>
      <c r="T170" s="83">
        <f t="shared" ca="1" si="196"/>
        <v>0</v>
      </c>
      <c r="U170" s="116"/>
      <c r="V170" t="str">
        <v>México-Escocia·1|1-0</v>
      </c>
      <c r="W170" s="83">
        <f t="shared" ca="1" si="188"/>
        <v>0</v>
      </c>
      <c r="X170" s="116"/>
      <c r="Y170" t="str">
        <v>Corea del Sur-Ecuador·0|-</v>
      </c>
      <c r="Z170" s="83">
        <f t="shared" ca="1" si="188"/>
        <v>0</v>
      </c>
      <c r="AA170" s="116"/>
      <c r="AB170" t="str">
        <v>México-Arabia Saudita·0|-</v>
      </c>
      <c r="AC170" s="83">
        <f t="shared" ca="1" si="188"/>
        <v>0</v>
      </c>
      <c r="AD170" s="116"/>
      <c r="AE170" t="str">
        <v>México-Costa de Marfil·0|-</v>
      </c>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Inglaterra-RD Congo</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Inglaterra-Senegal·0|-</v>
      </c>
      <c r="T171" s="83">
        <f t="shared" ca="1" si="196"/>
        <v>0</v>
      </c>
      <c r="U171" s="116"/>
      <c r="V171" t="str">
        <v>Inglaterra-Senegal·1|3-2</v>
      </c>
      <c r="W171" s="83">
        <f t="shared" ca="1" si="188"/>
        <v>0</v>
      </c>
      <c r="X171" s="116"/>
      <c r="Y171" t="str">
        <v>Inglaterra-RD Congo·0|-</v>
      </c>
      <c r="Z171" s="83">
        <f t="shared" ca="1" si="188"/>
        <v>0</v>
      </c>
      <c r="AA171" s="116"/>
      <c r="AB171" t="str">
        <v>Inglaterra-Noruega·0|-</v>
      </c>
      <c r="AC171" s="83">
        <f t="shared" ca="1" si="188"/>
        <v>0</v>
      </c>
      <c r="AD171" s="116"/>
      <c r="AE171" t="str">
        <v>Inglaterra-Uzbekistán·0|-</v>
      </c>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Bélgica-Senegal</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Bélgica-Sudáfrica·0|-</v>
      </c>
      <c r="T172" s="83">
        <f t="shared" ca="1" si="196"/>
        <v>0</v>
      </c>
      <c r="U172" s="116"/>
      <c r="V172" t="str">
        <v>Bélgica-Corea del Sur·1|1-0</v>
      </c>
      <c r="W172" s="83">
        <f t="shared" ca="1" si="188"/>
        <v>0</v>
      </c>
      <c r="X172" s="116"/>
      <c r="Y172" t="str">
        <v>Bélgica-Senegal·0|-</v>
      </c>
      <c r="Z172" s="83">
        <f t="shared" ca="1" si="188"/>
        <v>0</v>
      </c>
      <c r="AA172" s="116"/>
      <c r="AB172" t="str">
        <v>Bélgica-República Checa·0|-</v>
      </c>
      <c r="AC172" s="83">
        <f t="shared" ca="1" si="188"/>
        <v>0</v>
      </c>
      <c r="AD172" s="116"/>
      <c r="AE172" t="str">
        <v>Bélgica-República Checa·0|-</v>
      </c>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Turquía-Costa de Marfil·0|-</v>
      </c>
      <c r="T173" s="83">
        <f t="shared" ca="1" si="196"/>
        <v>0</v>
      </c>
      <c r="U173" s="116"/>
      <c r="V173" t="str">
        <v>Turquía-Costa de Marfil·X|1-1</v>
      </c>
      <c r="W173" s="83">
        <f t="shared" ca="1" si="188"/>
        <v>0</v>
      </c>
      <c r="X173" s="116"/>
      <c r="Y173" t="str">
        <v>Turquía-Canadá·0|-</v>
      </c>
      <c r="Z173" s="83">
        <f t="shared" ca="1" si="188"/>
        <v>0</v>
      </c>
      <c r="AA173" s="116"/>
      <c r="AB173" t="str">
        <v>Estados Unidos-Ecuador·0|-</v>
      </c>
      <c r="AC173" s="83">
        <f t="shared" ca="1" si="188"/>
        <v>0</v>
      </c>
      <c r="AD173" s="116"/>
      <c r="AE173" t="str">
        <v>Turquía-Bosnia y Herzegovina·0|-</v>
      </c>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España-Austria·0|-</v>
      </c>
      <c r="T174" s="83">
        <f t="shared" ca="1" si="196"/>
        <v>0</v>
      </c>
      <c r="U174" s="116"/>
      <c r="V174" t="str">
        <v>España-Argentina·1|3-1</v>
      </c>
      <c r="W174" s="83">
        <f t="shared" ca="1" si="188"/>
        <v>0</v>
      </c>
      <c r="X174" s="116"/>
      <c r="Y174" t="str">
        <v>Uruguay-Argelia·0|-</v>
      </c>
      <c r="Z174" s="83">
        <f t="shared" ca="1" si="188"/>
        <v>0</v>
      </c>
      <c r="AA174" s="116"/>
      <c r="AB174" t="str">
        <v>España-Austria·0|-</v>
      </c>
      <c r="AC174" s="83">
        <f t="shared" ca="1" si="188"/>
        <v>0</v>
      </c>
      <c r="AD174" s="116"/>
      <c r="AE174" t="str">
        <v>España-Austria·0|-</v>
      </c>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Portugal-Croacia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Portugal-Croacia·0|-</v>
      </c>
      <c r="T175" s="83">
        <f t="shared" ca="1" si="196"/>
        <v>0</v>
      </c>
      <c r="U175" s="116"/>
      <c r="V175" t="str">
        <v>Colombia-Ghana·1|1-0</v>
      </c>
      <c r="W175" s="83">
        <f t="shared" ca="1" si="188"/>
        <v>0</v>
      </c>
      <c r="X175" s="116"/>
      <c r="Y175" t="str">
        <v>Portugal-Croacia·0|-</v>
      </c>
      <c r="Z175" s="83">
        <f t="shared" ca="1" si="188"/>
        <v>0</v>
      </c>
      <c r="AA175" s="116"/>
      <c r="AB175" t="str">
        <v>Colombia-Croacia·0|-</v>
      </c>
      <c r="AC175" s="83">
        <f t="shared" ca="1" si="188"/>
        <v>0</v>
      </c>
      <c r="AD175" s="116"/>
      <c r="AE175" t="str">
        <v>Colombia-Croacia·0|-</v>
      </c>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Suiza-Irán</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Suiza-Argelia·0|-</v>
      </c>
      <c r="T176" s="83">
        <f t="shared" ca="1" si="196"/>
        <v>0</v>
      </c>
      <c r="U176" s="116"/>
      <c r="V176" t="str">
        <v>Suiza-Argelia·X|1-1</v>
      </c>
      <c r="W176" s="83">
        <f t="shared" ca="1" si="188"/>
        <v>0</v>
      </c>
      <c r="X176" s="116"/>
      <c r="Y176" t="str">
        <v>Suiza-Austria·0|-</v>
      </c>
      <c r="Z176" s="83">
        <f t="shared" ca="1" si="188"/>
        <v>0</v>
      </c>
      <c r="AA176" s="116"/>
      <c r="AB176" t="str">
        <v>Suiza-Argelia·0|-</v>
      </c>
      <c r="AC176" s="83">
        <f t="shared" ca="1" si="188"/>
        <v>0</v>
      </c>
      <c r="AD176" s="116"/>
      <c r="AE176" t="str">
        <v>Suiza-Egipto·0|-</v>
      </c>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Estados Unidos-Egipto·0|-</v>
      </c>
      <c r="T177" s="83">
        <f t="shared" ca="1" si="196"/>
        <v>0</v>
      </c>
      <c r="U177" s="116"/>
      <c r="V177" t="str">
        <v>Paraguay-Egipto·2|0-1</v>
      </c>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t="str">
        <v>Paraguay-Egipto·0|-</v>
      </c>
      <c r="Z177" s="83">
        <f t="shared" ca="1" si="197"/>
        <v>0</v>
      </c>
      <c r="AA177" s="116"/>
      <c r="AB177" t="str">
        <v>Turquía-Egipto·0|-</v>
      </c>
      <c r="AC177" s="83">
        <f t="shared" ca="1" si="197"/>
        <v>0</v>
      </c>
      <c r="AD177" s="116"/>
      <c r="AE177" t="str">
        <v>Estados Unidos-Irán·0|-</v>
      </c>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Argentina-Uruguay·0|-</v>
      </c>
      <c r="T178" s="83">
        <f t="shared" ca="1" si="196"/>
        <v>0</v>
      </c>
      <c r="U178" s="116"/>
      <c r="V178" t="str">
        <v>Austria-Uruguay·1|2-0</v>
      </c>
      <c r="W178" s="83">
        <f t="shared" ca="1" si="197"/>
        <v>0</v>
      </c>
      <c r="X178" s="116"/>
      <c r="Y178" t="str">
        <v>Argentina-España·0|-</v>
      </c>
      <c r="Z178" s="83">
        <f t="shared" ca="1" si="197"/>
        <v>0</v>
      </c>
      <c r="AA178" s="116"/>
      <c r="AB178" t="str">
        <v>Argentina-Uruguay·0|-</v>
      </c>
      <c r="AC178" s="83">
        <f t="shared" ca="1" si="197"/>
        <v>0</v>
      </c>
      <c r="AD178" s="116"/>
      <c r="AE178" t="str">
        <v>Argentina-Uruguay·0|-</v>
      </c>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Colombia-Ghana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Colombia-Paraguay·0|-</v>
      </c>
      <c r="T179" s="87">
        <f t="shared" ca="1" si="196"/>
        <v>0</v>
      </c>
      <c r="U179" s="116"/>
      <c r="V179" t="str">
        <v>Portugal-Croacia·1|3-1</v>
      </c>
      <c r="W179" s="87">
        <f t="shared" ca="1" si="197"/>
        <v>0</v>
      </c>
      <c r="X179" s="116"/>
      <c r="Y179" t="str">
        <v>Colombia-Ghana·0|-</v>
      </c>
      <c r="Z179" s="87">
        <f t="shared" ca="1" si="197"/>
        <v>0</v>
      </c>
      <c r="AA179" s="116"/>
      <c r="AB179" t="str">
        <v>Portugal-Ghana·0|-</v>
      </c>
      <c r="AC179" s="87">
        <f t="shared" ca="1" si="197"/>
        <v>0</v>
      </c>
      <c r="AD179" s="116"/>
      <c r="AE179" t="str">
        <v>Portugal-Senegal·0|-</v>
      </c>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W73</v>
      </c>
      <c r="T182" s="83">
        <f t="shared" ref="T182:T197" si="202">COUNTIF($M$182:$M$197,S182)*$D$19</f>
        <v>0</v>
      </c>
      <c r="U182" s="70"/>
      <c r="V182" t="str">
        <v>Bosnia y Herzegovina</v>
      </c>
      <c r="W182" s="83">
        <f t="shared" ref="W182:W197" si="203">COUNTIF($M$182:$M$197,V182)*$D$19</f>
        <v>0</v>
      </c>
      <c r="X182" s="70"/>
      <c r="Y182" t="str">
        <v>W73</v>
      </c>
      <c r="Z182" s="83">
        <f t="shared" ref="Z182:Z197" si="204">COUNTIF($M$182:$M$197,Y182)*$D$19</f>
        <v>0</v>
      </c>
      <c r="AA182" s="70"/>
      <c r="AB182" t="str">
        <v>W73</v>
      </c>
      <c r="AC182" s="83">
        <f t="shared" ref="AC182:AC197" si="205">COUNTIF($M$182:$M$197,AB182)*$D$19</f>
        <v>0</v>
      </c>
      <c r="AD182" s="70"/>
      <c r="AE182" t="str">
        <v>W73</v>
      </c>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W74</v>
      </c>
      <c r="T183" s="79">
        <f t="shared" si="202"/>
        <v>0</v>
      </c>
      <c r="U183" s="70"/>
      <c r="V183" t="str">
        <v>Ecuador</v>
      </c>
      <c r="W183" s="79">
        <f t="shared" si="203"/>
        <v>0</v>
      </c>
      <c r="X183" s="70"/>
      <c r="Y183" t="str">
        <v>W74</v>
      </c>
      <c r="Z183" s="79">
        <f t="shared" si="204"/>
        <v>0</v>
      </c>
      <c r="AA183" s="70"/>
      <c r="AB183" t="str">
        <v>W74</v>
      </c>
      <c r="AC183" s="79">
        <f t="shared" si="205"/>
        <v>0</v>
      </c>
      <c r="AD183" s="70"/>
      <c r="AE183" t="str">
        <v>W74</v>
      </c>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W76</v>
      </c>
      <c r="T184" s="79">
        <f t="shared" si="202"/>
        <v>0</v>
      </c>
      <c r="U184" s="70"/>
      <c r="V184" t="str">
        <v>Brasil</v>
      </c>
      <c r="W184" s="79">
        <f t="shared" si="203"/>
        <v>0</v>
      </c>
      <c r="X184" s="70"/>
      <c r="Y184" t="str">
        <v>W76</v>
      </c>
      <c r="Z184" s="79">
        <f t="shared" si="204"/>
        <v>0</v>
      </c>
      <c r="AA184" s="70"/>
      <c r="AB184" t="str">
        <v>W76</v>
      </c>
      <c r="AC184" s="79">
        <f t="shared" si="205"/>
        <v>0</v>
      </c>
      <c r="AD184" s="70"/>
      <c r="AE184" t="str">
        <v>W76</v>
      </c>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W79</v>
      </c>
      <c r="T185" s="79">
        <f t="shared" si="202"/>
        <v>0</v>
      </c>
      <c r="U185" s="70"/>
      <c r="V185" t="str">
        <v>México</v>
      </c>
      <c r="W185" s="79">
        <f t="shared" si="203"/>
        <v>0</v>
      </c>
      <c r="X185" s="70"/>
      <c r="Y185" t="str">
        <v>W79</v>
      </c>
      <c r="Z185" s="79">
        <f t="shared" si="204"/>
        <v>0</v>
      </c>
      <c r="AA185" s="70"/>
      <c r="AB185" t="str">
        <v>W79</v>
      </c>
      <c r="AC185" s="79">
        <f t="shared" si="205"/>
        <v>0</v>
      </c>
      <c r="AD185" s="70"/>
      <c r="AE185" t="str">
        <v>W79</v>
      </c>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W83</v>
      </c>
      <c r="T186" s="79">
        <f t="shared" si="202"/>
        <v>0</v>
      </c>
      <c r="U186" s="70"/>
      <c r="V186" t="str">
        <v>Colombia</v>
      </c>
      <c r="W186" s="79">
        <f t="shared" si="203"/>
        <v>0</v>
      </c>
      <c r="X186" s="70"/>
      <c r="Y186" t="str">
        <v>W83</v>
      </c>
      <c r="Z186" s="79">
        <f t="shared" si="204"/>
        <v>0</v>
      </c>
      <c r="AA186" s="70"/>
      <c r="AB186" t="str">
        <v>W83</v>
      </c>
      <c r="AC186" s="79">
        <f t="shared" si="205"/>
        <v>0</v>
      </c>
      <c r="AD186" s="70"/>
      <c r="AE186" t="str">
        <v>W83</v>
      </c>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W81</v>
      </c>
      <c r="T187" s="79">
        <f t="shared" si="202"/>
        <v>0</v>
      </c>
      <c r="U187" s="70"/>
      <c r="V187" t="str">
        <v>Turquía</v>
      </c>
      <c r="W187" s="79">
        <f t="shared" si="203"/>
        <v>0</v>
      </c>
      <c r="X187" s="70"/>
      <c r="Y187" t="str">
        <v>W81</v>
      </c>
      <c r="Z187" s="79">
        <f t="shared" si="204"/>
        <v>0</v>
      </c>
      <c r="AA187" s="70"/>
      <c r="AB187" t="str">
        <v>W81</v>
      </c>
      <c r="AC187" s="79">
        <f t="shared" si="205"/>
        <v>0</v>
      </c>
      <c r="AD187" s="70"/>
      <c r="AE187" t="str">
        <v>W81</v>
      </c>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W86</v>
      </c>
      <c r="T188" s="79">
        <f t="shared" si="202"/>
        <v>0</v>
      </c>
      <c r="U188" s="70"/>
      <c r="V188" t="str">
        <v>Austria</v>
      </c>
      <c r="W188" s="79">
        <f t="shared" si="203"/>
        <v>0</v>
      </c>
      <c r="X188" s="70"/>
      <c r="Y188" t="str">
        <v>W86</v>
      </c>
      <c r="Z188" s="79">
        <f t="shared" si="204"/>
        <v>0</v>
      </c>
      <c r="AA188" s="70"/>
      <c r="AB188" t="str">
        <v>W86</v>
      </c>
      <c r="AC188" s="79">
        <f t="shared" si="205"/>
        <v>0</v>
      </c>
      <c r="AD188" s="70"/>
      <c r="AE188" t="str">
        <v>W86</v>
      </c>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W85</v>
      </c>
      <c r="T189" s="79">
        <f t="shared" si="202"/>
        <v>0</v>
      </c>
      <c r="U189" s="70"/>
      <c r="V189" t="str">
        <v>Suiza</v>
      </c>
      <c r="W189" s="79">
        <f t="shared" si="203"/>
        <v>0</v>
      </c>
      <c r="X189" s="70"/>
      <c r="Y189" t="str">
        <v>W85</v>
      </c>
      <c r="Z189" s="79">
        <f t="shared" si="204"/>
        <v>0</v>
      </c>
      <c r="AA189" s="70"/>
      <c r="AB189" t="str">
        <v>W85</v>
      </c>
      <c r="AC189" s="79">
        <f t="shared" si="205"/>
        <v>0</v>
      </c>
      <c r="AD189" s="70"/>
      <c r="AE189" t="str">
        <v>W85</v>
      </c>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W75</v>
      </c>
      <c r="T190" s="79">
        <f t="shared" si="202"/>
        <v>0</v>
      </c>
      <c r="U190" s="70"/>
      <c r="V190" t="str">
        <v>Países Bajos</v>
      </c>
      <c r="W190" s="79">
        <f t="shared" si="203"/>
        <v>0</v>
      </c>
      <c r="X190" s="70"/>
      <c r="Y190" t="str">
        <v>W75</v>
      </c>
      <c r="Z190" s="79">
        <f t="shared" si="204"/>
        <v>0</v>
      </c>
      <c r="AA190" s="70"/>
      <c r="AB190" t="str">
        <v>W75</v>
      </c>
      <c r="AC190" s="79">
        <f t="shared" si="205"/>
        <v>0</v>
      </c>
      <c r="AD190" s="70"/>
      <c r="AE190" t="str">
        <v>W75</v>
      </c>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W77</v>
      </c>
      <c r="T191" s="79">
        <f t="shared" si="202"/>
        <v>0</v>
      </c>
      <c r="U191" s="70"/>
      <c r="V191" t="str">
        <v>Francia</v>
      </c>
      <c r="W191" s="79">
        <f t="shared" si="203"/>
        <v>0</v>
      </c>
      <c r="X191" s="70"/>
      <c r="Y191" t="str">
        <v>W77</v>
      </c>
      <c r="Z191" s="79">
        <f t="shared" si="204"/>
        <v>0</v>
      </c>
      <c r="AA191" s="70"/>
      <c r="AB191" t="str">
        <v>W77</v>
      </c>
      <c r="AC191" s="79">
        <f t="shared" si="205"/>
        <v>0</v>
      </c>
      <c r="AD191" s="70"/>
      <c r="AE191" t="str">
        <v>W77</v>
      </c>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W78</v>
      </c>
      <c r="T192" s="79">
        <f t="shared" si="202"/>
        <v>0</v>
      </c>
      <c r="U192" s="70"/>
      <c r="V192" t="str">
        <v>Alemania</v>
      </c>
      <c r="W192" s="79">
        <f t="shared" si="203"/>
        <v>0</v>
      </c>
      <c r="X192" s="70"/>
      <c r="Y192" t="str">
        <v>W78</v>
      </c>
      <c r="Z192" s="79">
        <f t="shared" si="204"/>
        <v>0</v>
      </c>
      <c r="AA192" s="70"/>
      <c r="AB192" t="str">
        <v>W78</v>
      </c>
      <c r="AC192" s="79">
        <f t="shared" si="205"/>
        <v>0</v>
      </c>
      <c r="AD192" s="70"/>
      <c r="AE192" t="str">
        <v>W78</v>
      </c>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W80</v>
      </c>
      <c r="T193" s="79">
        <f t="shared" si="202"/>
        <v>0</v>
      </c>
      <c r="U193" s="70"/>
      <c r="V193" t="str">
        <v>Inglaterra</v>
      </c>
      <c r="W193" s="79">
        <f t="shared" si="203"/>
        <v>0</v>
      </c>
      <c r="X193" s="70"/>
      <c r="Y193" t="str">
        <v>W80</v>
      </c>
      <c r="Z193" s="79">
        <f t="shared" si="204"/>
        <v>0</v>
      </c>
      <c r="AA193" s="70"/>
      <c r="AB193" t="str">
        <v>W80</v>
      </c>
      <c r="AC193" s="79">
        <f t="shared" si="205"/>
        <v>0</v>
      </c>
      <c r="AD193" s="70"/>
      <c r="AE193" t="str">
        <v>W80</v>
      </c>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W84</v>
      </c>
      <c r="T194" s="79">
        <f t="shared" si="202"/>
        <v>0</v>
      </c>
      <c r="U194" s="70"/>
      <c r="V194" t="str">
        <v>España</v>
      </c>
      <c r="W194" s="79">
        <f t="shared" si="203"/>
        <v>0</v>
      </c>
      <c r="X194" s="70"/>
      <c r="Y194" t="str">
        <v>W84</v>
      </c>
      <c r="Z194" s="79">
        <f t="shared" si="204"/>
        <v>0</v>
      </c>
      <c r="AA194" s="70"/>
      <c r="AB194" t="str">
        <v>W84</v>
      </c>
      <c r="AC194" s="79">
        <f t="shared" si="205"/>
        <v>0</v>
      </c>
      <c r="AD194" s="70"/>
      <c r="AE194" t="str">
        <v>W84</v>
      </c>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W82</v>
      </c>
      <c r="T195" s="79">
        <f t="shared" si="202"/>
        <v>0</v>
      </c>
      <c r="U195" s="70"/>
      <c r="V195" t="str">
        <v>Bélgica</v>
      </c>
      <c r="W195" s="79">
        <f t="shared" si="203"/>
        <v>0</v>
      </c>
      <c r="X195" s="70"/>
      <c r="Y195" t="str">
        <v>W82</v>
      </c>
      <c r="Z195" s="79">
        <f t="shared" si="204"/>
        <v>0</v>
      </c>
      <c r="AA195" s="70"/>
      <c r="AB195" t="str">
        <v>W82</v>
      </c>
      <c r="AC195" s="79">
        <f t="shared" si="205"/>
        <v>0</v>
      </c>
      <c r="AD195" s="70"/>
      <c r="AE195" t="str">
        <v>W82</v>
      </c>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W88</v>
      </c>
      <c r="T196" s="79">
        <f t="shared" si="202"/>
        <v>0</v>
      </c>
      <c r="U196" s="70"/>
      <c r="V196" t="str">
        <v>Egipto</v>
      </c>
      <c r="W196" s="79">
        <f t="shared" si="203"/>
        <v>0</v>
      </c>
      <c r="X196" s="70"/>
      <c r="Y196" t="str">
        <v>W88</v>
      </c>
      <c r="Z196" s="79">
        <f t="shared" si="204"/>
        <v>0</v>
      </c>
      <c r="AA196" s="70"/>
      <c r="AB196" t="str">
        <v>W88</v>
      </c>
      <c r="AC196" s="79">
        <f t="shared" si="205"/>
        <v>0</v>
      </c>
      <c r="AD196" s="70"/>
      <c r="AE196" t="str">
        <v>W88</v>
      </c>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W87</v>
      </c>
      <c r="T197" s="87">
        <f t="shared" si="202"/>
        <v>0</v>
      </c>
      <c r="U197" s="70"/>
      <c r="V197" t="str">
        <v>Portugal</v>
      </c>
      <c r="W197" s="87">
        <f t="shared" si="203"/>
        <v>0</v>
      </c>
      <c r="X197" s="70"/>
      <c r="Y197" t="str">
        <v>W87</v>
      </c>
      <c r="Z197" s="87">
        <f t="shared" si="204"/>
        <v>0</v>
      </c>
      <c r="AA197" s="70"/>
      <c r="AB197" t="str">
        <v>W87</v>
      </c>
      <c r="AC197" s="87">
        <f t="shared" si="205"/>
        <v>0</v>
      </c>
      <c r="AD197" s="70"/>
      <c r="AE197" t="str">
        <v>W87</v>
      </c>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W73-W75·0|-</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t="str">
        <v>Bosnia y Herzegovina-Países Bajos·X|1-1</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t="str">
        <v>W73-W75·0|-</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t="str">
        <v>W73-W75·0|-</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t="str">
        <v>W73-W75·0|-</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W74-W77·0|-</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t="str">
        <v>Ecuador-Francia·X|2-2</v>
      </c>
      <c r="W201" s="79">
        <f t="shared" si="215"/>
        <v>0</v>
      </c>
      <c r="X201" s="116"/>
      <c r="Y201" t="str">
        <v>W74-W77·0|-</v>
      </c>
      <c r="Z201" s="79">
        <f t="shared" si="215"/>
        <v>0</v>
      </c>
      <c r="AA201" s="116"/>
      <c r="AB201" t="str">
        <v>W74-W77·0|-</v>
      </c>
      <c r="AC201" s="79">
        <f t="shared" si="215"/>
        <v>0</v>
      </c>
      <c r="AD201" s="116"/>
      <c r="AE201" t="str">
        <v>W74-W77·0|-</v>
      </c>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W76-W78·0|-</v>
      </c>
      <c r="T202" s="79">
        <f t="shared" si="220"/>
        <v>0</v>
      </c>
      <c r="U202" s="116"/>
      <c r="V202" t="str">
        <v>Brasil-Alemania·2|1-2</v>
      </c>
      <c r="W202" s="79">
        <f t="shared" si="215"/>
        <v>0</v>
      </c>
      <c r="X202" s="116"/>
      <c r="Y202" t="str">
        <v>W76-W78·0|-</v>
      </c>
      <c r="Z202" s="79">
        <f t="shared" si="215"/>
        <v>0</v>
      </c>
      <c r="AA202" s="116"/>
      <c r="AB202" t="str">
        <v>W76-W78·0|-</v>
      </c>
      <c r="AC202" s="79">
        <f t="shared" si="215"/>
        <v>0</v>
      </c>
      <c r="AD202" s="116"/>
      <c r="AE202" t="str">
        <v>W76-W78·0|-</v>
      </c>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W79-W80·0|-</v>
      </c>
      <c r="T203" s="79">
        <f t="shared" si="220"/>
        <v>0</v>
      </c>
      <c r="U203" s="116"/>
      <c r="V203" t="str">
        <v>México-Inglaterra·2|0-2</v>
      </c>
      <c r="W203" s="79">
        <f t="shared" si="215"/>
        <v>0</v>
      </c>
      <c r="X203" s="116"/>
      <c r="Y203" t="str">
        <v>W79-W80·0|-</v>
      </c>
      <c r="Z203" s="79">
        <f t="shared" si="215"/>
        <v>0</v>
      </c>
      <c r="AA203" s="116"/>
      <c r="AB203" t="str">
        <v>W79-W80·0|-</v>
      </c>
      <c r="AC203" s="79">
        <f t="shared" si="215"/>
        <v>0</v>
      </c>
      <c r="AD203" s="116"/>
      <c r="AE203" t="str">
        <v>W79-W80·0|-</v>
      </c>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W83-W84·0|-</v>
      </c>
      <c r="T204" s="79">
        <f t="shared" si="220"/>
        <v>0</v>
      </c>
      <c r="U204" s="116"/>
      <c r="V204" t="str">
        <v>Colombia-España·2|0-3</v>
      </c>
      <c r="W204" s="79">
        <f t="shared" si="215"/>
        <v>0</v>
      </c>
      <c r="X204" s="116"/>
      <c r="Y204" t="str">
        <v>W83-W84·0|-</v>
      </c>
      <c r="Z204" s="79">
        <f t="shared" si="215"/>
        <v>0</v>
      </c>
      <c r="AA204" s="116"/>
      <c r="AB204" t="str">
        <v>W83-W84·0|-</v>
      </c>
      <c r="AC204" s="79">
        <f t="shared" si="215"/>
        <v>0</v>
      </c>
      <c r="AD204" s="116"/>
      <c r="AE204" t="str">
        <v>W83-W84·0|-</v>
      </c>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W81-W82·0|-</v>
      </c>
      <c r="T205" s="79">
        <f t="shared" si="220"/>
        <v>0</v>
      </c>
      <c r="U205" s="116"/>
      <c r="V205" t="str">
        <v>Turquía-Bélgica·1|2-1</v>
      </c>
      <c r="W205" s="79">
        <f t="shared" si="215"/>
        <v>0</v>
      </c>
      <c r="X205" s="116"/>
      <c r="Y205" t="str">
        <v>W81-W82·0|-</v>
      </c>
      <c r="Z205" s="79">
        <f t="shared" si="215"/>
        <v>0</v>
      </c>
      <c r="AA205" s="116"/>
      <c r="AB205" t="str">
        <v>W81-W82·0|-</v>
      </c>
      <c r="AC205" s="79">
        <f t="shared" si="215"/>
        <v>0</v>
      </c>
      <c r="AD205" s="116"/>
      <c r="AE205" t="str">
        <v>W81-W82·0|-</v>
      </c>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W86-W88·0|-</v>
      </c>
      <c r="T206" s="79">
        <f t="shared" si="220"/>
        <v>0</v>
      </c>
      <c r="U206" s="116"/>
      <c r="V206" t="str">
        <v>Austria-Egipto·X|0-0</v>
      </c>
      <c r="W206" s="79">
        <f t="shared" si="215"/>
        <v>0</v>
      </c>
      <c r="X206" s="116"/>
      <c r="Y206" t="str">
        <v>W86-W88·0|-</v>
      </c>
      <c r="Z206" s="79">
        <f t="shared" si="215"/>
        <v>0</v>
      </c>
      <c r="AA206" s="116"/>
      <c r="AB206" t="str">
        <v>W86-W88·0|-</v>
      </c>
      <c r="AC206" s="79">
        <f t="shared" si="215"/>
        <v>0</v>
      </c>
      <c r="AD206" s="116"/>
      <c r="AE206" t="str">
        <v>W86-W88·0|-</v>
      </c>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W85-W87·0|-</v>
      </c>
      <c r="T207" s="91">
        <f t="shared" si="220"/>
        <v>0</v>
      </c>
      <c r="U207" s="116"/>
      <c r="V207" t="str">
        <v>Suiza-Portugal·2|1-2</v>
      </c>
      <c r="W207" s="91">
        <f t="shared" si="215"/>
        <v>0</v>
      </c>
      <c r="X207" s="116"/>
      <c r="Y207" t="str">
        <v>W85-W87·0|-</v>
      </c>
      <c r="Z207" s="91">
        <f t="shared" si="215"/>
        <v>0</v>
      </c>
      <c r="AA207" s="116"/>
      <c r="AB207" t="str">
        <v>W85-W87·0|-</v>
      </c>
      <c r="AC207" s="91">
        <f t="shared" si="215"/>
        <v>0</v>
      </c>
      <c r="AD207" s="116"/>
      <c r="AE207" t="str">
        <v>W85-W87·0|-</v>
      </c>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W89</v>
      </c>
      <c r="T210" s="83">
        <f t="shared" ref="T210:T217" si="225">COUNTIF($M$210:$M$217,S210)*$D$23</f>
        <v>0</v>
      </c>
      <c r="U210" s="116"/>
      <c r="V210" t="str">
        <v>Ecuador</v>
      </c>
      <c r="W210" s="83">
        <f t="shared" ref="W210:W217" si="226">COUNTIF($M$210:$M$217,V210)*$D$23</f>
        <v>0</v>
      </c>
      <c r="X210" s="116"/>
      <c r="Y210" t="str">
        <v>W89</v>
      </c>
      <c r="Z210" s="83">
        <f t="shared" ref="Z210:Z217" si="227">COUNTIF($M$210:$M$217,Y210)*$D$23</f>
        <v>0</v>
      </c>
      <c r="AA210" s="116"/>
      <c r="AB210" t="str">
        <v>W89</v>
      </c>
      <c r="AC210" s="83">
        <f t="shared" ref="AC210:AC217" si="228">COUNTIF($M$210:$M$217,AB210)*$D$23</f>
        <v>0</v>
      </c>
      <c r="AD210" s="116"/>
      <c r="AE210" t="str">
        <v>W89</v>
      </c>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W93</v>
      </c>
      <c r="T211" s="79">
        <f t="shared" si="225"/>
        <v>0</v>
      </c>
      <c r="U211" s="116"/>
      <c r="V211" t="str">
        <v>España</v>
      </c>
      <c r="W211" s="79">
        <f t="shared" si="226"/>
        <v>0</v>
      </c>
      <c r="X211" s="116"/>
      <c r="Y211" t="str">
        <v>W93</v>
      </c>
      <c r="Z211" s="79">
        <f t="shared" si="227"/>
        <v>0</v>
      </c>
      <c r="AA211" s="116"/>
      <c r="AB211" t="str">
        <v>W93</v>
      </c>
      <c r="AC211" s="79">
        <f t="shared" si="228"/>
        <v>0</v>
      </c>
      <c r="AD211" s="116"/>
      <c r="AE211" t="str">
        <v>W93</v>
      </c>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W91</v>
      </c>
      <c r="T212" s="79">
        <f t="shared" si="225"/>
        <v>0</v>
      </c>
      <c r="U212" s="116"/>
      <c r="V212" t="str">
        <v>Alemania</v>
      </c>
      <c r="W212" s="79">
        <f t="shared" si="226"/>
        <v>0</v>
      </c>
      <c r="X212" s="116"/>
      <c r="Y212" t="str">
        <v>W91</v>
      </c>
      <c r="Z212" s="79">
        <f t="shared" si="227"/>
        <v>0</v>
      </c>
      <c r="AA212" s="116"/>
      <c r="AB212" t="str">
        <v>W91</v>
      </c>
      <c r="AC212" s="79">
        <f t="shared" si="228"/>
        <v>0</v>
      </c>
      <c r="AD212" s="116"/>
      <c r="AE212" t="str">
        <v>W91</v>
      </c>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W95</v>
      </c>
      <c r="T213" s="79">
        <f t="shared" si="225"/>
        <v>0</v>
      </c>
      <c r="U213" s="116"/>
      <c r="V213" t="str">
        <v>Austria</v>
      </c>
      <c r="W213" s="79">
        <f t="shared" si="226"/>
        <v>0</v>
      </c>
      <c r="X213" s="116"/>
      <c r="Y213" t="str">
        <v>W95</v>
      </c>
      <c r="Z213" s="79">
        <f t="shared" si="227"/>
        <v>0</v>
      </c>
      <c r="AA213" s="116"/>
      <c r="AB213" t="str">
        <v>W95</v>
      </c>
      <c r="AC213" s="79">
        <f t="shared" si="228"/>
        <v>0</v>
      </c>
      <c r="AD213" s="116"/>
      <c r="AE213" t="str">
        <v>W95</v>
      </c>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W90</v>
      </c>
      <c r="T214" s="79">
        <f t="shared" si="225"/>
        <v>0</v>
      </c>
      <c r="U214" s="116"/>
      <c r="V214" t="str">
        <v>Países Bajos</v>
      </c>
      <c r="W214" s="79">
        <f t="shared" si="226"/>
        <v>0</v>
      </c>
      <c r="X214" s="116"/>
      <c r="Y214" t="str">
        <v>W90</v>
      </c>
      <c r="Z214" s="79">
        <f t="shared" si="227"/>
        <v>0</v>
      </c>
      <c r="AA214" s="116"/>
      <c r="AB214" t="str">
        <v>W90</v>
      </c>
      <c r="AC214" s="79">
        <f t="shared" si="228"/>
        <v>0</v>
      </c>
      <c r="AD214" s="116"/>
      <c r="AE214" t="str">
        <v>W90</v>
      </c>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W94</v>
      </c>
      <c r="T215" s="79">
        <f t="shared" si="225"/>
        <v>0</v>
      </c>
      <c r="U215" s="116"/>
      <c r="V215" t="str">
        <v>Turquía</v>
      </c>
      <c r="W215" s="79">
        <f t="shared" si="226"/>
        <v>0</v>
      </c>
      <c r="X215" s="116"/>
      <c r="Y215" t="str">
        <v>W94</v>
      </c>
      <c r="Z215" s="79">
        <f t="shared" si="227"/>
        <v>0</v>
      </c>
      <c r="AA215" s="116"/>
      <c r="AB215" t="str">
        <v>W94</v>
      </c>
      <c r="AC215" s="79">
        <f t="shared" si="228"/>
        <v>0</v>
      </c>
      <c r="AD215" s="116"/>
      <c r="AE215" t="str">
        <v>W94</v>
      </c>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W92</v>
      </c>
      <c r="T216" s="79">
        <f t="shared" si="225"/>
        <v>0</v>
      </c>
      <c r="U216" s="116"/>
      <c r="V216" t="str">
        <v>Inglaterra</v>
      </c>
      <c r="W216" s="79">
        <f t="shared" si="226"/>
        <v>0</v>
      </c>
      <c r="X216" s="116"/>
      <c r="Y216" t="str">
        <v>W92</v>
      </c>
      <c r="Z216" s="79">
        <f t="shared" si="227"/>
        <v>0</v>
      </c>
      <c r="AA216" s="116"/>
      <c r="AB216" t="str">
        <v>W92</v>
      </c>
      <c r="AC216" s="79">
        <f t="shared" si="228"/>
        <v>0</v>
      </c>
      <c r="AD216" s="116"/>
      <c r="AE216" t="str">
        <v>W92</v>
      </c>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W96</v>
      </c>
      <c r="T217" s="87">
        <f t="shared" si="225"/>
        <v>0</v>
      </c>
      <c r="U217" s="116"/>
      <c r="V217" t="str">
        <v>Portugal</v>
      </c>
      <c r="W217" s="87">
        <f t="shared" si="226"/>
        <v>0</v>
      </c>
      <c r="X217" s="116"/>
      <c r="Y217" t="str">
        <v>W96</v>
      </c>
      <c r="Z217" s="87">
        <f t="shared" si="227"/>
        <v>0</v>
      </c>
      <c r="AA217" s="116"/>
      <c r="AB217" t="str">
        <v>W96</v>
      </c>
      <c r="AC217" s="87">
        <f t="shared" si="228"/>
        <v>0</v>
      </c>
      <c r="AD217" s="116"/>
      <c r="AE217" t="str">
        <v>W96</v>
      </c>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W89-W90·0|-</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t="str">
        <v>Ecuador-Países Bajos·2|0-1</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t="str">
        <v>W89-W90·0|-</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t="str">
        <v>W89-W90·0|-</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t="str">
        <v>W89-W90·0|-</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W93-W94·0|-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t="str">
        <v>España-Turquía·1|3-1</v>
      </c>
      <c r="W221" s="83">
        <f t="shared" si="237"/>
        <v>0</v>
      </c>
      <c r="X221" s="116"/>
      <c r="Y221" t="str">
        <v>W93-W94·0|-</v>
      </c>
      <c r="Z221" s="83">
        <f t="shared" si="237"/>
        <v>0</v>
      </c>
      <c r="AA221" s="116"/>
      <c r="AB221" t="str">
        <v>W93-W94·0|-</v>
      </c>
      <c r="AC221" s="83">
        <f t="shared" si="237"/>
        <v>0</v>
      </c>
      <c r="AD221" s="116"/>
      <c r="AE221" t="str">
        <v>W93-W94·0|-</v>
      </c>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W91-W92·0|-</v>
      </c>
      <c r="T222" s="83">
        <f t="shared" si="242"/>
        <v>0</v>
      </c>
      <c r="U222" s="116"/>
      <c r="V222" t="str">
        <v>Alemania-Inglaterra·1|2-1</v>
      </c>
      <c r="W222" s="83">
        <f t="shared" si="237"/>
        <v>0</v>
      </c>
      <c r="X222" s="116"/>
      <c r="Y222" t="str">
        <v>W91-W92·0|-</v>
      </c>
      <c r="Z222" s="83">
        <f t="shared" si="237"/>
        <v>0</v>
      </c>
      <c r="AA222" s="116"/>
      <c r="AB222" t="str">
        <v>W91-W92·0|-</v>
      </c>
      <c r="AC222" s="83">
        <f t="shared" si="237"/>
        <v>0</v>
      </c>
      <c r="AD222" s="116"/>
      <c r="AE222" t="str">
        <v>W91-W92·0|-</v>
      </c>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W95-W96·0|-</v>
      </c>
      <c r="T223" s="87">
        <f t="shared" si="242"/>
        <v>0</v>
      </c>
      <c r="U223" s="116"/>
      <c r="V223" t="str">
        <v>Austria-Portugal·2|0-2</v>
      </c>
      <c r="W223" s="87">
        <f t="shared" si="237"/>
        <v>0</v>
      </c>
      <c r="X223" s="116"/>
      <c r="Y223" t="str">
        <v>W95-W96·0|-</v>
      </c>
      <c r="Z223" s="87">
        <f t="shared" si="237"/>
        <v>0</v>
      </c>
      <c r="AA223" s="116"/>
      <c r="AB223" t="str">
        <v>W95-W96·0|-</v>
      </c>
      <c r="AC223" s="87">
        <f t="shared" si="237"/>
        <v>0</v>
      </c>
      <c r="AD223" s="116"/>
      <c r="AE223" t="str">
        <v>W95-W96·0|-</v>
      </c>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W97</v>
      </c>
      <c r="T226" s="83">
        <f>COUNTIF($M$226:$M$229,S226)*$D$27</f>
        <v>0</v>
      </c>
      <c r="U226" s="70"/>
      <c r="V226" t="str">
        <v>Países Bajos</v>
      </c>
      <c r="W226" s="83">
        <f t="shared" ref="W226" si="247">COUNTIF($M$226:$M$229,V226)*$D$27</f>
        <v>0</v>
      </c>
      <c r="X226" s="70"/>
      <c r="Y226" t="str">
        <v>W97</v>
      </c>
      <c r="Z226" s="83">
        <f t="shared" ref="Z226" si="248">COUNTIF($M$226:$M$229,Y226)*$D$27</f>
        <v>0</v>
      </c>
      <c r="AA226" s="70"/>
      <c r="AB226" t="str">
        <v>W97</v>
      </c>
      <c r="AC226" s="83">
        <f t="shared" ref="AC226" si="249">COUNTIF($M$226:$M$229,AB226)*$D$27</f>
        <v>0</v>
      </c>
      <c r="AD226" s="70"/>
      <c r="AE226" t="str">
        <v>W97</v>
      </c>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W99</v>
      </c>
      <c r="T227" s="79">
        <f>COUNTIF($M$226:$M$229,S227)*$D$27</f>
        <v>0</v>
      </c>
      <c r="U227" s="70"/>
      <c r="V227" t="str">
        <v>Alemania</v>
      </c>
      <c r="W227" s="79">
        <f t="shared" ref="W227" si="252">COUNTIF($M$226:$M$229,V227)*$D$27</f>
        <v>0</v>
      </c>
      <c r="X227" s="70"/>
      <c r="Y227" t="str">
        <v>W99</v>
      </c>
      <c r="Z227" s="79">
        <f t="shared" ref="Z227" si="253">COUNTIF($M$226:$M$229,Y227)*$D$27</f>
        <v>0</v>
      </c>
      <c r="AA227" s="70"/>
      <c r="AB227" t="str">
        <v>W99</v>
      </c>
      <c r="AC227" s="79">
        <f t="shared" ref="AC227" si="254">COUNTIF($M$226:$M$229,AB227)*$D$27</f>
        <v>0</v>
      </c>
      <c r="AD227" s="70"/>
      <c r="AE227" t="str">
        <v>W99</v>
      </c>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W98</v>
      </c>
      <c r="T228" s="79">
        <f>COUNTIF($M$226:$M$229,S228)*$D$27</f>
        <v>0</v>
      </c>
      <c r="U228" s="70"/>
      <c r="V228" t="str">
        <v>España</v>
      </c>
      <c r="W228" s="79">
        <f t="shared" ref="W228" si="256">COUNTIF($M$226:$M$229,V228)*$D$27</f>
        <v>0</v>
      </c>
      <c r="X228" s="70"/>
      <c r="Y228" t="str">
        <v>W98</v>
      </c>
      <c r="Z228" s="79">
        <f t="shared" ref="Z228" si="257">COUNTIF($M$226:$M$229,Y228)*$D$27</f>
        <v>0</v>
      </c>
      <c r="AA228" s="70"/>
      <c r="AB228" t="str">
        <v>W98</v>
      </c>
      <c r="AC228" s="79">
        <f t="shared" ref="AC228" si="258">COUNTIF($M$226:$M$229,AB228)*$D$27</f>
        <v>0</v>
      </c>
      <c r="AD228" s="70"/>
      <c r="AE228" t="str">
        <v>W98</v>
      </c>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W100</v>
      </c>
      <c r="T229" s="87">
        <f>COUNTIF($M$226:$M$229,S229)*$D$27</f>
        <v>0</v>
      </c>
      <c r="U229" s="70"/>
      <c r="V229" t="str">
        <v>Portugal</v>
      </c>
      <c r="W229" s="87">
        <f t="shared" ref="W229" si="260">COUNTIF($M$226:$M$229,V229)*$D$27</f>
        <v>0</v>
      </c>
      <c r="X229" s="70"/>
      <c r="Y229" t="str">
        <v>W100</v>
      </c>
      <c r="Z229" s="87">
        <f t="shared" ref="Z229" si="261">COUNTIF($M$226:$M$229,Y229)*$D$27</f>
        <v>0</v>
      </c>
      <c r="AA229" s="70"/>
      <c r="AB229" t="str">
        <v>W100</v>
      </c>
      <c r="AC229" s="87">
        <f t="shared" ref="AC229" si="262">COUNTIF($M$226:$M$229,AB229)*$D$27</f>
        <v>0</v>
      </c>
      <c r="AD229" s="70"/>
      <c r="AE229" t="str">
        <v>W100</v>
      </c>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W97-W98·0|-</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t="str">
        <v>Países Bajos-España·2|1-2</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t="str">
        <v>W97-W98·0|-</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t="str">
        <v>W97-W98·0|-</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t="str">
        <v>W97-W98·0|-</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W99-W100·0|-</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t="str">
        <v>Alemania-Portugal·X|1-1</v>
      </c>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t="str">
        <v>W99-W100·0|-</v>
      </c>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t="str">
        <v>W99-W100·0|-</v>
      </c>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t="str">
        <v>W99-W100·0|-</v>
      </c>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L101</v>
      </c>
      <c r="T236" s="83">
        <f>COUNTIF($M$236:$M$237,S236)*$D$31</f>
        <v>0</v>
      </c>
      <c r="U236" s="116"/>
      <c r="V236" t="str">
        <v>Países Bajos</v>
      </c>
      <c r="W236" s="83">
        <f t="shared" ref="W236" si="281">COUNTIF($M$236:$M$237,V236)*$D$31</f>
        <v>0</v>
      </c>
      <c r="X236" s="116"/>
      <c r="Y236" t="str">
        <v>L101</v>
      </c>
      <c r="Z236" s="83">
        <f t="shared" ref="Z236" si="282">COUNTIF($M$236:$M$237,Y236)*$D$31</f>
        <v>0</v>
      </c>
      <c r="AA236" s="116"/>
      <c r="AB236" t="str">
        <v>L101</v>
      </c>
      <c r="AC236" s="83">
        <f t="shared" ref="AC236" si="283">COUNTIF($M$236:$M$237,AB236)*$D$31</f>
        <v>0</v>
      </c>
      <c r="AD236" s="116"/>
      <c r="AE236" t="str">
        <v>L101</v>
      </c>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L102</v>
      </c>
      <c r="T237" s="87">
        <f>COUNTIF($M$236:$M$237,S237)*$D$31</f>
        <v>0</v>
      </c>
      <c r="U237" s="116"/>
      <c r="V237" t="str">
        <v>Portugal</v>
      </c>
      <c r="W237" s="87">
        <f t="shared" ref="W237" si="285">COUNTIF($M$236:$M$237,V237)*$D$31</f>
        <v>0</v>
      </c>
      <c r="X237" s="116"/>
      <c r="Y237" t="str">
        <v>L102</v>
      </c>
      <c r="Z237" s="87">
        <f t="shared" ref="Z237" si="286">COUNTIF($M$236:$M$237,Y237)*$D$31</f>
        <v>0</v>
      </c>
      <c r="AA237" s="116"/>
      <c r="AB237" t="str">
        <v>L102</v>
      </c>
      <c r="AC237" s="87">
        <f t="shared" ref="AC237" si="287">COUNTIF($M$236:$M$237,AB237)*$D$31</f>
        <v>0</v>
      </c>
      <c r="AD237" s="116"/>
      <c r="AE237" t="str">
        <v>L102</v>
      </c>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W101</v>
      </c>
      <c r="T240" s="83">
        <f>COUNTIF($M$240:$M$241,S240)*$D$32</f>
        <v>0</v>
      </c>
      <c r="U240" s="116"/>
      <c r="V240" t="str">
        <v>España</v>
      </c>
      <c r="W240" s="83">
        <f t="shared" ref="W240" si="293">COUNTIF($M$240:$M$241,V240)*$D$32</f>
        <v>0</v>
      </c>
      <c r="X240" s="116"/>
      <c r="Y240" t="str">
        <v>W101</v>
      </c>
      <c r="Z240" s="83">
        <f t="shared" ref="Z240" si="294">COUNTIF($M$240:$M$241,Y240)*$D$32</f>
        <v>0</v>
      </c>
      <c r="AA240" s="116"/>
      <c r="AB240" t="str">
        <v>W101</v>
      </c>
      <c r="AC240" s="83">
        <f t="shared" ref="AC240" si="295">COUNTIF($M$240:$M$241,AB240)*$D$32</f>
        <v>0</v>
      </c>
      <c r="AD240" s="116"/>
      <c r="AE240" t="str">
        <v>W101</v>
      </c>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W102</v>
      </c>
      <c r="T241" s="87">
        <f>COUNTIF($M$240:$M$241,S241)*$D$32</f>
        <v>0</v>
      </c>
      <c r="U241" s="116"/>
      <c r="V241" t="str">
        <v>Alemania</v>
      </c>
      <c r="W241" s="87">
        <f t="shared" ref="W241" si="297">COUNTIF($M$240:$M$241,V241)*$D$32</f>
        <v>0</v>
      </c>
      <c r="X241" s="116"/>
      <c r="Y241" t="str">
        <v>W102</v>
      </c>
      <c r="Z241" s="87">
        <f t="shared" ref="Z241" si="298">COUNTIF($M$240:$M$241,Y241)*$D$32</f>
        <v>0</v>
      </c>
      <c r="AA241" s="116"/>
      <c r="AB241" t="str">
        <v>W102</v>
      </c>
      <c r="AC241" s="87">
        <f t="shared" ref="AC241" si="299">COUNTIF($M$240:$M$241,AB241)*$D$32</f>
        <v>0</v>
      </c>
      <c r="AD241" s="116"/>
      <c r="AE241" t="str">
        <v>W102</v>
      </c>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L101-L102·0|-</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t="str">
        <v>Países Bajos-Portugal·2|1-2</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t="str">
        <v>L101-L102·0|-</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t="str">
        <v>L101-L102·0|-</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t="str">
        <v>L101-L102·0|-</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W101-W102·0|-</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t="str">
        <v>España-Alemania·1|3-0</v>
      </c>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t="str">
        <v>W101-W102·0|-</v>
      </c>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t="str">
        <v>W101-W102·0|-</v>
      </c>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t="str">
        <v>W101-W102·0|-</v>
      </c>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WF</v>
      </c>
      <c r="T250" s="83">
        <f>COUNTIF($M$250,S250)*$D$39</f>
        <v>0</v>
      </c>
      <c r="U250" s="70"/>
      <c r="V250" t="str">
        <v>España</v>
      </c>
      <c r="W250" s="83">
        <f t="shared" ref="W250" si="321">COUNTIF($M$250,V250)*$D$39</f>
        <v>0</v>
      </c>
      <c r="X250" s="70"/>
      <c r="Y250" t="str">
        <v>WF</v>
      </c>
      <c r="Z250" s="83">
        <f t="shared" ref="Z250" si="322">COUNTIF($M$250,Y250)*$D$39</f>
        <v>0</v>
      </c>
      <c r="AA250" s="70"/>
      <c r="AB250" t="str">
        <v>WF</v>
      </c>
      <c r="AC250" s="83">
        <f t="shared" ref="AC250" si="323">COUNTIF($M$250,AB250)*$D$39</f>
        <v>0</v>
      </c>
      <c r="AD250" s="70"/>
      <c r="AE250" t="str">
        <v>WF</v>
      </c>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LF</v>
      </c>
      <c r="T251" s="79">
        <f>COUNTIF($M$251,S251)*$D$40</f>
        <v>0</v>
      </c>
      <c r="U251" s="70"/>
      <c r="V251" t="str">
        <v>Alemania</v>
      </c>
      <c r="W251" s="79">
        <f t="shared" ref="W251" si="325">COUNTIF($M$251,V251)*$D$40</f>
        <v>0</v>
      </c>
      <c r="X251" s="70"/>
      <c r="Y251" t="str">
        <v>LF</v>
      </c>
      <c r="Z251" s="79">
        <f t="shared" ref="Z251" si="326">COUNTIF($M$251,Y251)*$D$40</f>
        <v>0</v>
      </c>
      <c r="AA251" s="70"/>
      <c r="AB251" t="str">
        <v>LF</v>
      </c>
      <c r="AC251" s="79">
        <f t="shared" ref="AC251" si="327">COUNTIF($M$251,AB251)*$D$40</f>
        <v>0</v>
      </c>
      <c r="AD251" s="70"/>
      <c r="AE251" t="str">
        <v>LF</v>
      </c>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W34</v>
      </c>
      <c r="T252" s="79">
        <f>COUNTIF($M$252,S252)*$D$41</f>
        <v>0</v>
      </c>
      <c r="U252" s="70"/>
      <c r="V252" t="str">
        <v>Portugal</v>
      </c>
      <c r="W252" s="79">
        <f t="shared" ref="W252" si="329">COUNTIF($M$252,V252)*$D$41</f>
        <v>0</v>
      </c>
      <c r="X252" s="70"/>
      <c r="Y252" t="str">
        <v>W34</v>
      </c>
      <c r="Z252" s="79">
        <f t="shared" ref="Z252" si="330">COUNTIF($M$252,Y252)*$D$41</f>
        <v>0</v>
      </c>
      <c r="AA252" s="70"/>
      <c r="AB252" t="str">
        <v>W34</v>
      </c>
      <c r="AC252" s="79">
        <f t="shared" ref="AC252" si="331">COUNTIF($M$252,AB252)*$D$41</f>
        <v>0</v>
      </c>
      <c r="AD252" s="70"/>
      <c r="AE252" t="str">
        <v>W34</v>
      </c>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