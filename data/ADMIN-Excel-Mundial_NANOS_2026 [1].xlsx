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00. ADMIN/"/>
    </mc:Choice>
  </mc:AlternateContent>
  <xr:revisionPtr revIDLastSave="0" documentId="13_ncr:1_{800F19E1-06D6-5543-B34E-F476251AA6A3}"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2"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Q30" i="46" s="1"/>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M7"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<sst xmlns="http://schemas.openxmlformats.org/spreadsheetml/2006/main" count="8001" uniqueCount="1985">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</sst>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2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37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46185</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6" sqref="AC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08" t="str">
        <f>Idiomas!D8</f>
        <v>XXIII Mundial USA/MEX/CAN 2026</v>
      </c>
      <c r="X1" s="808"/>
      <c r="Y1" s="808"/>
      <c r="Z1" s="808"/>
      <c r="AA1" s="808"/>
      <c r="AB1" s="808"/>
      <c r="AC1" s="808"/>
      <c r="AD1" s="808"/>
      <c r="AE1" s="808"/>
      <c r="AF1" s="80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0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0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04"/>
      <c r="X6" s="195">
        <f ca="1">Horarios!C6</f>
        <v>46191.75</v>
      </c>
      <c r="Y6" s="196">
        <f ca="1">Horarios!C6</f>
        <v>46191.75</v>
      </c>
      <c r="Z6" s="197" t="str">
        <f>Idiomas!D64</f>
        <v>J2</v>
      </c>
      <c r="AA6" s="198" t="str">
        <f ca="1">A8</f>
        <v>República Checa</v>
      </c>
      <c r="AB6" s="488" t="str" cm="1">
        <f t="array" aca="1" ref="AB6" ca="1">Ver_flag_local</f>
        <v>🇨🇿</v>
      </c>
      <c r="AC6" s="199"/>
      <c r="AD6" s="200"/>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0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0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0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0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06"/>
      <c r="X13" s="195">
        <f ca="1">Horarios!C13</f>
        <v>46186.875</v>
      </c>
      <c r="Y13" s="196">
        <f ca="1">Horarios!C13</f>
        <v>46186.875</v>
      </c>
      <c r="Z13" s="197" t="str">
        <f>$Z$4</f>
        <v>J1</v>
      </c>
      <c r="AA13" s="198" t="str">
        <f ca="1">A15</f>
        <v>Catar</v>
      </c>
      <c r="AB13" s="486" t="str" cm="1">
        <f t="array" aca="1" ref="AB13" ca="1">Ver_flag_local</f>
        <v>🇶🇦</v>
      </c>
      <c r="AC13" s="199"/>
      <c r="AD13" s="200"/>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0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0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0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0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15" t="s">
        <v>2</v>
      </c>
      <c r="X20" s="195">
        <f ca="1">Horarios!C20</f>
        <v>46187</v>
      </c>
      <c r="Y20" s="196">
        <f ca="1">Horarios!C20</f>
        <v>46187</v>
      </c>
      <c r="Z20" s="197" t="str">
        <f>$Z$4</f>
        <v>J1</v>
      </c>
      <c r="AA20" s="198" t="str">
        <f ca="1">A21</f>
        <v>Brasil</v>
      </c>
      <c r="AB20" s="486" t="str" cm="1">
        <f t="array" aca="1" ref="AB20" ca="1">Ver_flag_local</f>
        <v>🇧🇷</v>
      </c>
      <c r="AC20" s="199"/>
      <c r="AD20" s="200"/>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15"/>
      <c r="X21" s="195">
        <f ca="1">Horarios!C21</f>
        <v>46187.125</v>
      </c>
      <c r="Y21" s="196">
        <f ca="1">Horarios!C21</f>
        <v>46187.125</v>
      </c>
      <c r="Z21" s="197" t="str">
        <f>$Z$4</f>
        <v>J1</v>
      </c>
      <c r="AA21" s="198" t="str">
        <f ca="1">A23</f>
        <v>Haití</v>
      </c>
      <c r="AB21" s="486" t="str" cm="1">
        <f t="array" aca="1" ref="AB21" ca="1">Ver_flag_local</f>
        <v>🇭🇹</v>
      </c>
      <c r="AC21" s="199"/>
      <c r="AD21" s="200"/>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1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1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1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1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17" t="s">
        <v>73</v>
      </c>
      <c r="X28" s="195">
        <f ca="1">Horarios!C28</f>
        <v>46186.125</v>
      </c>
      <c r="Y28" s="196">
        <f ca="1">Horarios!C28</f>
        <v>46186.125</v>
      </c>
      <c r="Z28" s="197" t="str">
        <f>$Z$4</f>
        <v>J1</v>
      </c>
      <c r="AA28" s="198" t="str">
        <f ca="1">A29</f>
        <v>Estados Unidos</v>
      </c>
      <c r="AB28" s="486" t="str" cm="1">
        <f t="array" aca="1" ref="AB28" ca="1">Ver_flag_local</f>
        <v>🇺🇸</v>
      </c>
      <c r="AC28" s="199"/>
      <c r="AD28" s="200"/>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17"/>
      <c r="X29" s="195">
        <f ca="1">Horarios!C29</f>
        <v>46187.25</v>
      </c>
      <c r="Y29" s="196">
        <f ca="1">Horarios!C29</f>
        <v>46187.25</v>
      </c>
      <c r="Z29" s="197" t="str">
        <f>$Z$4</f>
        <v>J1</v>
      </c>
      <c r="AA29" s="198" t="str">
        <f ca="1">A31</f>
        <v>Australia</v>
      </c>
      <c r="AB29" s="486" t="str" cm="1">
        <f t="array" aca="1" ref="AB29" ca="1">Ver_flag_local</f>
        <v>🇦🇺</v>
      </c>
      <c r="AC29" s="199"/>
      <c r="AD29" s="200"/>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1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1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1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1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19" t="s">
        <v>3</v>
      </c>
      <c r="X36" s="195">
        <f ca="1">Horarios!C36</f>
        <v>46187.791666666664</v>
      </c>
      <c r="Y36" s="196">
        <f ca="1">Horarios!C36</f>
        <v>46187.791666666664</v>
      </c>
      <c r="Z36" s="197" t="str">
        <f>$Z$4</f>
        <v>J1</v>
      </c>
      <c r="AA36" s="198" t="str">
        <f ca="1">A37</f>
        <v>Alemania</v>
      </c>
      <c r="AB36" s="486" t="str" cm="1">
        <f t="array" aca="1" ref="AB36" ca="1">Ver_flag_local</f>
        <v>🇩🇪</v>
      </c>
      <c r="AC36" s="199"/>
      <c r="AD36" s="200"/>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19"/>
      <c r="X37" s="195">
        <f ca="1">Horarios!C37</f>
        <v>46188.041666666664</v>
      </c>
      <c r="Y37" s="196">
        <f ca="1">Horarios!C37</f>
        <v>46188.041666666664</v>
      </c>
      <c r="Z37" s="197" t="str">
        <f>$Z$4</f>
        <v>J1</v>
      </c>
      <c r="AA37" s="198" t="str">
        <f ca="1">A39</f>
        <v>Costa de Marfil</v>
      </c>
      <c r="AB37" s="486" t="str" cm="1">
        <f t="array" aca="1" ref="AB37" ca="1">Ver_flag_local</f>
        <v>🇨🇮</v>
      </c>
      <c r="AC37" s="199"/>
      <c r="AD37" s="200"/>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1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1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1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2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29" t="s">
        <v>4</v>
      </c>
      <c r="X44" s="195">
        <f ca="1">Horarios!C44</f>
        <v>46187.916666666664</v>
      </c>
      <c r="Y44" s="196">
        <f ca="1">Horarios!C44</f>
        <v>46187.916666666664</v>
      </c>
      <c r="Z44" s="197" t="str">
        <f>$Z$4</f>
        <v>J1</v>
      </c>
      <c r="AA44" s="198" t="str">
        <f ca="1">A45</f>
        <v>Países Bajos</v>
      </c>
      <c r="AB44" s="486" t="str" cm="1">
        <f t="array" aca="1" ref="AB44" ca="1">Ver_flag_local</f>
        <v>🇳🇱</v>
      </c>
      <c r="AC44" s="199"/>
      <c r="AD44" s="200"/>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29"/>
      <c r="X45" s="195">
        <f ca="1">Horarios!C45</f>
        <v>46188.166666666664</v>
      </c>
      <c r="Y45" s="196">
        <f ca="1">Horarios!C45</f>
        <v>46188.166666666664</v>
      </c>
      <c r="Z45" s="197" t="str">
        <f>$Z$4</f>
        <v>J1</v>
      </c>
      <c r="AA45" s="198" t="str">
        <f ca="1">A47</f>
        <v>Suecia</v>
      </c>
      <c r="AB45" s="486" t="str" cm="1">
        <f t="array" aca="1" ref="AB45" ca="1">Ver_flag_local</f>
        <v>🇸🇪</v>
      </c>
      <c r="AC45" s="199"/>
      <c r="AD45" s="200"/>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29"/>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29"/>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29"/>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30"/>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49" t="s">
        <v>6</v>
      </c>
      <c r="X52" s="195">
        <f ca="1">Horarios!C52</f>
        <v>46188.875</v>
      </c>
      <c r="Y52" s="196">
        <f ca="1">Horarios!C52</f>
        <v>46188.875</v>
      </c>
      <c r="Z52" s="197" t="str">
        <f>$Z$4</f>
        <v>J1</v>
      </c>
      <c r="AA52" s="198" t="str">
        <f ca="1">A53</f>
        <v>Bélgica</v>
      </c>
      <c r="AB52" s="486" t="str" cm="1">
        <f t="array" aca="1" ref="AB52" ca="1">Ver_flag_local</f>
        <v>🇧🇪</v>
      </c>
      <c r="AC52" s="199"/>
      <c r="AD52" s="200"/>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49"/>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49"/>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49"/>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49"/>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50"/>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31" t="s">
        <v>437</v>
      </c>
      <c r="X60" s="195">
        <f ca="1">Horarios!C60</f>
        <v>46188.75</v>
      </c>
      <c r="Y60" s="196">
        <f ca="1">Horarios!C60</f>
        <v>46188.75</v>
      </c>
      <c r="Z60" s="197" t="str">
        <f>$Z$4</f>
        <v>J1</v>
      </c>
      <c r="AA60" s="198" t="str">
        <f ca="1">A61</f>
        <v>España</v>
      </c>
      <c r="AB60" s="486" t="str" cm="1">
        <f t="array" aca="1" ref="AB60" ca="1">Ver_flag_local</f>
        <v>🇪🇸</v>
      </c>
      <c r="AC60" s="199"/>
      <c r="AD60" s="200"/>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31"/>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31"/>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31"/>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31"/>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32"/>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37"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37"/>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37"/>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37"/>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37"/>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38"/>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33"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33"/>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33"/>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33"/>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33"/>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34"/>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39"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39"/>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39"/>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39"/>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39"/>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40"/>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35"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35"/>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35"/>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35"/>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35"/>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36"/>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41"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41"/>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41"/>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41"/>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41"/>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41"/>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41"/>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41"/>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41"/>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41"/>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41"/>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41"/>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4</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41"/>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41"/>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41"/>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42"/>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43"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43"/>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43"/>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43"/>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43"/>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43"/>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43"/>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44"/>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45"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45"/>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45"/>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46"/>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47"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48"/>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09" t="str">
        <f>IF(SUM(COUNTIF(AG4:AG97,0),COUNTIF(AG101:AG160,0)&gt;0),AL148,AL149)</f>
        <v>MUNDIAL EN CURSO</v>
      </c>
      <c r="AK151" s="810"/>
      <c r="AL151" s="810"/>
      <c r="AM151" s="810"/>
      <c r="AN151" s="810"/>
      <c r="AO151" s="810"/>
      <c r="AP151" s="810"/>
      <c r="AQ151" s="810"/>
      <c r="AR151" s="810"/>
      <c r="AS151" s="810"/>
      <c r="AT151" s="810"/>
      <c r="AU151" s="81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12"/>
      <c r="AK152" s="813"/>
      <c r="AL152" s="813"/>
      <c r="AM152" s="813"/>
      <c r="AN152" s="813"/>
      <c r="AO152" s="813"/>
      <c r="AP152" s="813"/>
      <c r="AQ152" s="813"/>
      <c r="AR152" s="813"/>
      <c r="AS152" s="813"/>
      <c r="AT152" s="813"/>
      <c r="AU152" s="81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12"/>
      <c r="AK153" s="813"/>
      <c r="AL153" s="813"/>
      <c r="AM153" s="813"/>
      <c r="AN153" s="813"/>
      <c r="AO153" s="813"/>
      <c r="AP153" s="813"/>
      <c r="AQ153" s="813"/>
      <c r="AR153" s="813"/>
      <c r="AS153" s="813"/>
      <c r="AT153" s="813"/>
      <c r="AU153" s="81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12"/>
      <c r="AK154" s="813"/>
      <c r="AL154" s="813"/>
      <c r="AM154" s="813"/>
      <c r="AN154" s="813"/>
      <c r="AO154" s="813"/>
      <c r="AP154" s="813"/>
      <c r="AQ154" s="813"/>
      <c r="AR154" s="813"/>
      <c r="AS154" s="813"/>
      <c r="AT154" s="813"/>
      <c r="AU154" s="81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23" t="str">
        <f>IF(SUM(COUNTIF(AG4:AG97,0),COUNTIF(AG101:AG160,0)&gt;0),AM148,AM149)</f>
        <v>Todavía hay emoción</v>
      </c>
      <c r="AK155" s="824"/>
      <c r="AL155" s="824"/>
      <c r="AM155" s="824"/>
      <c r="AN155" s="824"/>
      <c r="AO155" s="824"/>
      <c r="AP155" s="824"/>
      <c r="AQ155" s="824"/>
      <c r="AR155" s="824"/>
      <c r="AS155" s="824"/>
      <c r="AT155" s="824"/>
      <c r="AU155" s="825"/>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23"/>
      <c r="AK156" s="824"/>
      <c r="AL156" s="824"/>
      <c r="AM156" s="824"/>
      <c r="AN156" s="824"/>
      <c r="AO156" s="824"/>
      <c r="AP156" s="824"/>
      <c r="AQ156" s="824"/>
      <c r="AR156" s="824"/>
      <c r="AS156" s="824"/>
      <c r="AT156" s="824"/>
      <c r="AU156" s="825"/>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26"/>
      <c r="AK157" s="827"/>
      <c r="AL157" s="827"/>
      <c r="AM157" s="827"/>
      <c r="AN157" s="827"/>
      <c r="AO157" s="827"/>
      <c r="AP157" s="827"/>
      <c r="AQ157" s="827"/>
      <c r="AR157" s="827"/>
      <c r="AS157" s="827"/>
      <c r="AT157" s="827"/>
      <c r="AU157" s="828"/>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21" t="str">
        <f>+Idiomas!D12</f>
        <v>Donar</v>
      </c>
      <c r="AP161" s="822"/>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abSelected="1"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2</v>
      </c>
      <c r="T1" s="93"/>
      <c r="U1" s="71"/>
      <c r="V1" s="93">
        <f ca="1">+IFERROR(RANK(V2,OFFSET($S$2,0,0,1,$D$5*3),0),"-")</f>
        <v>3</v>
      </c>
      <c r="W1" s="93"/>
      <c r="X1" s="71"/>
      <c r="Y1" s="93">
        <f ca="1">+IFERROR(RANK(Y2,OFFSET($S$2,0,0,1,$D$5*3),0),"-")</f>
        <v>4</v>
      </c>
      <c r="Z1" s="93"/>
      <c r="AA1" s="71"/>
      <c r="AB1" s="93">
        <f ca="1">+IFERROR(RANK(AB2,OFFSET($S$2,0,0,1,$D$5*3),0),"-")</f>
        <v>5</v>
      </c>
      <c r="AC1" s="93"/>
      <c r="AD1" s="71"/>
      <c r="AE1" s="93">
        <f ca="1">+IFERROR(RANK(AE2,OFFSET($S$2,0,0,1,$D$5*3),0),"-")</f>
        <v>1</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1.9981</v>
      </c>
      <c r="T2" s="93"/>
      <c r="U2" s="71"/>
      <c r="V2" s="93">
        <f t="shared" ref="V2" ca="1" si="0">V4-(COLUMN()/10000)</f>
        <v>1.9978</v>
      </c>
      <c r="W2" s="93"/>
      <c r="X2" s="71"/>
      <c r="Y2" s="93">
        <f t="shared" ref="Y2" ca="1" si="1">Y4-(COLUMN()/10000)</f>
        <v>1.9975000000000001</v>
      </c>
      <c r="Z2" s="93"/>
      <c r="AA2" s="71"/>
      <c r="AB2" s="93">
        <f t="shared" ref="AB2" ca="1" si="2">AB4-(COLUMN()/10000)</f>
        <v>1.9972000000000001</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2</v>
      </c>
      <c r="T3" s="93"/>
      <c r="U3" s="71"/>
      <c r="V3" s="93">
        <f ca="1">RANK(V4,OFFSET($S$4,0,0,1,$D$5*3),0)</f>
        <v>2</v>
      </c>
      <c r="W3" s="93"/>
      <c r="X3" s="71"/>
      <c r="Y3" s="93">
        <f ca="1">RANK(Y4,OFFSET($S$4,0,0,1,$D$5*3),0)</f>
        <v>2</v>
      </c>
      <c r="Z3" s="93"/>
      <c r="AA3" s="71"/>
      <c r="AB3" s="93">
        <f ca="1">RANK(AB4,OFFSET($S$4,0,0,1,$D$5*3),0)</f>
        <v>2</v>
      </c>
      <c r="AC3" s="93"/>
      <c r="AD3" s="71"/>
      <c r="AE3" s="93">
        <f ca="1">RANK(AE4,OFFSET($S$4,0,0,1,$D$5*3),0)</f>
        <v>1</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2</v>
      </c>
      <c r="T4" s="74"/>
      <c r="U4" s="71"/>
      <c r="V4" s="73">
        <f ca="1">SUM(W6:W259)/2</f>
        <v>2</v>
      </c>
      <c r="W4" s="74"/>
      <c r="X4" s="71"/>
      <c r="Y4" s="73">
        <f ca="1">SUM(Z6:Z259)/2</f>
        <v>2</v>
      </c>
      <c r="Z4" s="74"/>
      <c r="AA4" s="71"/>
      <c r="AB4" s="73">
        <f ca="1">SUM(AC6:AC259)/2</f>
        <v>2</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1947</v>
      </c>
      <c r="T8" s="79">
        <f t="shared" si="8"/>
        <v>0</v>
      </c>
      <c r="U8" s="71"/>
      <c r="V8" s="80" t="s">
        <v>1950</v>
      </c>
      <c r="W8" s="79">
        <f t="shared" si="9"/>
        <v>0</v>
      </c>
      <c r="X8" s="71"/>
      <c r="Y8" s="80" t="s">
        <v>1955</v>
      </c>
      <c r="Z8" s="79">
        <f t="shared" si="10"/>
        <v>0</v>
      </c>
      <c r="AA8" s="71"/>
      <c r="AB8" s="80" t="s">
        <v>1947</v>
      </c>
      <c r="AC8" s="79">
        <f t="shared" si="10"/>
        <v>0</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2</v>
      </c>
      <c r="U78" s="70"/>
      <c r="V78" s="88"/>
      <c r="W78" s="89">
        <f>SUM(W6:W77)</f>
        <v>2</v>
      </c>
      <c r="X78" s="70"/>
      <c r="Y78" s="88"/>
      <c r="Z78" s="89">
        <f t="shared" ref="Z78" si="23">SUM(Z6:Z77)</f>
        <v>2</v>
      </c>
      <c r="AA78" s="70"/>
      <c r="AB78" s="88"/>
      <c r="AC78" s="89">
        <f t="shared" ref="AC78" si="24">SUM(AC6:AC77)</f>
        <v>2</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5"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5"/>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5"/>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5"/>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4"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4"/>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4"/>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4"/>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5"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5"/>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5"/>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5"/>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4"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4"/>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4"/>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4"/>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5"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5"/>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5"/>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5"/>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4"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4"/>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4"/>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4"/>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5"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5"/>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5"/>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5"/>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4"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4"/>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4"/>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4"/>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5"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5"/>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5"/>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5"/>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4"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4"/>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4"/>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4"/>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5"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5"/>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5"/>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5"/>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4"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4"/>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4"/>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4"/>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2"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2"/>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2"/>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2"/>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2"/>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2"/>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2"/>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2"/>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2"/>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2"/>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2"/>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2"/>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2"/>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2"/>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2"/>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2"/>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2"/>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2"/>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2"/>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2"/>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2"/>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2"/>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2"/>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2"/>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2"/>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2"/>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2"/>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2"/>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2"/>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2"/>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2"/>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2"/>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2"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2"/>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2"/>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2"/>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2"/>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2"/>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2"/>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2"/>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2"/>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2"/>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2"/>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2"/>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2"/>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2"/>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2"/>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2"/>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2"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2"/>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2"/>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2"/>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2"/>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2"/>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2"/>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2"/>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2"/>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2"/>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2"/>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2"/>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2"/>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2"/>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2"/>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2"/>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2"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2"/>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2"/>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2"/>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2"/>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2"/>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2"/>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2"/>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2"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2"/>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2"/>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2"/>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2"/>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2"/>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2"/>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2"/>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2"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2"/>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2"/>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2"/>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2"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2"/>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2"/>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2"/>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3"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3"/>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3"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3"/>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3"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3"/>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VÍCTOR</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JUANCHO</v>
      </c>
      <c r="D6" s="97">
        <f ca="1">IFERROR(HLOOKUP(A6,Rango_Admin_Clas,4,FALSE),"-")</f>
        <v>2</v>
      </c>
      <c r="E6" s="98" cm="1">
        <f t="array" aca="1" ref="E6" ca="1">IFERROR(INDEX(Rango_Admin_Clas_Total,E$2,MATCH($A6,Rango_Admin_Clas_Primera,0)+1),"-")</f>
        <v>2</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LARRY</v>
      </c>
      <c r="D7" s="97">
        <f ca="1">IFERROR(HLOOKUP(A7,Rango_Admin_Clas,4,FALSE),"-")</f>
        <v>2</v>
      </c>
      <c r="E7" s="98" cm="1">
        <f t="array" aca="1" ref="E7" ca="1">IFERROR(INDEX(Rango_Admin_Clas_Total,E$2,MATCH($A7,Rango_Admin_Clas_Primera,0)+1),"-")</f>
        <v>2</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LUIS/VIR</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MEDINA</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1.9230769230769232E-2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5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t="str">
        <f>IF(ISBLANK(INDEX(WORLDCUP!$AC$4:$AC$147,MATCH(A11,WORLDCUP!$AH$4:$AH$147,0))),"",INDEX(WORLDCUP!$AC$4:$AC$147,MATCH(A11,WORLDCUP!$AH$4:$AH$147,0)))</f>
        <v/>
      </c>
      <c r="E11" s="511" t="str">
        <f>IF(ISBLANK(INDEX(WORLDCUP!$AD$4:$AD$147,MATCH(A11,WORLDCUP!$AH$4:$AH$147,0))),"",INDEX(WORLDCUP!$AD$4:$AD$147,MATCH(A11,WORLDCUP!$AH$4:$AH$147,0)))</f>
        <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2026-06-12T07:39:17Z</dcterms:modified>
  <cp:category/>
</cp:coreProperties>
</file>