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2CBD9CFC-637E-994F-935C-3071FC1E45D0}"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3"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M7" i="46"/>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K182" i="46"/>
  <c r="AF75" i="3"/>
  <c r="AF67" i="3"/>
  <c r="H250" i="46"/>
  <c r="Y232" i="46"/>
  <c r="AB232" i="46"/>
  <c r="V232" i="46"/>
  <c r="S232" i="46"/>
  <c r="AF51" i="3"/>
  <c r="D13" i="36"/>
  <c r="K14" i="30" s="1"/>
  <c r="D432" i="36"/>
  <c r="H226" i="46"/>
  <c r="K213" i="46"/>
  <c r="AB164" i="46"/>
  <c r="AE164" i="46"/>
  <c r="V164" i="46"/>
  <c r="Y164" i="46"/>
  <c r="S16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Q40" i="46"/>
  <c r="Q44" i="46"/>
  <c r="P203" i="46"/>
  <c r="Q203" i="46"/>
  <c r="Q207" i="46"/>
  <c r="Q33" i="46"/>
  <c r="Q37" i="46"/>
  <c r="Q41" i="46"/>
  <c r="Q49" i="46"/>
  <c r="P204" i="46"/>
  <c r="W256" i="46"/>
  <c r="AC256" i="46"/>
  <c r="Z256" i="46"/>
  <c r="AF256" i="46"/>
  <c r="M177" i="46"/>
  <c r="M169" i="46"/>
  <c r="W258" i="46"/>
  <c r="AC258" i="46"/>
  <c r="AF258" i="46"/>
  <c r="Z258" i="46"/>
  <c r="Q55" i="46"/>
  <c r="Q247" i="46"/>
  <c r="P232" i="46"/>
  <c r="M203" i="46"/>
  <c r="E203" i="46"/>
  <c r="M202" i="46"/>
  <c r="W74" i="46"/>
  <c r="W66" i="46"/>
  <c r="W58" i="46"/>
  <c r="W41" i="46"/>
  <c r="W65" i="46"/>
  <c r="W57" i="46"/>
  <c r="W49" i="46"/>
  <c r="W56" i="46"/>
  <c r="W48" i="46"/>
  <c r="W63" i="46"/>
  <c r="W47" i="46"/>
  <c r="W29" i="46"/>
  <c r="W21" i="46"/>
  <c r="W13" i="46"/>
  <c r="W62" i="46"/>
  <c r="W37" i="46"/>
  <c r="W20" i="46"/>
  <c r="E165" i="46"/>
  <c r="Z13" i="46"/>
  <c r="AC13" i="46"/>
  <c r="Q46" i="46"/>
  <c r="P221" i="46"/>
  <c r="Q222" i="46"/>
  <c r="Q68" i="46"/>
  <c r="T256" i="46"/>
  <c r="Q16" i="46"/>
  <c r="Q29" i="46"/>
  <c r="Q220" i="46"/>
  <c r="Q14" i="46"/>
  <c r="Q233" i="46"/>
  <c r="Q8" i="46"/>
  <c r="P178" i="46"/>
  <c r="P174" i="46"/>
  <c r="Q173" i="46"/>
  <c r="Q169" i="46"/>
  <c r="Q50" i="46"/>
  <c r="Q70" i="46"/>
  <c r="Q71" i="46"/>
  <c r="Q23" i="46"/>
  <c r="M46" i="46"/>
  <c r="M71" i="46"/>
  <c r="Z71" i="46" s="1"/>
  <c r="M70" i="46"/>
  <c r="W70" i="46" s="1"/>
  <c r="M23" i="46"/>
  <c r="W23" i="46" s="1"/>
  <c r="Q22" i="46"/>
  <c r="M22" i="46"/>
  <c r="AF22" i="46" s="1"/>
  <c r="Q200" i="46"/>
  <c r="T53" i="46"/>
  <c r="T29" i="46"/>
  <c r="T50" i="46"/>
  <c r="T26" i="46"/>
  <c r="Q72" i="46"/>
  <c r="AF72" i="46" s="1"/>
  <c r="Q43" i="46"/>
  <c r="W43" i="46" s="1"/>
  <c r="T17" i="46"/>
  <c r="Q64" i="46"/>
  <c r="T36" i="46"/>
  <c r="T13" i="46"/>
  <c r="Q34"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AC7" i="46" l="1"/>
  <c r="AF7" i="46"/>
  <c r="T7" i="46"/>
  <c r="T44" i="46"/>
  <c r="Z33" i="46"/>
  <c r="W77" i="46"/>
  <c r="W53" i="46"/>
  <c r="W45" i="46"/>
  <c r="W60" i="46"/>
  <c r="W52" i="46"/>
  <c r="W26" i="46"/>
  <c r="W75" i="46"/>
  <c r="W51" i="46"/>
  <c r="W17" i="46"/>
  <c r="W7" i="46"/>
  <c r="T52" i="46"/>
  <c r="W36"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AF16" i="46"/>
  <c r="T65" i="46"/>
  <c r="AC29" i="46"/>
  <c r="Z14" i="46"/>
  <c r="Z8" i="46"/>
  <c r="T47" i="46"/>
  <c r="W50" i="46"/>
  <c r="T75" i="46"/>
  <c r="AF70" i="46"/>
  <c r="AF46" i="46"/>
  <c r="H164" i="46"/>
  <c r="H182" i="46"/>
  <c r="H165" i="46"/>
  <c r="C64" i="46"/>
  <c r="C56" i="46"/>
  <c r="H253" i="46"/>
  <c r="AH155" i="3"/>
  <c r="AG155" i="3" s="1"/>
  <c r="K131" i="46"/>
  <c r="K152" i="46"/>
  <c r="AL5" i="3"/>
  <c r="BD5" i="3"/>
  <c r="BD57" i="3" s="1"/>
  <c r="Z254" i="46"/>
  <c r="K142" i="46"/>
  <c r="Y19" i="3"/>
  <c r="Y35" i="3" s="1"/>
  <c r="Y91" i="3"/>
  <c r="Y100" i="3"/>
  <c r="Y59" i="3"/>
  <c r="AC3" i="3"/>
  <c r="Y75" i="3"/>
  <c r="DT130" i="3"/>
  <c r="H223" i="46"/>
  <c r="H228" i="46"/>
  <c r="AC254" i="46"/>
  <c r="AF254" i="46"/>
  <c r="Y119" i="3"/>
  <c r="W254" i="46"/>
  <c r="DT100" i="3"/>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33" i="3" l="1"/>
  <c r="H61" i="46" s="1"/>
  <c r="Y105" i="3"/>
  <c r="X28" i="3"/>
  <c r="Y126"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58" i="46"/>
  <c r="H91" i="46" s="1"/>
  <c r="H22" i="46"/>
  <c r="H44" i="46"/>
  <c r="H26" i="46"/>
  <c r="H48" i="46"/>
  <c r="H18" i="46"/>
  <c r="H52" i="46"/>
  <c r="H51" i="46"/>
  <c r="H33" i="46"/>
  <c r="H43" i="46"/>
  <c r="H19" i="46"/>
  <c r="H65" i="46"/>
  <c r="H41" i="46"/>
  <c r="H10" i="46"/>
  <c r="H35" i="46"/>
  <c r="H63"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46" i="46"/>
  <c r="G20" i="30"/>
  <c r="E45" i="51"/>
  <c r="H116" i="46"/>
  <c r="H117" i="46"/>
  <c r="H118" i="46"/>
  <c r="H89" i="46"/>
  <c r="H90" i="46"/>
  <c r="H8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Q2" i="6" l="1" a="1"/>
  <c r="G6" i="46" s="1"/>
  <c r="H124" i="46"/>
  <c r="H125" i="46"/>
  <c r="H126" i="46"/>
  <c r="H104" i="46"/>
  <c r="H105" i="46"/>
  <c r="H106" i="46"/>
  <c r="H107"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l="1"/>
  <c r="BX23" i="3"/>
  <c r="G8" i="46"/>
  <c r="G7" i="46"/>
  <c r="Q4" i="6" a="1"/>
  <c r="BX45"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Q5" i="6" l="1" a="1"/>
  <c r="G11" i="46" s="1"/>
  <c r="G12" i="46"/>
  <c r="G9"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3" i="46" l="1"/>
  <c r="G14" i="46"/>
  <c r="G10" i="46"/>
  <c r="Q6" i="6" a="1"/>
  <c r="G20" i="46" s="1"/>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5" i="46" l="1"/>
  <c r="G17" i="46"/>
  <c r="Q7" i="6" a="1"/>
  <c r="Q8" i="6" s="1" a="1"/>
  <c r="G16" i="46"/>
  <c r="G18"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CC18" i="3"/>
  <c r="CC43" i="3"/>
  <c r="CC20" i="3"/>
  <c r="CC16" i="3"/>
  <c r="CC47" i="3"/>
  <c r="CC53" i="3"/>
  <c r="CC45" i="3"/>
  <c r="CC27" i="3"/>
  <c r="CC36" i="3"/>
  <c r="Q10" i="6" l="1" a="1"/>
  <c r="Q11" i="6" s="1" a="1"/>
  <c r="Q12" i="6" s="1" a="1"/>
  <c r="CC31" i="3"/>
  <c r="CC9" i="3"/>
  <c r="CC14" i="3"/>
  <c r="CC15" i="3"/>
  <c r="CC17" i="3"/>
  <c r="CC39" i="3"/>
  <c r="CC30" i="3"/>
  <c r="CC35" i="3"/>
  <c r="CC10" i="3"/>
  <c r="CC21" i="3"/>
  <c r="CC8" i="3"/>
  <c r="CC40" i="3"/>
  <c r="CC24" i="3"/>
  <c r="CC7" i="3"/>
  <c r="CC29" i="3"/>
  <c r="CC28" i="3"/>
  <c r="CC22" i="3"/>
  <c r="CC32" i="3"/>
  <c r="CC41" i="3"/>
  <c r="CC38" i="3"/>
  <c r="CC25" i="3"/>
  <c r="Q13" i="6" l="1" a="1"/>
  <c r="Q14" i="6" s="1" a="1"/>
  <c r="Q15" i="6" s="1" a="1"/>
  <c r="Q16" i="6" s="1" a="1"/>
  <c r="Q17" i="6" s="1" a="1"/>
  <c r="Q18" i="6" s="1" a="1"/>
  <c r="Q19" i="6" s="1" a="1"/>
  <c r="CD51" i="3"/>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G27" i="46"/>
  <c r="G28" i="46"/>
  <c r="G35" i="46"/>
  <c r="G44" i="46"/>
  <c r="G41" i="46"/>
  <c r="G21" i="46"/>
  <c r="G26" i="46"/>
  <c r="G23" i="46"/>
  <c r="G22" i="46"/>
  <c r="G29" i="46"/>
  <c r="G40" i="46"/>
  <c r="G32" i="46"/>
  <c r="G34" i="46"/>
  <c r="G38" i="46"/>
  <c r="G24" i="46"/>
  <c r="G37" i="46"/>
  <c r="G25" i="46"/>
  <c r="G33" i="46"/>
  <c r="G39" i="46"/>
  <c r="G30" i="46"/>
  <c r="G42" i="46"/>
  <c r="G31" i="46"/>
  <c r="G36" i="46"/>
  <c r="Q50" i="6" l="1" a="1"/>
  <c r="G71" i="46"/>
  <c r="G47" i="46"/>
  <c r="G65" i="46"/>
  <c r="G46" i="46"/>
  <c r="G52" i="46"/>
  <c r="G50" i="46"/>
  <c r="G49" i="46"/>
  <c r="G69" i="46"/>
  <c r="G57" i="46"/>
  <c r="G43" i="46"/>
  <c r="G45" i="46"/>
  <c r="G62" i="46"/>
  <c r="G59" i="46"/>
  <c r="G51" i="46"/>
  <c r="G97" i="46"/>
  <c r="G67" i="46"/>
  <c r="G66" i="46"/>
  <c r="G120" i="46"/>
  <c r="G102" i="46"/>
  <c r="Q61" i="6" a="1"/>
  <c r="G53" i="46"/>
  <c r="G73" i="46"/>
  <c r="G118" i="46"/>
  <c r="G48" i="46"/>
  <c r="G98" i="46"/>
  <c r="G158" i="46"/>
  <c r="G91" i="46"/>
  <c r="G70" i="46"/>
  <c r="G99" i="46"/>
  <c r="G61" i="46"/>
  <c r="G76" i="46"/>
  <c r="G60" i="46"/>
  <c r="G75" i="46"/>
  <c r="G116" i="46"/>
  <c r="G64" i="46"/>
  <c r="G77" i="46"/>
  <c r="Q49" i="6" a="1"/>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185" i="46"/>
  <c r="G175" i="46"/>
  <c r="G144" i="46"/>
  <c r="Q55" i="6" a="1"/>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240" i="46"/>
  <c r="G215" i="46"/>
  <c r="Q53" i="6" a="1"/>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83" i="46"/>
  <c r="G140" i="46"/>
  <c r="G165" i="46"/>
  <c r="G125" i="46"/>
  <c r="G110" i="46"/>
  <c r="G190" i="46"/>
  <c r="Q42" i="6" a="1"/>
  <c r="Q59" i="6" a="1"/>
  <c r="Q51" i="6" a="1"/>
  <c r="Q47" i="6" a="1"/>
  <c r="G166" i="46"/>
  <c r="G133" i="46"/>
  <c r="G136" i="46"/>
  <c r="G111" i="46"/>
  <c r="G72" i="46"/>
  <c r="G193" i="46"/>
  <c r="G123" i="46"/>
  <c r="G210" i="46"/>
  <c r="G178" i="46"/>
  <c r="G179" i="46"/>
  <c r="G167" i="46"/>
  <c r="G170" i="46"/>
  <c r="G156" i="46"/>
  <c r="G233" i="46"/>
  <c r="G164" i="46"/>
  <c r="G89" i="46"/>
  <c r="G127" i="46"/>
  <c r="G82" i="46"/>
  <c r="G204" i="46"/>
  <c r="G84" i="46"/>
  <c r="G101" i="46"/>
  <c r="G251" i="46"/>
  <c r="G254" i="46"/>
  <c r="Q48" i="6" a="1"/>
  <c r="Q56" i="6" a="1"/>
  <c r="Q43" i="6" a="1"/>
  <c r="Q40" i="6" a="1"/>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Q60" i="6" a="1"/>
  <c r="Q41" i="6" a="1"/>
  <c r="Q44" i="6" a="1"/>
  <c r="Q46" i="6" a="1"/>
  <c r="G211" i="46"/>
  <c r="G229" i="46"/>
  <c r="G157" i="46"/>
  <c r="G90" i="46"/>
  <c r="G187" i="46"/>
  <c r="G194" i="46"/>
  <c r="G177" i="46"/>
  <c r="Q63" i="6" a="1"/>
  <c r="Q58" i="6" a="1"/>
  <c r="Q45" i="6" a="1"/>
  <c r="Q64" i="6" a="1"/>
  <c r="Q52" i="6" a="1"/>
  <c r="Q62" i="6" a="1"/>
  <c r="Q57" i="6" a="1"/>
  <c r="Q54" i="6"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B42" i="51" l="1"/>
  <c r="B29" i="51"/>
  <c r="B26" i="51"/>
  <c r="B40" i="51"/>
  <c r="A22" i="48" a="1"/>
  <c r="B24" i="51"/>
  <c r="B45" i="51"/>
  <c r="A24" i="50" a="1"/>
  <c r="A25" i="48" a="1"/>
  <c r="A29" i="50" a="1"/>
  <c r="A27" i="50" a="1"/>
  <c r="B38" i="51"/>
  <c r="B34" i="51"/>
  <c r="B41" i="51"/>
  <c r="A34" i="50" a="1"/>
  <c r="A31" i="48" a="1"/>
  <c r="A24" i="48" a="1"/>
  <c r="A23" i="48" a="1"/>
  <c r="A35" i="50" a="1"/>
  <c r="B30" i="51"/>
  <c r="E8" i="51"/>
  <c r="A33" i="48" a="1"/>
  <c r="A21" i="48" a="1"/>
  <c r="A35" i="48" a="1"/>
  <c r="B36" i="51"/>
  <c r="A23" i="50" a="1"/>
  <c r="A20" i="48" a="1"/>
  <c r="A26" i="48" a="1"/>
  <c r="A30" i="50" a="1"/>
  <c r="B37" i="51"/>
  <c r="A33" i="50" a="1"/>
  <c r="B28" i="51"/>
  <c r="B31" i="51"/>
  <c r="B44" i="51"/>
  <c r="A28" i="48" a="1"/>
  <c r="B27" i="51"/>
  <c r="B39" i="51"/>
  <c r="A25" i="50" a="1"/>
  <c r="A30" i="48" a="1"/>
  <c r="A32" i="48" a="1"/>
  <c r="B33" i="51"/>
  <c r="A20" i="50" a="1"/>
  <c r="B32" i="51"/>
  <c r="A34" i="48" a="1"/>
  <c r="A21" i="50" a="1"/>
  <c r="A28" i="50" a="1"/>
  <c r="A26" i="50" a="1"/>
  <c r="B22" i="51"/>
  <c r="A27" i="48" a="1"/>
  <c r="R40" i="6" a="1"/>
  <c r="A32" i="50" a="1"/>
  <c r="B35" i="51"/>
  <c r="B25" i="51"/>
  <c r="A29" i="48" a="1"/>
  <c r="B43" i="51"/>
  <c r="B23" i="51"/>
  <c r="B2" i="48" a="1"/>
  <c r="A22" i="50" a="1"/>
  <c r="A31" i="50" a="1"/>
  <c r="K96" i="3"/>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E10" i="51" l="1"/>
  <c r="E12" i="51"/>
  <c r="B46" i="51"/>
  <c r="B47" i="51" s="1"/>
  <c r="E11" i="51"/>
  <c r="CF6" i="3"/>
  <c r="CF10" i="3"/>
  <c r="CF48" i="3"/>
  <c r="CF15" i="3"/>
  <c r="CF39" i="3"/>
  <c r="CF9" i="3"/>
  <c r="CF41" i="3"/>
  <c r="F12" i="51" l="1"/>
  <c r="F10" i="51"/>
  <c r="F11" i="51" s="1"/>
  <c r="F9" i="51"/>
  <c r="F8" i="51"/>
  <c r="CG49" i="3"/>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<sst xmlns="http://schemas.openxmlformats.org/spreadsheetml/2006/main" count="8001" uniqueCount="1985">
  <si>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</si>
  <si>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</si>
  <si>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</si>
  <si>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</si>
  <si>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</si>
  <si>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</si>
  <si>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</si>
  <si>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</si>
  <si>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</si>
  <si>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</si>
  <si>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</si>
  <si>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</si>
  <si>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</si>
  <si>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</si>
  <si>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</si>
  <si>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</si>
  <si>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</si>
  <si>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</si>
  <si>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</si>
  <si>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</si>
  <si>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</si>
  <si>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</si>
  <si>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</si>
  <si>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</si>
  <si>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</si>
  <si>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</si>
  <si>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</si>
  <si>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</si>
  <si>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</si>
  <si>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</si>
  <si>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</si>
  <si>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</si>
  <si>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</si>
  <si>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</si>
  <si>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</si>
  <si>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</si>
  <si>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</si>
  <si>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</si>
  <si>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</si>
  <si>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</si>
  <si>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</si>
  <si>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</si>
  <si>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</si>
  <si>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</si>
  <si>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</si>
  <si>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</si>
  <si>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</si>
  <si>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</si>
  <si>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</si>
  <si>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</si>
  <si>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</si>
  <si>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</si>
  <si>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</si>
  <si>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</si>
  <si>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</si>
  <si>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</si>
  <si>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</si>
  <si>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</si>
  <si>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</si>
  <si>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</si>
  <si>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</si>
  <si>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</si>
  <si>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</si>
  <si>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</si>
  <si>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</si>
  <si>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</si>
  <si>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</si>
  <si>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</si>
  <si>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</si>
  <si>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</si>
  <si>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</si>
  <si>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</si>
  <si>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</si>
  <si>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</si>
  <si>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</si>
  <si>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</si>
  <si>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</si>
  <si>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</si>
  <si>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</si>
  <si>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</si>
  <si>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</si>
  <si>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</si>
  <si>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</si>
  <si>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</si>
  <si>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</si>
  <si>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</si>
  <si>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</si>
  <si>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</si>
  <si>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</si>
  <si>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</si>
  <si>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</si>
  <si>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</si>
  <si>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</si>
  <si>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</si>
  <si>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</si>
  <si>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</si>
  <si>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</si>
  <si>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</si>
  <si>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</si>
  <si>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</si>
  <si>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</si>
  <si>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</si>
  <si>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</si>
  <si>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</si>
  <si>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</si>
  <si>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</si>
  <si>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</si>
  <si>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</si>
  <si>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</si>
  <si>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</si>
  <si>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</si>
  <si>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</si>
  <si>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</si>
  <si>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</si>
  <si>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</si>
  <si>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</si>
  <si>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</si>
  <si>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</si>
  <si>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</si>
  <si>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</si>
  <si>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</si>
  <si>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</si>
  <si>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</si>
  <si>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</si>
  <si>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</si>
  <si>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</si>
  <si>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</si>
  <si>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</si>
  <si>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</si>
  <si>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</si>
  <si>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</si>
  <si>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</si>
  <si>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</si>
  <si>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</si>
  <si>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</si>
  <si>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</si>
  <si>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</si>
  <si>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</si>
  <si>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</si>
  <si>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</si>
  <si>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</si>
  <si>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</si>
  <si>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</si>
  <si>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</si>
  <si>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</si>
  <si>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</si>
  <si>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</si>
  <si>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</si>
  <si>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</si>
  <si>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</si>
  <si>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</si>
  <si>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</si>
  <si>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</si>
  <si>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</si>
  <si>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</si>
  <si>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</si>
  <si>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</si>
  <si>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</si>
  <si>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</si>
  <si>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</si>
  <si>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</si>
  <si>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</si>
  <si>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</si>
  <si>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</si>
  <si>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</si>
  <si>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</si>
  <si>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</si>
  <si>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</si>
  <si>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</si>
  <si>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</si>
  <si>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</si>
  <si>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</si>
  <si>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</si>
  <si>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</si>
  <si>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</si>
  <si>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</si>
  <si>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</si>
  <si>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</si>
  <si>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</si>
  <si>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</si>
  <si>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</si>
  <si>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</si>
  <si>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</si>
  <si>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</si>
  <si>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</si>
  <si>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</si>
  <si>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</si>
  <si>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</si>
  <si>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</si>
  <si>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</si>
  <si>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</si>
  <si>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</si>
  <si>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</si>
  <si>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</si>
  <si>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</si>
  <si>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</si>
  <si>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</si>
  <si>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</si>
  <si>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</si>
  <si>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</si>
  <si>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</si>
  <si>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</si>
  <si>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</si>
  <si>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</si>
  <si>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</si>
  <si>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</si>
  <si>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</si>
  <si>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</si>
  <si>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</si>
  <si>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</si>
  <si>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</si>
  <si>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</si>
  <si>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</si>
  <si>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</si>
  <si>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</si>
  <si>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</si>
  <si>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</si>
  <si>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</si>
  <si>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</si>
  <si>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</si>
  <si>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</si>
  <si>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</si>
  <si>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</si>
  <si>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</si>
  <si>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</si>
  <si>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</si>
  <si>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</si>
  <si>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</si>
  <si>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</si>
  <si>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</si>
  <si>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</si>
  <si>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</si>
  <si>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</si>
  <si>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</si>
  <si>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</si>
  <si>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</si>
  <si>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</si>
  <si>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</si>
  <si>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</si>
  <si>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</si>
  <si>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</si>
  <si>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</si>
  <si>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</si>
  <si>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</si>
  <si>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</si>
  <si>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</si>
  <si>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</si>
  <si>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</si>
  <si>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</si>
  <si>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</si>
  <si>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</si>
  <si>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</si>
  <si>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</si>
  <si>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</si>
  <si>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</si>
  <si>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</si>
  <si>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</si>
  <si>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</si>
  <si>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</si>
  <si>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</si>
  <si>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</si>
  <si>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</si>
  <si>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</si>
  <si>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</si>
  <si>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</si>
  <si>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</si>
  <si>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</si>
  <si>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</si>
  <si>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</si>
  <si>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</si>
  <si>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</si>
  <si>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</si>
  <si>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</si>
  <si>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</si>
  <si>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</si>
  <si>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</si>
  <si>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</si>
  <si>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</si>
  <si>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</si>
  <si>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</si>
  <si>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</si>
  <si>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</si>
  <si>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</si>
  <si>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</si>
  <si>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</si>
  <si>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</si>
  <si>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</si>
  <si>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</si>
  <si>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</si>
  <si>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</si>
  <si>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</si>
  <si>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</si>
  <si>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</si>
  <si>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</si>
  <si>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</si>
  <si>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</si>
  <si>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</si>
  <si>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</si>
  <si>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</si>
  <si>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</si>
  <si>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</si>
  <si>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</si>
  <si>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</si>
  <si>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</si>
  <si>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</si>
  <si>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</si>
  <si>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</si>
  <si>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</si>
  <si>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</si>
  <si>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</si>
  <si>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</si>
  <si>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</si>
  <si>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</si>
  <si>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</si>
  <si>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</si>
  <si>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</si>
  <si>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</si>
  <si>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</si>
  <si>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</si>
  <si>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</si>
  <si>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</si>
  <si>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</si>
  <si>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</si>
  <si>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</si>
  <si>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</si>
  <si>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</si>
  <si>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</si>
  <si>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</si>
  <si>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</si>
  <si>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</si>
  <si>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</si>
  <si>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</si>
  <si>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</si>
  <si>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</si>
  <si>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</si>
  <si>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</si>
  <si>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</si>
  <si>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</si>
  <si>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</si>
  <si>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</si>
  <si>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</si>
  <si>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</si>
  <si>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</si>
  <si>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</si>
  <si>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</si>
  <si>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</si>
  <si>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</si>
  <si>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</si>
  <si>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</si>
  <si>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</si>
  <si>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</si>
  <si>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</si>
  <si>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</si>
  <si>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</si>
  <si>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</si>
  <si>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</si>
  <si>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</si>
  <si>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</si>
  <si>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</si>
  <si>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</si>
  <si>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</si>
  <si>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</si>
  <si>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</si>
  <si>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</si>
  <si>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</si>
  <si>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</si>
  <si>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</si>
  <si>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</si>
  <si>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</si>
  <si>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</si>
  <si>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</si>
  <si>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</si>
  <si>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</si>
  <si>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</si>
  <si>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</si>
  <si>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</si>
  <si>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</si>
  <si>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</si>
  <si>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</si>
  <si>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</si>
  <si>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</si>
  <si>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</si>
  <si>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</si>
  <si>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</si>
  <si>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</si>
  <si>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</si>
  <si>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</si>
  <si>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</si>
  <si>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</si>
  <si>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</si>
  <si>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</si>
  <si>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</si>
  <si>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</si>
  <si>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</si>
  <si>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</si>
  <si>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</si>
  <si>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</si>
  <si>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</si>
  <si>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</si>
  <si>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</si>
  <si>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</si>
  <si>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</si>
  <si>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</si>
  <si>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</si>
  <si>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</si>
  <si>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</si>
  <si>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</si>
  <si>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</si>
  <si>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</si>
  <si>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</si>
  <si>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</si>
  <si>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</si>
  <si>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</si>
  <si>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</si>
  <si>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</si>
  <si>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</si>
  <si>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</si>
  <si>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</si>
  <si>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</si>
  <si>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</si>
  <si>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</si>
  <si>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</si>
  <si>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</si>
  <si>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</si>
  <si>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</si>
  <si>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</si>
  <si>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</si>
  <si>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</si>
  <si>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</si>
  <si>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</si>
  <si>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</si>
  <si>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</si>
  <si>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</si>
  <si>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</si>
  <si>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</si>
  <si>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</si>
  <si>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</si>
  <si>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</si>
  <si>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</si>
  <si>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</si>
  <si>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</si>
  <si>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</si>
  <si>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</si>
  <si>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</si>
  <si>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</si>
  <si>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</si>
  <si>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</si>
  <si>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</si>
  <si>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</si>
  <si>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</si>
  <si>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</si>
  <si>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</si>
  <si>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</si>
  <si>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</si>
  <si>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</si>
  <si>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</si>
  <si>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</si>
  <si>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</si>
  <si>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</si>
  <si>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</si>
  <si>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</si>
  <si>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</si>
  <si>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</si>
  <si>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</si>
  <si>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</si>
  <si>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</si>
  <si>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</si>
  <si>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</si>
  <si>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</si>
  <si>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</si>
  <si>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</si>
  <si>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</si>
  <si>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</si>
  <si>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</si>
  <si>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</si>
  <si>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</si>
  <si>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</si>
  <si>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</si>
  <si>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</si>
  <si>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</si>
  <si>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</si>
  <si>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</si>
  <si>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</si>
  <si>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</si>
  <si>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</si>
  <si>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</si>
  <si>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</si>
  <si>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</si>
  <si>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</si>
  <si>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</si>
  <si>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</si>
  <si>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</si>
  <si>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</si>
  <si>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</si>
  <si>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</si>
  <si>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</si>
  <si>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</si>
  <si>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</si>
  <si>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</si>
  <si>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</si>
  <si>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</si>
  <si>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</si>
  <si>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</si>
  <si>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</si>
  <si>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</si>
  <si>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</si>
  <si>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</si>
  <si>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</si>
  <si>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</si>
  <si>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</si>
  <si>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</si>
  <si>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</si>
  <si>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</si>
  <si>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</si>
  <si>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</si>
  <si>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</si>
  <si>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</si>
  <si>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</si>
  <si>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</si>
  <si>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</si>
  <si>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</si>
  <si>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</si>
  <si>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</si>
  <si>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</si>
  <si>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</si>
  <si>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</si>
  <si>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</si>
  <si>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</si>
  <si>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</si>
  <si>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</si>
  <si>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</si>
  <si>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</si>
  <si>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</si>
  <si>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</si>
  <si>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</si>
  <si>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</si>
  <si>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</si>
  <si>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</si>
  <si>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</si>
  <si>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</si>
  <si>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</si>
  <si>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</si>
  <si>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</si>
  <si>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</si>
  <si>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</si>
  <si>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</si>
  <si>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</si>
  <si>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</si>
  <si>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</si>
  <si>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</si>
  <si>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</si>
  <si>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</si>
  <si>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</si>
  <si>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</si>
  <si>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</si>
  <si>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</si>
  <si>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</si>
  <si>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</si>
  <si>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</si>
  <si>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</si>
  <si>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</si>
  <si>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</si>
  <si>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</si>
  <si>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</si>
  <si>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</si>
  <si>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</si>
  <si>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</si>
  <si>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</si>
  <si>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</si>
  <si>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</si>
  <si>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</si>
  <si>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</si>
  <si>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</si>
  <si>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</si>
  <si>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</si>
  <si>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</si>
  <si>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</si>
  <si>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</si>
  <si>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</si>
  <si>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</si>
  <si>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</si>
  <si>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</si>
  <si>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</si>
  <si>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</si>
  <si>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</si>
  <si>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</si>
  <si>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</si>
  <si>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</si>
  <si>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</si>
  <si>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</si>
  <si>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</si>
  <si>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</si>
  <si>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</si>
  <si>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</si>
  <si>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</si>
  <si>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</si>
  <si>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</si>
  <si>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</si>
  <si>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</si>
  <si>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</si>
  <si>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</si>
  <si>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</si>
  <si>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</si>
  <si>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</si>
  <si>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</si>
  <si>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</si>
  <si>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</si>
  <si>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</si>
  <si>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</si>
  <si>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</si>
  <si>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</si>
  <si>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</si>
  <si>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</si>
  <si>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</si>
  <si>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</si>
  <si>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</si>
  <si>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</si>
  <si>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</si>
  <si>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</si>
  <si>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</si>
  <si>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</si>
  <si>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</si>
  <si>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</si>
  <si>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</si>
  <si>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</si>
  <si>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</si>
  <si>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</si>
  <si>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</si>
  <si>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</si>
  <si>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</si>
  <si>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</si>
  <si>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</si>
  <si>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</si>
  <si>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</si>
  <si>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</si>
  <si>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</si>
  <si>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</si>
  <si>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</si>
  <si>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</si>
  <si>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</si>
  <si>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</si>
  <si>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</si>
  <si>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</si>
  <si>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</si>
  <si>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</si>
  <si>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</si>
  <si>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</si>
  <si>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</si>
  <si>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</si>
  <si>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</si>
  <si>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</si>
  <si>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</si>
  <si>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</si>
  <si>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</si>
  <si>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</si>
  <si>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</si>
  <si>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</si>
  <si>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</si>
  <si>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</si>
  <si>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</si>
  <si>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</si>
  <si>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</si>
  <si>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</si>
  <si>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</si>
  <si>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</si>
  <si>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</si>
  <si>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</si>
  <si>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</si>
  <si>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</si>
  <si>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</si>
  <si>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</si>
  <si>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</si>
  <si>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</si>
  <si>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</si>
  <si>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</si>
  <si>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</si>
  <si>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</si>
  <si>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</si>
  <si>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</si>
  <si>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</si>
  <si>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</si>
  <si>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</si>
  <si>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</si>
  <si>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</si>
  <si>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</si>
  <si>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</si>
  <si>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</si>
  <si>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</si>
  <si>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</si>
  <si>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</si>
  <si>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</si>
  <si>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</si>
  <si>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</si>
  <si>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</si>
  <si>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</si>
  <si>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</si>
  <si>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</si>
  <si>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</si>
  <si>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</si>
  <si>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</si>
  <si>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</si>
  <si>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</si>
  <si>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</si>
  <si>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</si>
  <si>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</si>
  <si>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</si>
  <si>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</si>
  <si>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</si>
  <si>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</si>
  <si>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</si>
  <si>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</si>
  <si>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</si>
  <si>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</si>
  <si>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</si>
  <si>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</si>
  <si>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</si>
  <si>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</si>
  <si>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</si>
  <si>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</si>
  <si>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</si>
  <si>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</si>
  <si>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</si>
  <si>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</si>
  <si>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</si>
  <si>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</si>
  <si>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</si>
  <si>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</si>
  <si>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</si>
  <si>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</si>
  <si>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</si>
  <si>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</si>
  <si>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</si>
  <si>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</si>
  <si>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</si>
  <si>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</si>
  <si>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</si>
  <si>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</si>
  <si>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</si>
  <si>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</si>
  <si>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</si>
  <si>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</si>
  <si>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</si>
  <si>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</si>
  <si>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</si>
  <si>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</si>
  <si>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</si>
  <si>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</si>
  <si>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</si>
  <si>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</si>
  <si>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</si>
  <si>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</si>
  <si>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</si>
  <si>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</si>
  <si>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</si>
  <si>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</si>
  <si>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</si>
  <si>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</si>
  <si>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</si>
  <si>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</si>
  <si>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</si>
  <si>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</si>
  <si>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</si>
  <si>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</si>
  <si>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</si>
  <si>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</si>
  <si>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</si>
  <si>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</si>
  <si>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</si>
  <si>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</si>
  <si>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</si>
  <si>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</si>
  <si>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</si>
  <si>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</si>
  <si>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</si>
  <si>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</si>
  <si>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</si>
  <si>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</si>
  <si>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</si>
  <si>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</si>
  <si>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</si>
  <si>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</si>
  <si>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</si>
  <si>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</si>
  <si>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</si>
  <si>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</si>
  <si>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</si>
  <si>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</si>
  <si>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</si>
  <si>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</si>
  <si>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</si>
  <si>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</si>
  <si>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</si>
  <si>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</si>
  <si>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</si>
  <si>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</si>
  <si>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</si>
  <si>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</si>
  <si>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</si>
  <si>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</si>
  <si>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</si>
  <si>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</si>
  <si>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</si>
  <si>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</si>
  <si>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</si>
  <si>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</si>
  <si>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</si>
  <si>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</si>
  <si>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</si>
  <si>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</si>
  <si>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</si>
  <si>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</si>
  <si>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</si>
  <si>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</si>
  <si>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</si>
  <si>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</si>
  <si>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</si>
  <si>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</si>
  <si>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</si>
  <si>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</si>
  <si>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</si>
  <si>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</si>
  <si>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</si>
  <si>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</si>
  <si>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</si>
  <si>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</si>
  <si>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</si>
  <si>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</si>
  <si>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</si>
  <si>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</si>
  <si>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</si>
  <si>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</si>
  <si>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</si>
  <si>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</si>
  <si>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</si>
  <si>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</si>
  <si>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</si>
  <si>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</si>
  <si>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</si>
  <si>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</si>
  <si>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</si>
  <si>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</si>
  <si>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</si>
  <si>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</si>
  <si>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</si>
  <si>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</si>
  <si>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</si>
  <si>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</si>
  <si>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</si>
  <si>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</si>
  <si>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</si>
  <si>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</si>
  <si>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</si>
  <si>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</si>
  <si>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</si>
  <si>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</si>
  <si>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</si>
  <si>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</si>
  <si>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</si>
  <si>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</si>
  <si>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</si>
  <si>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</si>
  <si>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</si>
  <si>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</si>
  <si>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</si>
  <si>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</si>
  <si>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</si>
  <si>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</si>
  <si>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</si>
  <si>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</si>
  <si>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</si>
  <si>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</si>
  <si>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</si>
  <si>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</si>
  <si>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</si>
  <si>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</si>
  <si>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</si>
  <si>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</si>
  <si>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</si>
  <si>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</si>
  <si>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</si>
  <si>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</si>
  <si>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</si>
  <si>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</si>
  <si>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</si>
  <si>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</si>
  <si>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</si>
  <si>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</si>
  <si>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</si>
  <si>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</si>
  <si>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</si>
  <si>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</si>
  <si>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</si>
  <si>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</si>
  <si>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</si>
  <si>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</si>
  <si>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</si>
  <si>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</si>
  <si>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</si>
  <si>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</si>
  <si>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</si>
  <si>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</si>
  <si>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</si>
  <si>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</si>
  <si>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</si>
  <si>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</si>
  <si>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</si>
  <si>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</si>
  <si>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</si>
  <si>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</si>
  <si>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</si>
  <si>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</si>
  <si>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</si>
  <si>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</si>
  <si>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</si>
  <si>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</si>
  <si>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</si>
  <si>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</si>
  <si>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</si>
  <si>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</si>
  <si>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</si>
  <si>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</si>
  <si>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</si>
  <si>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</si>
  <si>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</si>
  <si>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</si>
  <si>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</si>
  <si>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</si>
  <si>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</si>
  <si>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</si>
  <si>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</si>
  <si>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</si>
  <si>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</si>
  <si>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</si>
  <si>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</si>
  <si>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</si>
  <si>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</si>
  <si>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</si>
  <si>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</si>
  <si>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</si>
  <si>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</si>
  <si>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</si>
  <si>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</si>
  <si>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</si>
  <si>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</si>
  <si>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</si>
  <si>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</si>
  <si>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</si>
  <si>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</si>
  <si>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</si>
  <si>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</si>
  <si>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</si>
  <si>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</si>
  <si>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</si>
  <si>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</si>
  <si>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</si>
  <si>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</si>
  <si>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</si>
  <si>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</si>
  <si>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</si>
  <si>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</si>
  <si>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</si>
  <si>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</si>
  <si>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</si>
  <si>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</si>
  <si>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</si>
  <si>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</si>
  <si>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</si>
  <si>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</si>
  <si>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</si>
  <si>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</si>
  <si>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</si>
  <si>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</si>
  <si>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</si>
  <si>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</si>
  <si>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</si>
  <si>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</si>
  <si>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</si>
  <si>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</si>
  <si>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</si>
  <si>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</si>
  <si>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</si>
  <si>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</si>
  <si>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</si>
  <si>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</si>
  <si>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</si>
  <si>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</si>
  <si>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</si>
  <si>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</si>
  <si>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</si>
  <si>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</si>
  <si>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</si>
  <si>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</si>
  <si>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</si>
  <si>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</si>
  <si>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</si>
  <si>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</si>
  <si>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</si>
  <si>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</si>
  <si>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</si>
  <si>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</si>
  <si>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</si>
  <si>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</si>
  <si>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</si>
  <si>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</si>
  <si>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</si>
  <si>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</si>
  <si>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</si>
  <si>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</si>
  <si>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</si>
  <si>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</si>
  <si>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</si>
  <si>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</si>
  <si>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</si>
  <si>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</si>
  <si>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</si>
  <si>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</si>
  <si>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</si>
  <si>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</si>
  <si>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</si>
  <si>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</si>
  <si>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</si>
  <si>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</si>
  <si>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</si>
  <si>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</si>
  <si>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</si>
  <si>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</si>
  <si>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</si>
  <si>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</si>
  <si>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</si>
  <si>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</si>
  <si>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</si>
  <si>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</si>
  <si>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</si>
  <si>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</si>
  <si>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</si>
  <si>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</si>
  <si>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</si>
  <si>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</si>
  <si>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</si>
  <si>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</si>
  <si>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</si>
  <si>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</si>
  <si>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</si>
  <si>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</si>
  <si>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</si>
  <si>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</si>
  <si>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</si>
  <si>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</si>
  <si>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</si>
  <si>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</si>
  <si>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</si>
  <si>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</si>
  <si>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</si>
  <si>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</si>
  <si>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</si>
  <si>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</si>
  <si>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</si>
  <si>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</si>
  <si>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</si>
  <si>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</si>
  <si>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</si>
  <si>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</si>
  <si>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</si>
  <si>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</si>
  <si>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</si>
  <si>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</si>
  <si>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</si>
  <si>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</si>
  <si>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</si>
  <si>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</si>
  <si>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</si>
  <si>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</si>
  <si>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</si>
  <si>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</si>
  <si>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</si>
  <si>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</si>
  <si>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</si>
  <si>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</si>
  <si>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</si>
  <si>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</si>
  <si>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</si>
  <si>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</si>
  <si>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</si>
  <si>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</si>
  <si>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</si>
  <si>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</si>
  <si>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</si>
  <si>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</si>
  <si>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</si>
  <si>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</si>
  <si>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</si>
  <si>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</si>
  <si>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</si>
  <si>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</si>
  <si>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</si>
  <si>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</si>
  <si>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</si>
  <si>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</si>
  <si>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</si>
  <si>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</si>
  <si>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</si>
  <si>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</si>
  <si>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</si>
  <si>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</si>
  <si>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</si>
  <si>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</si>
  <si>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</si>
  <si>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</si>
  <si>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</si>
  <si>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</si>
  <si>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</si>
  <si>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</si>
  <si>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</si>
  <si>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</si>
  <si>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</si>
  <si>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</si>
  <si>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</si>
  <si>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</si>
  <si>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</si>
  <si>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</si>
  <si>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</si>
  <si>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</si>
  <si>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</si>
  <si>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</si>
  <si>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</si>
  <si>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</si>
  <si>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</si>
  <si>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</si>
  <si>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</si>
  <si>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</si>
  <si>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</si>
  <si>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</si>
  <si>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</si>
  <si>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</si>
  <si>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</si>
  <si>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</si>
  <si>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</si>
  <si>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</si>
  <si>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</si>
  <si>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</si>
  <si>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</si>
  <si>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</si>
  <si>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</si>
  <si>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</si>
  <si>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</si>
  <si>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</si>
  <si>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</si>
  <si>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</si>
  <si>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</si>
  <si>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</si>
  <si>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</si>
  <si>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</si>
  <si>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</si>
  <si>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</si>
  <si>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</si>
  <si>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</si>
  <si>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</si>
  <si>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</si>
  <si>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</si>
  <si>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</si>
  <si>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</si>
  <si>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</si>
  <si>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</si>
  <si>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</si>
  <si>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</si>
  <si>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</si>
  <si>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</si>
  <si>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</si>
  <si>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</si>
  <si>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</si>
  <si>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</si>
  <si>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</si>
  <si>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</si>
  <si>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</si>
  <si>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</si>
  <si>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</si>
  <si>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</si>
  <si>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</si>
  <si>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</si>
  <si>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</si>
  <si>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</si>
  <si>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</si>
  <si>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</si>
  <si>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</si>
  <si>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</si>
  <si>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</si>
  <si>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</si>
  <si>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</si>
  <si>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</si>
  <si>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</si>
  <si>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</si>
  <si>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</si>
  <si>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</si>
  <si>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</si>
  <si>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</si>
  <si>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</si>
  <si>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</si>
  <si>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</si>
  <si>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</si>
  <si>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</si>
  <si>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</si>
  <si>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</si>
  <si>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</si>
  <si>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</si>
  <si>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</si>
  <si>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</si>
  <si>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</si>
  <si>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</si>
  <si>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</si>
  <si>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</si>
  <si>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</si>
  <si>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</si>
  <si>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</si>
  <si>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</si>
  <si>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</si>
  <si>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</si>
  <si>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</si>
  <si>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</si>
  <si>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</si>
  <si>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</si>
  <si>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</si>
  <si>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</si>
  <si>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</si>
  <si>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</si>
  <si>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</si>
  <si>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</si>
  <si>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</si>
  <si>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</si>
  <si>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</si>
  <si>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</si>
  <si>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</si>
  <si>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</si>
  <si>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</si>
  <si>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</si>
  <si>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</si>
  <si>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</si>
  <si>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</si>
  <si>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</si>
  <si>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</si>
  <si>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</si>
  <si>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</si>
  <si>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</si>
  <si>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</si>
  <si>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</si>
  <si>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</si>
  <si>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</si>
  <si>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</si>
  <si>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</si>
  <si>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</si>
  <si>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</si>
  <si>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</si>
  <si>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</si>
  <si>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</si>
  <si>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</si>
  <si>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</si>
  <si>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</si>
  <si>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</si>
  <si>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</si>
  <si>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</si>
  <si>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</si>
  <si>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</si>
  <si>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</si>
  <si>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</si>
  <si>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</si>
  <si>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</si>
  <si>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</si>
  <si>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</si>
  <si>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</si>
  <si>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</si>
  <si>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</si>
  <si>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</si>
  <si>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</si>
  <si>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</si>
  <si>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</si>
  <si>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</si>
  <si>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</si>
  <si>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</si>
  <si>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</si>
  <si>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</si>
  <si>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</si>
  <si>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</si>
  <si>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</si>
  <si>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</si>
  <si>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</si>
  <si>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</si>
  <si>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</si>
  <si>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</si>
  <si>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</si>
  <si>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</si>
  <si>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</si>
  <si>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</si>
  <si>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</si>
  <si>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</si>
  <si>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</si>
  <si>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</si>
  <si>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</si>
  <si>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</si>
  <si>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</si>
  <si>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</si>
  <si>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</si>
  <si>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</si>
  <si>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</si>
  <si>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</si>
  <si>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</si>
  <si>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</si>
  <si>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</si>
  <si>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</si>
  <si>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</si>
  <si>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</si>
  <si>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</si>
  <si>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</si>
  <si>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</si>
  <si>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</si>
  <si>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</si>
  <si>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</si>
  <si>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</si>
  <si>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</si>
  <si>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</si>
  <si>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</si>
  <si>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</si>
  <si>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</si>
  <si>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</si>
  <si>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</si>
  <si>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</si>
  <si>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</si>
  <si>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</si>
  <si>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</si>
  <si>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</si>
  <si>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</si>
  <si>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</si>
  <si>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</si>
  <si>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</si>
  <si>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</si>
  <si>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</si>
  <si>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</si>
  <si>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</si>
  <si>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</si>
  <si>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</si>
  <si>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</si>
  <si>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</si>
  <si>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</si>
  <si>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</si>
  <si>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</si>
  <si>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</si>
  <si>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</si>
  <si>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</si>
  <si>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</si>
  <si>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</si>
  <si>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</si>
  <si>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</si>
  <si>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</si>
  <si>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</si>
  <si>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</si>
  <si>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</si>
  <si>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</si>
  <si>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</si>
  <si>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</si>
  <si>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</si>
  <si>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</si>
  <si>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</si>
  <si>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</si>
  <si>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</si>
  <si>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</si>
  <si>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</si>
  <si>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</si>
  <si>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</si>
  <si>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</si>
  <si>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</si>
  <si>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</si>
  <si>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</si>
  <si>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</si>
  <si>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</si>
  <si>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</si>
  <si>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</si>
  <si>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</si>
  <si>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</si>
  <si>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</si>
  <si>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</si>
  <si>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</si>
  <si>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</si>
  <si>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</si>
  <si>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</si>
  <si>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</si>
  <si>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</si>
  <si>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</si>
  <si>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</si>
  <si>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</si>
  <si>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</si>
  <si>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</si>
  <si>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</si>
  <si>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</si>
  <si>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</si>
  <si>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</si>
  <si>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</si>
  <si>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</si>
  <si>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</si>
  <si>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</si>
  <si>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</si>
  <si>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</si>
  <si>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</si>
  <si>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</si>
  <si>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</si>
  <si>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</si>
  <si>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</si>
  <si>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</si>
  <si>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</si>
  <si>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</si>
  <si>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</si>
  <si>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</si>
  <si>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</si>
  <si>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</si>
  <si>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</si>
  <si>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</si>
  <si>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</si>
  <si>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</si>
  <si>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</si>
  <si>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</si>
  <si>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</si>
  <si>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</si>
  <si>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</si>
  <si>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</si>
  <si>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</si>
  <si>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</si>
  <si>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</si>
  <si>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</si>
  <si>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</si>
  <si>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</si>
  <si>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</si>
  <si>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</si>
  <si>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</si>
  <si>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</si>
  <si>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</si>
  <si>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</si>
  <si>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</si>
  <si>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</si>
  <si>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</si>
  <si>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</si>
  <si>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</si>
  <si>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</si>
  <si>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</si>
  <si>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</si>
  <si>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</si>
  <si>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</si>
  <si>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</si>
  <si>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</si>
  <si>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</si>
  <si>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</si>
  <si>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</si>
  <si>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</si>
  <si>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</si>
  <si>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</si>
  <si>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</si>
  <si>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</si>
  <si>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</si>
  <si>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</si>
  <si>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</si>
  <si>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</si>
  <si>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</si>
  <si>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</si>
  <si>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</si>
  <si>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</si>
  <si>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</si>
  <si>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</si>
  <si>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</si>
  <si>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</si>
  <si>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</si>
  <si>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</si>
  <si>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</si>
  <si>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</si>
  <si>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</si>
  <si>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</si>
  <si>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</si>
  <si>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</si>
  <si>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</si>
  <si>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</si>
  <si>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</si>
  <si>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</si>
  <si>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</si>
  <si>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</si>
  <si>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</si>
  <si>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</si>
  <si>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</si>
  <si>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</si>
  <si>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</si>
  <si>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</si>
  <si>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</si>
  <si>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</si>
  <si>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</si>
  <si>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</si>
  <si>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</si>
  <si>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</si>
  <si>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</si>
  <si>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</si>
  <si>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</si>
  <si>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</si>
  <si>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</si>
  <si>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</si>
  <si>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</si>
  <si>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</si>
  <si>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</si>
  <si>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</si>
  <si>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</si>
  <si>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</si>
  <si>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</si>
  <si>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</si>
  <si>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</si>
  <si>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</si>
  <si>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</si>
  <si>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</si>
  <si>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</si>
  <si>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</si>
  <si>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</si>
  <si>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</si>
  <si>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</si>
  <si>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</si>
  <si>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</si>
  <si>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</si>
  <si>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</si>
  <si>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</si>
  <si>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</si>
  <si>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</si>
  <si>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</si>
  <si>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</si>
  <si>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</si>
  <si>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</si>
  <si>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</si>
  <si>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</si>
  <si>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</si>
  <si>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</si>
  <si>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</si>
  <si>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</si>
  <si>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</si>
  <si>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</si>
  <si>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</si>
  <si>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</si>
  <si>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</si>
  <si>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</si>
  <si>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</si>
  <si>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</si>
  <si>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</si>
  <si>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</si>
  <si>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</si>
  <si>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</si>
  <si>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</si>
  <si>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</si>
  <si>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</si>
  <si>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</si>
  <si>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</si>
  <si>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</si>
  <si>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</si>
  <si>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</si>
  <si>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</si>
  <si>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</si>
  <si>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</si>
  <si>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</si>
  <si>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</si>
  <si>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</si>
  <si>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</si>
  <si>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</si>
  <si>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</si>
  <si>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</si>
  <si>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</si>
  <si>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</si>
  <si>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</si>
  <si>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</si>
  <si>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</si>
  <si>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</si>
  <si>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</si>
  <si>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</si>
  <si>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</si>
  <si>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</si>
  <si>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</si>
  <si>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</si>
  <si>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</si>
  <si>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</si>
  <si>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</si>
  <si>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</si>
  <si>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</si>
  <si>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</si>
  <si>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</si>
  <si>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</si>
  <si>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</si>
  <si>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</si>
  <si>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</si>
  <si>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</si>
  <si>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</si>
  <si>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</si>
  <si>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</si>
  <si>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</si>
  <si>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</si>
  <si>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</si>
  <si>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</si>
  <si>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</si>
  <si>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</si>
  <si>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</si>
  <si>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</si>
  <si>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</si>
  <si>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</si>
  <si>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</si>
  <si>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</si>
  <si>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</si>
  <si>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</si>
  <si>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</si>
  <si>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</si>
  <si>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</si>
  <si>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</si>
  <si>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</si>
  <si>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</si>
  <si>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</si>
  <si>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</si>
  <si>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</si>
  <si>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</si>
  <si>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</si>
  <si>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</si>
  <si>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</si>
  <si>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</si>
  <si>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</si>
  <si>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</si>
  <si>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</si>
  <si>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</si>
  <si>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</si>
  <si>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</si>
  <si>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</si>
  <si>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</si>
  <si>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</si>
  <si>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</si>
  <si>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</si>
  <si>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</si>
  <si>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</si>
  <si>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</si>
  <si>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</si>
  <si>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</si>
  <si>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</si>
  <si>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</si>
  <si>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</si>
  <si>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</si>
  <si>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</si>
  <si>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</si>
  <si>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</si>
  <si>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</si>
  <si>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</si>
  <si>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</si>
  <si>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</si>
  <si>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</si>
  <si>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</si>
  <si>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</si>
  <si>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</si>
  <si>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</si>
  <si>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</si>
  <si>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</si>
  <si>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</si>
  <si>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</si>
  <si>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</si>
  <si>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</si>
  <si>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</si>
  <si>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</si>
  <si>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</si>
  <si>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</si>
  <si>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</si>
  <si>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</si>
  <si>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</si>
  <si>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</si>
  <si>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</si>
  <si>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</si>
  <si>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</si>
  <si>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</si>
  <si>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</si>
  <si>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</si>
  <si>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</si>
  <si>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</si>
  <si>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</si>
  <si>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</si>
  <si>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</si>
  <si>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</si>
  <si>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</si>
  <si>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</si>
  <si>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</si>
  <si>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</si>
  <si>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</si>
  <si>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</si>
  <si>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</si>
  <si>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</si>
  <si>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</si>
  <si>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</si>
  <si>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</si>
  <si>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</si>
  <si>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</si>
  <si>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</si>
  <si>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</si>
  <si>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</si>
  <si>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</si>
  <si>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</si>
  <si>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</si>
  <si>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</si>
  <si>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</si>
  <si>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</si>
  <si>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</si>
  <si>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</si>
  <si>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</si>
  <si>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</si>
  <si>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</si>
  <si>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</si>
  <si>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</si>
  <si>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</si>
  <si>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</si>
  <si>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</si>
  <si>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</si>
  <si>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</si>
  <si>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</si>
  <si>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</si>
  <si>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</si>
  <si>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</si>
  <si>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</si>
  <si>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</si>
  <si>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</si>
  <si>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</si>
  <si>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</si>
  <si>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</si>
  <si>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</si>
  <si>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</si>
  <si>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</si>
  <si>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</si>
  <si>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</si>
  <si>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</si>
  <si>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</si>
  <si>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</si>
  <si>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</si>
  <si>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</si>
  <si>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</si>
  <si>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</si>
  <si>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</si>
  <si>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</si>
  <si>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</si>
  <si>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</si>
  <si>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</si>
  <si>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</si>
  <si>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</si>
  <si>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</si>
  <si>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</si>
  <si>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</si>
  <si>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</si>
  <si>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</si>
  <si>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</si>
  <si>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</si>
  <si>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</si>
  <si>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</si>
  <si>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</si>
  <si>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</si>
  <si>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</si>
  <si>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</si>
  <si>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</si>
  <si>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</si>
  <si>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</si>
  <si>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</si>
  <si>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</si>
  <si>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</si>
  <si>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</si>
  <si>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</si>
  <si>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</si>
  <si>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</si>
  <si>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</si>
  <si>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</si>
  <si>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</si>
  <si>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</si>
  <si>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</si>
  <si>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</si>
  <si>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</si>
  <si>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</si>
  <si>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</si>
  <si>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</si>
  <si>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</si>
  <si>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</si>
  <si>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</si>
  <si>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</si>
  <si>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</si>
  <si>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</si>
  <si>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</si>
  <si>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</si>
  <si>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</si>
  <si>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</si>
  <si>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</si>
  <si>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</si>
  <si>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</si>
  <si>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</si>
  <si>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</si>
  <si>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</si>
  <si>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</si>
  <si>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</si>
  <si>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</si>
  <si>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</si>
  <si>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</si>
  <si>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</si>
  <si>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</si>
  <si>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</si>
  <si>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</si>
  <si>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</si>
  <si>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</si>
  <si>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</si>
  <si>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</si>
  <si>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</si>
  <si>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</si>
  <si>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</si>
  <si>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</si>
  <si>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</si>
  <si>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</si>
  <si>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</si>
  <si>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</si>
  <si>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</si>
  <si>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</si>
  <si>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</si>
  <si>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</si>
  <si>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</si>
  <si>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</si>
  <si>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</si>
  <si>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</si>
  <si>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</si>
  <si>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</si>
  <si>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</si>
  <si>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</si>
  <si>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</si>
  <si>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</si>
  <si>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</si>
  <si>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</si>
  <si>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</si>
  <si>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</si>
  <si>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</si>
  <si>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</si>
  <si>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</si>
  <si>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</si>
  <si>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</si>
  <si>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</si>
  <si>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</si>
  <si>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</si>
  <si>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</si>
  <si>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</si>
  <si>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</si>
  <si>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</si>
  <si>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</si>
  <si>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</si>
  <si>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</si>
  <si>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</si>
  <si>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</si>
  <si>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</si>
  <si>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</si>
  <si>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</si>
  <si>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</si>
  <si>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</si>
  <si>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</si>
  <si>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</si>
  <si>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</si>
  <si>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</si>
  <si>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</si>
  <si>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</si>
  <si>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</si>
  <si>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</si>
  <si>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</si>
  <si>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</si>
  <si>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</si>
  <si>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</si>
  <si>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</si>
  <si>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</si>
  <si>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</si>
  <si>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</si>
  <si>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</si>
  <si>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</si>
  <si>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</si>
  <si>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</si>
  <si>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</si>
  <si>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</si>
  <si>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</si>
  <si>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</si>
  <si>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</si>
  <si>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</si>
  <si>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</si>
  <si>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</si>
  <si>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</si>
  <si>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</si>
  <si>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</si>
  <si>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</si>
  <si>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</si>
  <si>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</si>
  <si>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</si>
  <si>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</si>
  <si>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</si>
  <si>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</si>
  <si>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</si>
  <si>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</si>
  <si>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</si>
  <si>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</si>
  <si>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</si>
  <si>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</si>
  <si>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</si>
  <si>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</si>
  <si>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</si>
  <si>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</si>
  <si>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</si>
  <si>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</si>
  <si>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</si>
  <si>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</si>
  <si>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</si>
  <si>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</si>
  <si>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</si>
  <si>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</si>
  <si>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</si>
  <si>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</si>
  <si>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</si>
  <si>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</si>
  <si>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</si>
  <si>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</si>
  <si>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</si>
  <si>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</si>
  <si>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</si>
  <si>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</si>
  <si>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</si>
  <si>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</si>
  <si>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</si>
  <si>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</si>
  <si>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</si>
  <si>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</si>
  <si>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</si>
  <si>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</si>
  <si>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</si>
  <si>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</si>
  <si>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</si>
  <si>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</si>
  <si>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</si>
  <si>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</si>
  <si>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</si>
  <si>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</si>
  <si>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</si>
  <si>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</si>
  <si>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</si>
  <si>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</si>
  <si>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</si>
  <si>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</si>
  <si>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</si>
  <si>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</si>
  <si>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</si>
  <si>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</si>
  <si>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</si>
  <si>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</si>
  <si>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JUANCHO</t>
  </si>
  <si>
    <t>LARRY</t>
  </si>
  <si>
    <t>MEDINA</t>
  </si>
  <si>
    <t>LUIS/VIR</t>
  </si>
  <si>
    <t>1|2-1</t>
  </si>
  <si>
    <t>2|0-1</t>
  </si>
  <si>
    <t>X|1-1</t>
  </si>
  <si>
    <t>2|0-3</t>
  </si>
  <si>
    <t>X|2-2</t>
  </si>
  <si>
    <t>2|0-2</t>
  </si>
  <si>
    <t>1|3-0</t>
  </si>
  <si>
    <t>1|3-2</t>
  </si>
  <si>
    <t>1|2-0</t>
  </si>
  <si>
    <t>1|1-0</t>
  </si>
  <si>
    <t>2|1-2</t>
  </si>
  <si>
    <t>1|4-0</t>
  </si>
  <si>
    <t>1|3-1</t>
  </si>
  <si>
    <t>1|5-0</t>
  </si>
  <si>
    <t>2|1-3</t>
  </si>
  <si>
    <t>2|2-3</t>
  </si>
  <si>
    <t>2|1-4</t>
  </si>
  <si>
    <t>Mbappe</t>
  </si>
  <si>
    <t>CR7</t>
  </si>
  <si>
    <t>Vini</t>
  </si>
  <si>
    <t>Pedri</t>
  </si>
  <si>
    <t>X|0-0</t>
  </si>
  <si>
    <t>1|6-0</t>
  </si>
  <si>
    <t>2|0-4</t>
  </si>
  <si>
    <t>1|5-1</t>
  </si>
  <si>
    <t>2|0-5</t>
  </si>
  <si>
    <t>M. Oyarzabal</t>
  </si>
  <si>
    <t>H. Kane</t>
  </si>
  <si>
    <t>Lamine Yamal</t>
  </si>
  <si>
    <t>Musiala</t>
  </si>
  <si>
    <t>X|4-4</t>
  </si>
  <si>
    <t>X|3-3</t>
  </si>
  <si>
    <t>Kane</t>
  </si>
  <si>
    <t>Haaland</t>
  </si>
  <si>
    <t>Bellingham</t>
  </si>
  <si>
    <t>Harry Kane</t>
  </si>
  <si>
    <t>VÍCTOR</t>
  </si>
  <si>
    <t>Oyarzabal</t>
  </si>
  <si>
    <t>Vitinha</t>
  </si>
  <si>
    <t>Courtois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</si>
</sst>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3"/>
                <c:pt idx="0">
                  <c:v>1|2-1</c:v>
                </c:pt>
                <c:pt idx="1">
                  <c:v>1|1-0</c:v>
                </c:pt>
                <c:pt idx="2">
                  <c:v>1|2-0</c:v>
                </c:pt>
              </c:strCache>
            </c:strRef>
          </c:cat>
          <c:val>
            <c:numRef>
              <c:f>Stats!$I$8:$I$31</c:f>
              <c:numCache>
                <c:formatCode>General</c:formatCode>
                <c:ptCount val="24"/>
                <c:pt idx="0">
                  <c:v>3</c:v>
                </c:pt>
                <c:pt idx="1">
                  <c:v>1</c:v>
                </c:pt>
                <c:pt idx="2">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3"/>
                <c:pt idx="0">
                  <c:v>1|2-1</c:v>
                </c:pt>
                <c:pt idx="1">
                  <c:v>1|1-0</c:v>
                </c:pt>
                <c:pt idx="2">
                  <c:v>1|2-0</c:v>
                </c:pt>
              </c:strCache>
            </c:strRef>
          </c:cat>
          <c:val>
            <c:numRef>
              <c:f>Stats!$J$8:$J$31</c:f>
              <c:numCache>
                <c:formatCode>General</c:formatCode>
                <c:ptCount val="24"/>
                <c:pt idx="0">
                  <c:v>0</c:v>
                </c:pt>
                <c:pt idx="1">
                  <c:v>0</c:v>
                </c:pt>
                <c:pt idx="2">
                  <c:v>1</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3"/>
                <c:pt idx="0">
                  <c:v>1|2-1</c:v>
                </c:pt>
                <c:pt idx="1">
                  <c:v>1|1-0</c:v>
                </c:pt>
                <c:pt idx="2">
                  <c:v>1|2-0</c:v>
                </c:pt>
              </c:strCache>
            </c:strRef>
          </c:cat>
          <c:val>
            <c:numRef>
              <c:f>Stats!$K$8:$K$31</c:f>
              <c:numCache>
                <c:formatCode>General</c:formatCode>
                <c:ptCount val="24"/>
                <c:pt idx="0">
                  <c:v>0</c:v>
                </c:pt>
                <c:pt idx="1">
                  <c:v>0</c:v>
                </c:pt>
                <c:pt idx="2">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42"/>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2</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K17" sqref="K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opLeftCell="V1" zoomScaleNormal="100" workbookViewId="0">
      <selection activeCell="AC13" sqref="AC13"/>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Pendiente</v>
      </c>
      <c r="E6" s="756" t="str">
        <f t="shared" si="1"/>
        <v>-</v>
      </c>
      <c r="F6" s="756" t="str">
        <f t="shared" si="2"/>
        <v>-</v>
      </c>
      <c r="G6" s="756"/>
      <c r="H6" s="756" t="str">
        <f t="shared" si="3"/>
        <v>-</v>
      </c>
      <c r="I6" s="756" t="str">
        <f t="shared" si="4"/>
        <v>-</v>
      </c>
      <c r="J6" s="756"/>
      <c r="K6" s="756" t="str">
        <f t="shared" si="5"/>
        <v>-</v>
      </c>
      <c r="L6" s="756" t="str">
        <f t="shared" si="6"/>
        <v>-</v>
      </c>
      <c r="M6" s="756"/>
      <c r="N6" s="756" t="str">
        <f t="shared" si="7"/>
        <v>-</v>
      </c>
      <c r="O6" s="756" t="str">
        <f t="shared" si="8"/>
        <v>-</v>
      </c>
      <c r="P6" s="756"/>
      <c r="Q6" s="756" t="str">
        <f t="shared" si="9"/>
        <v>-</v>
      </c>
      <c r="R6" s="756" t="str">
        <f t="shared" si="10"/>
        <v>-</v>
      </c>
      <c r="S6" s="756"/>
      <c r="T6" s="756" t="str">
        <f t="shared" si="11"/>
        <v>-</v>
      </c>
      <c r="U6" s="756" t="str">
        <f t="shared" si="12"/>
        <v>-</v>
      </c>
      <c r="V6" s="178"/>
      <c r="W6" s="834"/>
      <c r="X6" s="195">
        <f ca="1">Horarios!C6</f>
        <v>46191.75</v>
      </c>
      <c r="Y6" s="196">
        <f ca="1">Horarios!C6</f>
        <v>46191.75</v>
      </c>
      <c r="Z6" s="197" t="str">
        <f>Idiomas!D64</f>
        <v>J2</v>
      </c>
      <c r="AA6" s="198" t="str">
        <f ca="1">A8</f>
        <v>República Checa</v>
      </c>
      <c r="AB6" s="488" t="str" cm="1">
        <f t="array" aca="1" ref="AB6" ca="1">Ver_flag_local</f>
        <v>🇨🇿</v>
      </c>
      <c r="AC6" s="199">
        <v>1</v>
      </c>
      <c r="AD6" s="200">
        <v>1</v>
      </c>
      <c r="AE6" s="491" t="str" cm="1">
        <f t="array" aca="1" ref="AE6" ca="1">Ver_flag_visit</f>
        <v>🇿🇦</v>
      </c>
      <c r="AF6" s="201" t="str">
        <f ca="1">A6</f>
        <v>Sudáfrica</v>
      </c>
      <c r="AG6" s="421">
        <f t="shared" si="13"/>
        <v>0</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4</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v>1</v>
      </c>
      <c r="AD7" s="200">
        <v>0</v>
      </c>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0</v>
      </c>
      <c r="BF7" s="760">
        <f t="shared" ref="BF7:BF53" ca="1" si="26">+BG7+BH7+BI7</f>
        <v>1</v>
      </c>
      <c r="BG7" s="760">
        <f t="shared" ca="1" si="17"/>
        <v>0</v>
      </c>
      <c r="BH7" s="760">
        <f t="shared" ca="1" si="18"/>
        <v>0</v>
      </c>
      <c r="BI7" s="760">
        <f t="shared" ca="1" si="19"/>
        <v>1</v>
      </c>
      <c r="BJ7" s="760">
        <f t="shared" ca="1" si="20"/>
        <v>0</v>
      </c>
      <c r="BK7" s="760">
        <f t="shared" ca="1" si="21"/>
        <v>2</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0</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0</v>
      </c>
      <c r="BW7" s="770">
        <f ca="1">IF($BT7="-","-",COUNTIFS(FGLocal,$BD7,Ganador,"Visitante",Part1Empate1V,$BT7)+COUNTIFS(FGVisitante,$BD7,Ganador,"Local",Part1Empate1L,$BT7))</f>
        <v>0</v>
      </c>
      <c r="BX7" s="770">
        <f ca="1">IF($BT7="-","-",BU7*3+BV7)</f>
        <v>0</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0</v>
      </c>
      <c r="CB7" s="770">
        <f ca="1">IF($BZ7="-","-",SUMIFS(FG_GolesVisitante,FGLocal,$BD7,Part1Empate2V,$BZ7)+SUMIFS(FG_GolesLocal,FGVisitante,$BD7,Part1Empate2L,$BZ7))</f>
        <v>0</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0</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0</v>
      </c>
      <c r="CK7" s="770">
        <f ca="1">IF($CH7="-","-",COUNTIFS(FGLocal,$BD7,Ganador,"Visitante",Part2Empate4V,$CH7)+COUNTIFS(FGVisitante,$BD7,Ganador,"Local",Part2Empate4L,$CH7))</f>
        <v>0</v>
      </c>
      <c r="CL7" s="770">
        <f ca="1">IF($CH7="-","-",CI7*3+CJ7)</f>
        <v>0</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0</v>
      </c>
      <c r="CP7" s="770">
        <f ca="1">IF($CN7="-","-",SUMIFS(FG_GolesVisitante,FGLocal,$BD7,Part2Empate5V,$CN7)+SUMIFS(FG_GolesLocal,FGVisitante,$BD7,Part2Empate5L,$CN7))</f>
        <v>0</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0</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4</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v>0</v>
      </c>
      <c r="AD8" s="200">
        <v>3</v>
      </c>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0</v>
      </c>
      <c r="AN8" s="230">
        <f t="shared" ca="1" si="16"/>
        <v>1</v>
      </c>
      <c r="AO8" s="230">
        <f t="shared" ca="1" si="16"/>
        <v>0</v>
      </c>
      <c r="AP8" s="230">
        <f t="shared" ca="1" si="16"/>
        <v>0</v>
      </c>
      <c r="AQ8" s="230">
        <f t="shared" ca="1" si="16"/>
        <v>1</v>
      </c>
      <c r="AR8" s="230">
        <f t="shared" ca="1" si="16"/>
        <v>1</v>
      </c>
      <c r="AS8" s="230">
        <f t="shared" ca="1" si="16"/>
        <v>2</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4</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v>1</v>
      </c>
      <c r="AD9" s="239">
        <v>0</v>
      </c>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0</v>
      </c>
      <c r="AN9" s="244">
        <f t="shared" ca="1" si="16"/>
        <v>1</v>
      </c>
      <c r="AO9" s="244">
        <f t="shared" ca="1" si="16"/>
        <v>0</v>
      </c>
      <c r="AP9" s="244">
        <f t="shared" ca="1" si="16"/>
        <v>0</v>
      </c>
      <c r="AQ9" s="244">
        <f t="shared" ca="1" si="16"/>
        <v>1</v>
      </c>
      <c r="AR9" s="244">
        <f t="shared" ca="1" si="16"/>
        <v>0</v>
      </c>
      <c r="AS9" s="244">
        <f t="shared" ca="1" si="16"/>
        <v>2</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0</v>
      </c>
      <c r="BF9" s="760">
        <f t="shared" ca="1" si="26"/>
        <v>1</v>
      </c>
      <c r="BG9" s="760">
        <f t="shared" ca="1" si="17"/>
        <v>0</v>
      </c>
      <c r="BH9" s="760">
        <f t="shared" ca="1" si="18"/>
        <v>0</v>
      </c>
      <c r="BI9" s="760">
        <f t="shared" ca="1" si="19"/>
        <v>1</v>
      </c>
      <c r="BJ9" s="760">
        <f t="shared" ca="1" si="20"/>
        <v>1</v>
      </c>
      <c r="BK9" s="760">
        <f t="shared" ca="1" si="21"/>
        <v>2</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0</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0</v>
      </c>
      <c r="BW9" s="770">
        <f ca="1">IF($BT9="-","-",COUNTIFS(FGLocal,$BD9,Ganador,"Visitante",Part1Empate1V,$BT9)+COUNTIFS(FGVisitante,$BD9,Ganador,"Local",Part1Empate1L,$BT9))</f>
        <v>0</v>
      </c>
      <c r="BX9" s="770">
        <f ca="1">IF($BT9="-","-",BU9*3+BV9)</f>
        <v>0</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0</v>
      </c>
      <c r="CB9" s="770">
        <f ca="1">IF($BZ9="-","-",SUMIFS(FG_GolesVisitante,FGLocal,$BD9,Part1Empate2V,$BZ9)+SUMIFS(FG_GolesLocal,FGVisitante,$BD9,Part1Empate2L,$BZ9))</f>
        <v>0</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0</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0</v>
      </c>
      <c r="CK9" s="770">
        <f ca="1">IF($CH9="-","-",COUNTIFS(FGLocal,$BD9,Ganador,"Visitante",Part2Empate4V,$CH9)+COUNTIFS(FGVisitante,$BD9,Ganador,"Local",Part2Empate4L,$CH9))</f>
        <v>0</v>
      </c>
      <c r="CL9" s="770">
        <f ca="1">IF($CH9="-","-",CI9*3+CJ9)</f>
        <v>0</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0</v>
      </c>
      <c r="CP9" s="770">
        <f ca="1">IF($CN9="-","-",SUMIFS(FG_GolesVisitante,FGLocal,$BD9,Part2Empate5V,$CN9)+SUMIFS(FG_GolesLocal,FGVisitante,$BD9,Part2Empate5L,$CN9))</f>
        <v>0</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0</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4</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1</v>
      </c>
      <c r="BF10" s="760">
        <f t="shared" ca="1" si="26"/>
        <v>1</v>
      </c>
      <c r="BG10" s="760">
        <f t="shared" ca="1" si="17"/>
        <v>0</v>
      </c>
      <c r="BH10" s="760">
        <f t="shared" ca="1" si="18"/>
        <v>1</v>
      </c>
      <c r="BI10" s="760">
        <f t="shared" ca="1" si="19"/>
        <v>0</v>
      </c>
      <c r="BJ10" s="760">
        <f t="shared" ca="1" si="20"/>
        <v>1</v>
      </c>
      <c r="BK10" s="760">
        <f t="shared" ca="1" si="21"/>
        <v>1</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1</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(2)</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1</v>
      </c>
      <c r="BW10" s="770">
        <f t="shared" ref="BW10:BW53" ca="1" si="38">IF($BT10="-","-",COUNTIFS(FGLocal,$BD10,Ganador,"Visitante",Part1Empate1V,$BT10)+COUNTIFS(FGVisitante,$BD10,Ganador,"Local",Part1Empate1L,$BT10))</f>
        <v>0</v>
      </c>
      <c r="BX10" s="770">
        <f t="shared" ref="BX10:BX53" ca="1" si="39">IF($BT10="-","-",BU10*3+BV10)</f>
        <v>1</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(2)</v>
      </c>
      <c r="CA10" s="770">
        <f t="shared" ref="CA10:CA53" ca="1" si="40">IF($BZ10="-","-",SUMIFS(FG_GolesLocal,FGLocal,$BD10,Part1Empate2V,$BZ10)+SUMIFS(FG_GolesVisitante,FGVisitante,$BD10,Part1Empate2L,$BZ10))</f>
        <v>1</v>
      </c>
      <c r="CB10" s="770">
        <f t="shared" ref="CB10:CB53" ca="1" si="41">IF($BZ10="-","-",SUMIFS(FG_GolesVisitante,FGLocal,$BD10,Part1Empate2V,$BZ10)+SUMIFS(FG_GolesLocal,FGVisitante,$BD10,Part1Empate2L,$BZ10))</f>
        <v>1</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(2)</v>
      </c>
      <c r="CF10" s="770">
        <f t="shared" ref="CF10:CF53" ca="1" si="43">IF($CE10="-","-",SUMIFS(FG_GolesLocal,FGLocal,$BD10,Part1Empate3V,$CE10)+SUMIFS(FG_GolesVisitante,FGVisitante,$BD10,Part1Empate3L,$CE10))</f>
        <v>1</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(2)</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1</v>
      </c>
      <c r="CK10" s="770">
        <f t="shared" ref="CK10:CK53" ca="1" si="46">IF($CH10="-","-",COUNTIFS(FGLocal,$BD10,Ganador,"Visitante",Part2Empate4V,$CH10)+COUNTIFS(FGVisitante,$BD10,Ganador,"Local",Part2Empate4L,$CH10))</f>
        <v>0</v>
      </c>
      <c r="CL10" s="770">
        <f t="shared" ref="CL10:CL53" ca="1" si="47">IF($CH10="-","-",CI10*3+CJ10)</f>
        <v>1</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(2)</v>
      </c>
      <c r="CO10" s="770">
        <f t="shared" ref="CO10:CO53" ca="1" si="48">IF($CN10="-","-",SUMIFS(FG_GolesLocal,FGLocal,$BD10,Part2Empate5V,$CN10)+SUMIFS(FG_GolesVisitante,FGVisitante,$BD10,Part2Empate5L,$CN10))</f>
        <v>1</v>
      </c>
      <c r="CP10" s="770">
        <f t="shared" ref="CP10:CP53" ca="1" si="49">IF($CN10="-","-",SUMIFS(FG_GolesVisitante,FGLocal,$BD10,Part2Empate5V,$CN10)+SUMIFS(FG_GolesLocal,FGVisitante,$BD10,Part2Empate5L,$CN10))</f>
        <v>1</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(2)</v>
      </c>
      <c r="CT10" s="770">
        <f t="shared" ref="CT10:CT53" ca="1" si="51">IF($CS10="-","-",SUMIFS(FG_GolesLocal,FGLocal,$BD10,Part2Empate6V,$CS10)+SUMIFS(FG_GolesVisitante,FGVisitante,$BD10,Part2Empate6L,$CS10))</f>
        <v>1</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(2)</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(2)</v>
      </c>
      <c r="CZ10" s="769">
        <f t="shared" ca="1" si="31"/>
        <v>1</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(2)</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2</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1</v>
      </c>
      <c r="BF11" s="760">
        <f t="shared" ca="1" si="26"/>
        <v>1</v>
      </c>
      <c r="BG11" s="760">
        <f t="shared" ca="1" si="17"/>
        <v>0</v>
      </c>
      <c r="BH11" s="760">
        <f t="shared" ca="1" si="18"/>
        <v>1</v>
      </c>
      <c r="BI11" s="760">
        <f t="shared" ca="1" si="19"/>
        <v>0</v>
      </c>
      <c r="BJ11" s="760">
        <f t="shared" ca="1" si="20"/>
        <v>1</v>
      </c>
      <c r="BK11" s="760">
        <f t="shared" ca="1" si="21"/>
        <v>1</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1</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(2)</v>
      </c>
      <c r="BU11" s="770">
        <f t="shared" ca="1" si="36"/>
        <v>0</v>
      </c>
      <c r="BV11" s="770">
        <f t="shared" ca="1" si="37"/>
        <v>1</v>
      </c>
      <c r="BW11" s="770">
        <f t="shared" ca="1" si="38"/>
        <v>0</v>
      </c>
      <c r="BX11" s="770">
        <f t="shared" ca="1" si="39"/>
        <v>1</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(2)</v>
      </c>
      <c r="CA11" s="770">
        <f t="shared" ca="1" si="40"/>
        <v>1</v>
      </c>
      <c r="CB11" s="770">
        <f t="shared" ca="1" si="41"/>
        <v>1</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(2)</v>
      </c>
      <c r="CF11" s="770">
        <f t="shared" ca="1" si="43"/>
        <v>1</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(2)</v>
      </c>
      <c r="CI11" s="770">
        <f t="shared" ca="1" si="44"/>
        <v>0</v>
      </c>
      <c r="CJ11" s="770">
        <f t="shared" ca="1" si="45"/>
        <v>1</v>
      </c>
      <c r="CK11" s="770">
        <f t="shared" ca="1" si="46"/>
        <v>0</v>
      </c>
      <c r="CL11" s="770">
        <f t="shared" ca="1" si="47"/>
        <v>1</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(2)</v>
      </c>
      <c r="CO11" s="770">
        <f t="shared" ca="1" si="48"/>
        <v>1</v>
      </c>
      <c r="CP11" s="770">
        <f t="shared" ca="1" si="49"/>
        <v>1</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(2)</v>
      </c>
      <c r="CT11" s="770">
        <f t="shared" ca="1" si="51"/>
        <v>1</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(2)</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(2)</v>
      </c>
      <c r="CZ11" s="769">
        <f t="shared" ca="1" si="31"/>
        <v>1</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(2)</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2</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Empate</v>
      </c>
      <c r="E12" s="756" t="str">
        <f t="shared" ref="E12:E17" ca="1" si="55">IF(D12="Pendiente","-",INDEX($BT$6:$BT$53,MATCH($AA12,$BD$6:$BD$53,0)))</f>
        <v>P.1 (2)</v>
      </c>
      <c r="F12" s="756" t="str">
        <f t="shared" ref="F12:F17" ca="1" si="56">IF(D12="Pendiente","-",INDEX($BT$6:$BT$53,MATCH($AF12,$BD$6:$BD$53,0)))</f>
        <v>P.1 (2)</v>
      </c>
      <c r="G12" s="756"/>
      <c r="H12" s="756" t="str">
        <f t="shared" ref="H12:H17" ca="1" si="57">IF(D12="Pendiente","-",INDEX($BZ$6:$BZ$53,MATCH($AA12,$BD$6:$BD$53,0)))</f>
        <v>P.1 (2)</v>
      </c>
      <c r="I12" s="756" t="str">
        <f t="shared" ref="I12:I17" ca="1" si="58">IF(D12="Pendiente","-",INDEX($BZ$6:$BZ$53,MATCH($AF12,$BD$6:$BD$53,0)))</f>
        <v>P.1 (2)</v>
      </c>
      <c r="J12" s="756"/>
      <c r="K12" s="756" t="str">
        <f t="shared" ref="K12:K17" ca="1" si="59">IF(D12="Pendiente","-",INDEX($CE$6:$CE$53,MATCH($AA12,$BD$6:$BD$53,0)))</f>
        <v>P.1 (2)</v>
      </c>
      <c r="L12" s="756" t="str">
        <f t="shared" ref="L12:L17" ca="1" si="60">IF(D12="Pendiente","-",INDEX($CE$6:$CE$53,MATCH($AF12,$BD$6:$BD$53,0)))</f>
        <v>P.1 (2)</v>
      </c>
      <c r="M12" s="756"/>
      <c r="N12" s="756" t="str">
        <f t="shared" ref="N12:N17" ca="1" si="61">IF(D12="Pendiente","-",INDEX($CH$6:$CH$53,MATCH($AA12,$BD$6:$BD$53,0)))</f>
        <v>P.1 (2)</v>
      </c>
      <c r="O12" s="756" t="str">
        <f t="shared" ref="O12:O17" ca="1" si="62">IF(D12="Pendiente","-",INDEX($CH$6:$CH$53,MATCH($AF12,$BD$6:$BD$53,0)))</f>
        <v>P.1 (2)</v>
      </c>
      <c r="P12" s="756"/>
      <c r="Q12" s="756" t="str">
        <f t="shared" ref="Q12:Q17" ca="1" si="63">IF(D12="Pendiente","-",INDEX($CN$6:$CN$53,MATCH($AA12,$BD$6:$BD$53,0)))</f>
        <v>P.1 (2)</v>
      </c>
      <c r="R12" s="756" t="str">
        <f t="shared" ref="R12:R17" ca="1" si="64">IF(D12="Pendiente","-",INDEX($CN$6:$CN$53,MATCH($AF12,$BD$6:$BD$53,0)))</f>
        <v>P.1 (2)</v>
      </c>
      <c r="S12" s="756"/>
      <c r="T12" s="756" t="str">
        <f t="shared" ref="T12:T17" ca="1" si="65">IF(D12="Pendiente","-",INDEX($CS$6:$CS$53,MATCH($AA12,$BD$6:$BD$53,0)))</f>
        <v>P.1 (2)</v>
      </c>
      <c r="U12" s="756" t="str">
        <f t="shared" ref="U12:U17" ca="1" si="66">IF(D12="Pendiente","-",INDEX($CS$6:$CS$53,MATCH($AF12,$BD$6:$BD$53,0)))</f>
        <v>P.1 (2)</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1</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3</v>
      </c>
      <c r="BT12" s="769" t="str">
        <f ca="1">IF(COUNTIFS($BS$6:$BS$53,BS12,$BC$6:$BC$53,INDEX(T_Equipos[Grupo],MATCH(BD12,T_Equipos[NombreEquipo],0)))=1,"-","P."&amp;BS12&amp;" ("&amp;COUNTIFS($BS$6:$BS$53,BS12,$BC$6:$BC$53,INDEX(T_Equipos[Grupo],MATCH(BD12,T_Equipos[NombreEquipo],0)))&amp;")")</f>
        <v>P.3 (2)</v>
      </c>
      <c r="BU12" s="770">
        <f t="shared" ca="1" si="36"/>
        <v>0</v>
      </c>
      <c r="BV12" s="770">
        <f t="shared" ca="1" si="37"/>
        <v>0</v>
      </c>
      <c r="BW12" s="770">
        <f t="shared" ca="1" si="38"/>
        <v>0</v>
      </c>
      <c r="BX12" s="770">
        <f t="shared" ca="1" si="39"/>
        <v>0</v>
      </c>
      <c r="BY12" s="770">
        <f ca="1">BS12+COUNTIFS($BT$6:$BT$53,BT12,$BX$6:BX$53,"&gt;"&amp;BX12,$BC$6:$BC$53,INDEX(T_Equipos[Grupo],MATCH(BD12,T_Equipos[NombreEquipo],0)))</f>
        <v>3</v>
      </c>
      <c r="BZ12" s="769" t="str">
        <f ca="1">IF(COUNTIFS($BY$6:$BY$53,BY12,$BC$6:$BC$53,INDEX(T_Equipos[Grupo],MATCH(BD12,T_Equipos[NombreEquipo],0)))=1,"-","P."&amp;BY12&amp;" ("&amp;COUNTIFS($BY$6:$BY$53,BY12,$BC$6:$BC$53,INDEX(T_Equipos[Grupo],MATCH(BD12,T_Equipos[NombreEquipo],0)))&amp;")")</f>
        <v>P.3 (2)</v>
      </c>
      <c r="CA12" s="770">
        <f t="shared" ca="1" si="40"/>
        <v>0</v>
      </c>
      <c r="CB12" s="770">
        <f t="shared" ca="1" si="41"/>
        <v>0</v>
      </c>
      <c r="CC12" s="770">
        <f t="shared" ca="1" si="42"/>
        <v>0</v>
      </c>
      <c r="CD12" s="770">
        <f ca="1">BY12+COUNTIFS($BZ$6:$BZ$53,BZ12,$CC$6:CC$53,"&gt;"&amp;CC12,$BC$6:$BC$53,INDEX(T_Equipos[Grupo],MATCH(BD12,T_Equipos[NombreEquipo],0)))</f>
        <v>3</v>
      </c>
      <c r="CE12" s="769" t="str">
        <f ca="1">IF(COUNTIFS($CD$6:$CD$53,CD12,$BC$6:$BC$53,INDEX(T_Equipos[Grupo],MATCH(BD12,T_Equipos[NombreEquipo],0)))=1,"-","P."&amp;CD12&amp;" ("&amp;COUNTIFS($CD$6:$CD$53,CD12,$BC$6:$BC$53,INDEX(T_Equipos[Grupo],MATCH(BD12,T_Equipos[NombreEquipo],0)))&amp;")")</f>
        <v>P.3 (2)</v>
      </c>
      <c r="CF12" s="770">
        <f t="shared" ca="1" si="43"/>
        <v>0</v>
      </c>
      <c r="CG12" s="770">
        <f ca="1">CD12+COUNTIFS($CE$6:$CE$53,CE12,$CF$6:CF$53,"&gt;"&amp;CF12,$BC$6:$BC$53,INDEX(T_Equipos[Grupo],MATCH(BD12,T_Equipos[NombreEquipo],0)))</f>
        <v>3</v>
      </c>
      <c r="CH12" s="769" t="str">
        <f ca="1">IF(COUNTIFS($CG$6:$CG$53,CG12,$BC$6:$BC$53,INDEX(T_Equipos[Grupo],MATCH(BD12,T_Equipos[NombreEquipo],0)))=1,"-","P."&amp;CG12&amp;" ("&amp;COUNTIFS($CG$6:$CG$53,CG12,$BC$6:$BC$53,INDEX(T_Equipos[Grupo],MATCH(BD12,T_Equipos[NombreEquipo],0)))&amp;")")</f>
        <v>P.3 (2)</v>
      </c>
      <c r="CI12" s="770">
        <f t="shared" ca="1" si="44"/>
        <v>0</v>
      </c>
      <c r="CJ12" s="770">
        <f t="shared" ca="1" si="45"/>
        <v>0</v>
      </c>
      <c r="CK12" s="770">
        <f t="shared" ca="1" si="46"/>
        <v>0</v>
      </c>
      <c r="CL12" s="770">
        <f t="shared" ca="1" si="47"/>
        <v>0</v>
      </c>
      <c r="CM12" s="770">
        <f ca="1">CG12+COUNTIFS($CH$6:$CH$53,CH12,$CL$6:CL$53,"&gt;"&amp;CL12,$BC$6:$BC$53,INDEX(T_Equipos[Grupo],MATCH(BD12,T_Equipos[NombreEquipo],0)))</f>
        <v>3</v>
      </c>
      <c r="CN12" s="769" t="str">
        <f ca="1">IF(COUNTIFS($CM$6:$CM$53,CM12,$BC$6:$BC$53,INDEX(T_Equipos[Grupo],MATCH(BD12,T_Equipos[NombreEquipo],0)))=1,"-","P."&amp;CM12&amp;" ("&amp;COUNTIFS($CM$6:$CM$53,CM12,$BC$6:$BC$53,INDEX(T_Equipos[Grupo],MATCH(BD12,T_Equipos[NombreEquipo],0)))&amp;")")</f>
        <v>P.3 (2)</v>
      </c>
      <c r="CO12" s="770">
        <f t="shared" ca="1" si="48"/>
        <v>0</v>
      </c>
      <c r="CP12" s="770">
        <f t="shared" ca="1" si="49"/>
        <v>0</v>
      </c>
      <c r="CQ12" s="770">
        <f t="shared" ca="1" si="50"/>
        <v>0</v>
      </c>
      <c r="CR12" s="770">
        <f ca="1">CM12+COUNTIFS($CN$6:$CN$53,CN12,$CQ$6:CQ$53,"&gt;"&amp;CQ12,$BC$6:$BC$53,INDEX(T_Equipos[Grupo],MATCH(BD12,T_Equipos[NombreEquipo],0)))</f>
        <v>3</v>
      </c>
      <c r="CS12" s="769" t="str">
        <f ca="1">IF(COUNTIFS($CR$6:$CR$53,CR12,$BC$6:$BC$53,INDEX(T_Equipos[Grupo],MATCH(BD12,T_Equipos[NombreEquipo],0)))=1,"-","P."&amp;CR12&amp;" ("&amp;COUNTIFS($CR$6:$CR$53,CR12,$BC$6:$BC$53,INDEX(T_Equipos[Grupo],MATCH(BD12,T_Equipos[NombreEquipo],0)))&amp;")")</f>
        <v>P.3 (2)</v>
      </c>
      <c r="CT12" s="770">
        <f t="shared" ca="1" si="51"/>
        <v>0</v>
      </c>
      <c r="CU12" s="770">
        <f ca="1">CR12+COUNTIFS($CS$6:$CS$53,CS12,$CT$6:CT$53,"&gt;"&amp;CT12,$BC$6:$BC$53,INDEX(T_Equipos[Grupo],MATCH(BD12,T_Equipos[NombreEquipo],0)))</f>
        <v>3</v>
      </c>
      <c r="CV12" s="769" t="str">
        <f ca="1">IF(COUNTIFS($CU$6:$CU$53,CU12,$BC$6:$BC$53,INDEX(T_Equipos[Grupo],MATCH(BD12,T_Equipos[NombreEquipo],0)))=1,"-","P."&amp;CU12&amp;" ("&amp;COUNTIFS($CU$6:$CU$53,CU12,$BC$6:$BC$53,INDEX(T_Equipos[Grupo],MATCH(BD12,T_Equipos[NombreEquipo],0)))&amp;")")</f>
        <v>P.3 (2)</v>
      </c>
      <c r="CW12" s="769">
        <f t="shared" ca="1" si="30"/>
        <v>0</v>
      </c>
      <c r="CX12" s="769">
        <f ca="1">CU12+COUNTIFS($CV$6:$CV$53,CV12,$CW$6:CW$53,"&gt;"&amp;CW12,$BC$6:$BC$53,INDEX(T_Equipos[Grupo],MATCH(BD12,T_Equipos[NombreEquipo],0)))</f>
        <v>3</v>
      </c>
      <c r="CY12" s="769" t="str">
        <f ca="1">IF(COUNTIFS($CX$6:$CX$53,CX12,$BC$6:$BC$53,INDEX(T_Equipos[Grupo],MATCH(BD12,T_Equipos[NombreEquipo],0)))=1,"-","P."&amp;CX12&amp;" ("&amp;COUNTIFS($CX$6:$CX$53,CX12,$BC$6:$BC$53,INDEX(T_Equipos[Grupo],MATCH(BD12,T_Equipos[NombreEquipo],0)))&amp;")")</f>
        <v>P.3 (2)</v>
      </c>
      <c r="CZ12" s="769">
        <f t="shared" ca="1" si="31"/>
        <v>0</v>
      </c>
      <c r="DA12" s="770">
        <f ca="1">CX12+COUNTIFS($CY$6:$CY$53,CY12,$CZ$6:CZ$53,"&gt;"&amp;CZ12,$BC$6:$BC$53,INDEX(T_Equipos[Grupo],MATCH(BD12,T_Equipos[NombreEquipo],0)))</f>
        <v>3</v>
      </c>
      <c r="DB12" s="769" t="str">
        <f ca="1">IF(COUNTIFS($DA$6:$DA$53,DA12,$BC$6:$BC$53,INDEX(T_Equipos[Grupo],MATCH(BD12,T_Equipos[NombreEquipo],0)))=1,"-","P."&amp;DA12&amp;" ("&amp;COUNTIFS($DA$6:$DA$53,DA12,$BC$6:$BC$53,INDEX(T_Equipos[Grupo],MATCH(BD12,T_Equipos[NombreEquipo],0)))&amp;")")</f>
        <v>P.3 (2)</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3</v>
      </c>
      <c r="DK12" s="756">
        <f t="shared" ca="1" si="24"/>
        <v>2</v>
      </c>
      <c r="DL12" s="756">
        <f t="shared" ca="1" si="33"/>
        <v>1</v>
      </c>
      <c r="DM12" s="750" t="str">
        <f t="shared" ca="1" si="34"/>
        <v>3.1</v>
      </c>
      <c r="DN12" s="756" cm="1">
        <f t="array" aca="1" ref="DN12" ca="1">OFFSET(Horarios!$P$3,DJ12-1,0,DL12,1)</f>
        <v>3</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3</v>
      </c>
      <c r="BT13" s="769" t="str">
        <f ca="1">IF(COUNTIFS($BS$6:$BS$53,BS13,$BC$6:$BC$53,INDEX(T_Equipos[Grupo],MATCH(BD13,T_Equipos[NombreEquipo],0)))=1,"-","P."&amp;BS13&amp;" ("&amp;COUNTIFS($BS$6:$BS$53,BS13,$BC$6:$BC$53,INDEX(T_Equipos[Grupo],MATCH(BD13,T_Equipos[NombreEquipo],0)))&amp;")")</f>
        <v>P.3 (2)</v>
      </c>
      <c r="BU13" s="770">
        <f t="shared" ca="1" si="36"/>
        <v>0</v>
      </c>
      <c r="BV13" s="770">
        <f t="shared" ca="1" si="37"/>
        <v>0</v>
      </c>
      <c r="BW13" s="770">
        <f t="shared" ca="1" si="38"/>
        <v>0</v>
      </c>
      <c r="BX13" s="770">
        <f t="shared" ca="1" si="39"/>
        <v>0</v>
      </c>
      <c r="BY13" s="770">
        <f ca="1">BS13+COUNTIFS($BT$6:$BT$53,BT13,$BX$6:BX$53,"&gt;"&amp;BX13,$BC$6:$BC$53,INDEX(T_Equipos[Grupo],MATCH(BD13,T_Equipos[NombreEquipo],0)))</f>
        <v>3</v>
      </c>
      <c r="BZ13" s="769" t="str">
        <f ca="1">IF(COUNTIFS($BY$6:$BY$53,BY13,$BC$6:$BC$53,INDEX(T_Equipos[Grupo],MATCH(BD13,T_Equipos[NombreEquipo],0)))=1,"-","P."&amp;BY13&amp;" ("&amp;COUNTIFS($BY$6:$BY$53,BY13,$BC$6:$BC$53,INDEX(T_Equipos[Grupo],MATCH(BD13,T_Equipos[NombreEquipo],0)))&amp;")")</f>
        <v>P.3 (2)</v>
      </c>
      <c r="CA13" s="770">
        <f t="shared" ca="1" si="40"/>
        <v>0</v>
      </c>
      <c r="CB13" s="770">
        <f t="shared" ca="1" si="41"/>
        <v>0</v>
      </c>
      <c r="CC13" s="770">
        <f t="shared" ca="1" si="42"/>
        <v>0</v>
      </c>
      <c r="CD13" s="770">
        <f ca="1">BY13+COUNTIFS($BZ$6:$BZ$53,BZ13,$CC$6:CC$53,"&gt;"&amp;CC13,$BC$6:$BC$53,INDEX(T_Equipos[Grupo],MATCH(BD13,T_Equipos[NombreEquipo],0)))</f>
        <v>3</v>
      </c>
      <c r="CE13" s="769" t="str">
        <f ca="1">IF(COUNTIFS($CD$6:$CD$53,CD13,$BC$6:$BC$53,INDEX(T_Equipos[Grupo],MATCH(BD13,T_Equipos[NombreEquipo],0)))=1,"-","P."&amp;CD13&amp;" ("&amp;COUNTIFS($CD$6:$CD$53,CD13,$BC$6:$BC$53,INDEX(T_Equipos[Grupo],MATCH(BD13,T_Equipos[NombreEquipo],0)))&amp;")")</f>
        <v>P.3 (2)</v>
      </c>
      <c r="CF13" s="770">
        <f t="shared" ca="1" si="43"/>
        <v>0</v>
      </c>
      <c r="CG13" s="770">
        <f ca="1">CD13+COUNTIFS($CE$6:$CE$53,CE13,$CF$6:CF$53,"&gt;"&amp;CF13,$BC$6:$BC$53,INDEX(T_Equipos[Grupo],MATCH(BD13,T_Equipos[NombreEquipo],0)))</f>
        <v>3</v>
      </c>
      <c r="CH13" s="769" t="str">
        <f ca="1">IF(COUNTIFS($CG$6:$CG$53,CG13,$BC$6:$BC$53,INDEX(T_Equipos[Grupo],MATCH(BD13,T_Equipos[NombreEquipo],0)))=1,"-","P."&amp;CG13&amp;" ("&amp;COUNTIFS($CG$6:$CG$53,CG13,$BC$6:$BC$53,INDEX(T_Equipos[Grupo],MATCH(BD13,T_Equipos[NombreEquipo],0)))&amp;")")</f>
        <v>P.3 (2)</v>
      </c>
      <c r="CI13" s="770">
        <f t="shared" ca="1" si="44"/>
        <v>0</v>
      </c>
      <c r="CJ13" s="770">
        <f t="shared" ca="1" si="45"/>
        <v>0</v>
      </c>
      <c r="CK13" s="770">
        <f t="shared" ca="1" si="46"/>
        <v>0</v>
      </c>
      <c r="CL13" s="770">
        <f t="shared" ca="1" si="47"/>
        <v>0</v>
      </c>
      <c r="CM13" s="770">
        <f ca="1">CG13+COUNTIFS($CH$6:$CH$53,CH13,$CL$6:CL$53,"&gt;"&amp;CL13,$BC$6:$BC$53,INDEX(T_Equipos[Grupo],MATCH(BD13,T_Equipos[NombreEquipo],0)))</f>
        <v>3</v>
      </c>
      <c r="CN13" s="769" t="str">
        <f ca="1">IF(COUNTIFS($CM$6:$CM$53,CM13,$BC$6:$BC$53,INDEX(T_Equipos[Grupo],MATCH(BD13,T_Equipos[NombreEquipo],0)))=1,"-","P."&amp;CM13&amp;" ("&amp;COUNTIFS($CM$6:$CM$53,CM13,$BC$6:$BC$53,INDEX(T_Equipos[Grupo],MATCH(BD13,T_Equipos[NombreEquipo],0)))&amp;")")</f>
        <v>P.3 (2)</v>
      </c>
      <c r="CO13" s="770">
        <f t="shared" ca="1" si="48"/>
        <v>0</v>
      </c>
      <c r="CP13" s="770">
        <f t="shared" ca="1" si="49"/>
        <v>0</v>
      </c>
      <c r="CQ13" s="770">
        <f t="shared" ca="1" si="50"/>
        <v>0</v>
      </c>
      <c r="CR13" s="770">
        <f ca="1">CM13+COUNTIFS($CN$6:$CN$53,CN13,$CQ$6:CQ$53,"&gt;"&amp;CQ13,$BC$6:$BC$53,INDEX(T_Equipos[Grupo],MATCH(BD13,T_Equipos[NombreEquipo],0)))</f>
        <v>3</v>
      </c>
      <c r="CS13" s="769" t="str">
        <f ca="1">IF(COUNTIFS($CR$6:$CR$53,CR13,$BC$6:$BC$53,INDEX(T_Equipos[Grupo],MATCH(BD13,T_Equipos[NombreEquipo],0)))=1,"-","P."&amp;CR13&amp;" ("&amp;COUNTIFS($CR$6:$CR$53,CR13,$BC$6:$BC$53,INDEX(T_Equipos[Grupo],MATCH(BD13,T_Equipos[NombreEquipo],0)))&amp;")")</f>
        <v>P.3 (2)</v>
      </c>
      <c r="CT13" s="770">
        <f t="shared" ca="1" si="51"/>
        <v>0</v>
      </c>
      <c r="CU13" s="770">
        <f ca="1">CR13+COUNTIFS($CS$6:$CS$53,CS13,$CT$6:CT$53,"&gt;"&amp;CT13,$BC$6:$BC$53,INDEX(T_Equipos[Grupo],MATCH(BD13,T_Equipos[NombreEquipo],0)))</f>
        <v>3</v>
      </c>
      <c r="CV13" s="769" t="str">
        <f ca="1">IF(COUNTIFS($CU$6:$CU$53,CU13,$BC$6:$BC$53,INDEX(T_Equipos[Grupo],MATCH(BD13,T_Equipos[NombreEquipo],0)))=1,"-","P."&amp;CU13&amp;" ("&amp;COUNTIFS($CU$6:$CU$53,CU13,$BC$6:$BC$53,INDEX(T_Equipos[Grupo],MATCH(BD13,T_Equipos[NombreEquipo],0)))&amp;")")</f>
        <v>P.3 (2)</v>
      </c>
      <c r="CW13" s="769">
        <f t="shared" ca="1" si="30"/>
        <v>0</v>
      </c>
      <c r="CX13" s="769">
        <f ca="1">CU13+COUNTIFS($CV$6:$CV$53,CV13,$CW$6:CW$53,"&gt;"&amp;CW13,$BC$6:$BC$53,INDEX(T_Equipos[Grupo],MATCH(BD13,T_Equipos[NombreEquipo],0)))</f>
        <v>3</v>
      </c>
      <c r="CY13" s="769" t="str">
        <f ca="1">IF(COUNTIFS($CX$6:$CX$53,CX13,$BC$6:$BC$53,INDEX(T_Equipos[Grupo],MATCH(BD13,T_Equipos[NombreEquipo],0)))=1,"-","P."&amp;CX13&amp;" ("&amp;COUNTIFS($CX$6:$CX$53,CX13,$BC$6:$BC$53,INDEX(T_Equipos[Grupo],MATCH(BD13,T_Equipos[NombreEquipo],0)))&amp;")")</f>
        <v>P.3 (2)</v>
      </c>
      <c r="CZ13" s="769">
        <f t="shared" ca="1" si="31"/>
        <v>0</v>
      </c>
      <c r="DA13" s="770">
        <f ca="1">CX13+COUNTIFS($CY$6:$CY$53,CY13,$CZ$6:CZ$53,"&gt;"&amp;CZ13,$BC$6:$BC$53,INDEX(T_Equipos[Grupo],MATCH(BD13,T_Equipos[NombreEquipo],0)))</f>
        <v>3</v>
      </c>
      <c r="DB13" s="769" t="str">
        <f ca="1">IF(COUNTIFS($DA$6:$DA$53,DA13,$BC$6:$BC$53,INDEX(T_Equipos[Grupo],MATCH(BD13,T_Equipos[NombreEquipo],0)))=1,"-","P."&amp;DA13&amp;" ("&amp;COUNTIFS($DA$6:$DA$53,DA13,$BC$6:$BC$53,INDEX(T_Equipos[Grupo],MATCH(BD13,T_Equipos[NombreEquipo],0)))&amp;")")</f>
        <v>P.3 (2)</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3</v>
      </c>
      <c r="DK13" s="756">
        <f t="shared" ca="1" si="24"/>
        <v>2</v>
      </c>
      <c r="DL13" s="756">
        <f t="shared" ca="1" si="33"/>
        <v>1</v>
      </c>
      <c r="DM13" s="750" t="str">
        <f t="shared" ca="1" si="34"/>
        <v>3.1</v>
      </c>
      <c r="DN13" s="756" cm="1">
        <f t="array" aca="1" ref="DN13" ca="1">OFFSET(Horarios!$P$3,DJ13-1,0,DL13,1)</f>
        <v>3</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v>4</v>
      </c>
      <c r="AD14" s="200">
        <v>1</v>
      </c>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1</v>
      </c>
      <c r="AN14" s="220">
        <f t="shared" ca="1" si="71"/>
        <v>1</v>
      </c>
      <c r="AO14" s="220">
        <f t="shared" ca="1" si="71"/>
        <v>0</v>
      </c>
      <c r="AP14" s="220">
        <f t="shared" ca="1" si="71"/>
        <v>1</v>
      </c>
      <c r="AQ14" s="220">
        <f t="shared" ca="1" si="71"/>
        <v>0</v>
      </c>
      <c r="AR14" s="220">
        <f t="shared" ca="1" si="71"/>
        <v>1</v>
      </c>
      <c r="AS14" s="220">
        <f t="shared" ca="1" si="71"/>
        <v>1</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v>6</v>
      </c>
      <c r="AD15" s="200">
        <v>0</v>
      </c>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1</v>
      </c>
      <c r="AN15" s="230">
        <f t="shared" ca="1" si="71"/>
        <v>1</v>
      </c>
      <c r="AO15" s="230">
        <f t="shared" ca="1" si="71"/>
        <v>0</v>
      </c>
      <c r="AP15" s="230">
        <f t="shared" ca="1" si="71"/>
        <v>1</v>
      </c>
      <c r="AQ15" s="230">
        <f t="shared" ca="1" si="71"/>
        <v>0</v>
      </c>
      <c r="AR15" s="230">
        <f t="shared" ca="1" si="71"/>
        <v>1</v>
      </c>
      <c r="AS15" s="230">
        <f t="shared" ca="1" si="71"/>
        <v>1</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v>2</v>
      </c>
      <c r="AD16" s="200">
        <v>1</v>
      </c>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v>3</v>
      </c>
      <c r="AD17" s="239">
        <v>1</v>
      </c>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v>0</v>
      </c>
      <c r="AD22" s="200">
        <v>1</v>
      </c>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v>3</v>
      </c>
      <c r="AD23" s="200">
        <v>0</v>
      </c>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v>0</v>
      </c>
      <c r="AD24" s="200">
        <v>3</v>
      </c>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v>4</v>
      </c>
      <c r="AD25" s="239">
        <v>2</v>
      </c>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v>2</v>
      </c>
      <c r="AD30" s="200">
        <v>0</v>
      </c>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v>0</v>
      </c>
      <c r="AD31" s="200">
        <v>1</v>
      </c>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v>3</v>
      </c>
      <c r="AD32" s="200">
        <v>2</v>
      </c>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v>0</v>
      </c>
      <c r="AD33" s="239">
        <v>0</v>
      </c>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v>2</v>
      </c>
      <c r="AD38" s="200">
        <v>1</v>
      </c>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v>0</v>
      </c>
      <c r="AD39" s="200">
        <v>0</v>
      </c>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v>0</v>
      </c>
      <c r="AD40" s="200">
        <v>2</v>
      </c>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v>2</v>
      </c>
      <c r="AD41" s="239">
        <v>1</v>
      </c>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v>5</v>
      </c>
      <c r="AD46" s="200">
        <v>1</v>
      </c>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v>0</v>
      </c>
      <c r="AD47" s="200">
        <v>4</v>
      </c>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v>1</v>
      </c>
      <c r="AD48" s="200">
        <v>1</v>
      </c>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v>1</v>
      </c>
      <c r="AD49" s="239">
        <v>3</v>
      </c>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v>1</v>
      </c>
      <c r="AD52" s="200">
        <v>1</v>
      </c>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v>2</v>
      </c>
      <c r="AD53" s="200">
        <v>2</v>
      </c>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v>0</v>
      </c>
      <c r="AD54" s="200">
        <v>0</v>
      </c>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v>1</v>
      </c>
      <c r="AD55" s="200">
        <v>3</v>
      </c>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v>1</v>
      </c>
      <c r="AD56" s="200">
        <v>1</v>
      </c>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v>1</v>
      </c>
      <c r="AD57" s="239">
        <v>5</v>
      </c>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0</v>
      </c>
      <c r="BF58" s="760">
        <f ca="1">+BG58+BH58+BI58</f>
        <v>1</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0</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1</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2</v>
      </c>
      <c r="BL58" s="760">
        <f ca="1">BJ58-BK58</f>
        <v>-1</v>
      </c>
      <c r="BM58" s="760">
        <f ca="1">CB58</f>
        <v>12</v>
      </c>
      <c r="BN58" s="760">
        <f ca="1">CF58</f>
        <v>12</v>
      </c>
      <c r="BO58" s="750" t="str">
        <f>"4"&amp;BC58</f>
        <v>4A</v>
      </c>
      <c r="BP58" s="750"/>
      <c r="BQ58" s="750"/>
      <c r="BR58" s="760">
        <f t="shared" ref="BR58:BR69" ca="1" si="179">+BE58</f>
        <v>0</v>
      </c>
      <c r="BS58" s="760">
        <f ca="1">COUNTIFS(BR$58:BR$69,"&gt;"&amp;BR58)+1</f>
        <v>1</v>
      </c>
      <c r="BT58" s="760" t="str">
        <f ca="1">IF(COUNTIF(BS$58:BS$69,BS58)=1,"-","Pos. "&amp;BS58&amp;" ("&amp;COUNTIF(BS$58:BS$69,BS58)&amp;")")</f>
        <v>Pos. 1 (12)</v>
      </c>
      <c r="BU58" s="760">
        <f t="shared" ref="BU58:BU69" ca="1" si="180">IF(BT58="-","-",BL58)</f>
        <v>-1</v>
      </c>
      <c r="BV58" s="760">
        <f t="shared" ref="BV58:BV69" ca="1" si="181">BS58+COUNTIFS(BT$58:BT$69,BT58,BU$58:BU$69,"&gt;"&amp;BU58)</f>
        <v>12</v>
      </c>
      <c r="BW58" s="760" t="str">
        <f t="shared" ref="BW58:BW69" ca="1" si="182">IF(COUNTIF(BV$58:BV$69,BV58)=1,"-","Pos. "&amp;BV58&amp;" ("&amp;COUNTIF(BV$58:BV$69,BV58)&amp;")")</f>
        <v>-</v>
      </c>
      <c r="BX58" s="760" t="str">
        <f t="shared" ref="BX58:BX69" ca="1" si="183">IF(BW58="-","-",BJ58)</f>
        <v>-</v>
      </c>
      <c r="BY58" s="760">
        <f t="shared" ref="BY58:BY69" ca="1" si="184">BV58+COUNTIFS(BW$58:BW$69,BW58,BX$58:BX$69,"&gt;"&amp;BX58)</f>
        <v>12</v>
      </c>
      <c r="BZ58" s="760" t="str">
        <f t="shared" ref="BZ58:BZ69" ca="1" si="185">IF(COUNTIF(BY$58:BY$69,BY58)=1,"-","Pos. "&amp;BY58&amp;" ("&amp;COUNTIF(BY$58:BY$69,BY58)&amp;")")</f>
        <v>-</v>
      </c>
      <c r="CA58" s="760" t="str">
        <f ca="1">IF(BZ58="-","-",COUNTIF($BD$58:$BD$69,"&gt;"&amp;BD58))</f>
        <v>-</v>
      </c>
      <c r="CB58" s="760">
        <f ca="1">BY58+COUNTIFS(BZ$58:BZ$69,BZ58,CA$58:CA$69,"&gt;"&amp;CA58)</f>
        <v>12</v>
      </c>
      <c r="CC58" s="760"/>
      <c r="CD58" s="760">
        <f ca="1">IF(OR(INDEX($AW$102:$AW$113,MATCH($BD58,$AV$102:$AV$113,0))="",BZ58="-"),CB58,INDEX($AW$102:$AW$113,MATCH($BD58,$AV$102:$AV$113,0))+CB58/1000)</f>
        <v>12</v>
      </c>
      <c r="CE58" s="760" t="str">
        <f ca="1">IF(BZ58="-","-",COUNTIF(CD$58:CD$69,"&lt;"&amp;CD58))</f>
        <v>-</v>
      </c>
      <c r="CF58" s="760">
        <f ca="1">BY58+COUNTIFS(BZ$58:BZ$69,BZ58,CE$58:CE$69,"&lt;"&amp;CE58)</f>
        <v>12</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Arabia Saudita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4</v>
      </c>
      <c r="BN59" s="760">
        <f t="shared" ref="BN59:BN69" ca="1" si="195">CF59</f>
        <v>4</v>
      </c>
      <c r="BO59" s="750" t="str">
        <f t="shared" ref="BO59:BO69" si="196">"4"&amp;BC59</f>
        <v>4B</v>
      </c>
      <c r="BP59" s="750"/>
      <c r="BQ59" s="750"/>
      <c r="BR59" s="760">
        <f t="shared" ca="1" si="179"/>
        <v>0</v>
      </c>
      <c r="BS59" s="760">
        <f t="shared" ref="BS59:BS69" ca="1" si="197">COUNTIFS(BR$58:BR$69,"&gt;"&amp;BR59)+1</f>
        <v>1</v>
      </c>
      <c r="BT59" s="760" t="str">
        <f t="shared" ref="BT59:BT69" ca="1" si="198">IF(COUNTIF(BS$58:BS$69,BS59)=1,"-","Pos. "&amp;BS59&amp;" ("&amp;COUNTIF(BS$58:BS$69,BS59)&amp;")")</f>
        <v>Pos. 1 (12)</v>
      </c>
      <c r="BU59" s="760">
        <f t="shared" ca="1" si="180"/>
        <v>0</v>
      </c>
      <c r="BV59" s="760">
        <f t="shared" ca="1" si="181"/>
        <v>1</v>
      </c>
      <c r="BW59" s="760" t="str">
        <f t="shared" ca="1" si="182"/>
        <v>Pos. 1 (11)</v>
      </c>
      <c r="BX59" s="760">
        <f t="shared" ca="1" si="183"/>
        <v>0</v>
      </c>
      <c r="BY59" s="760">
        <f t="shared" ca="1" si="184"/>
        <v>1</v>
      </c>
      <c r="BZ59" s="760" t="str">
        <f t="shared" ca="1" si="185"/>
        <v>Pos. 1 (11)</v>
      </c>
      <c r="CA59" s="760">
        <f t="shared" ref="CA59:CA69" ca="1" si="199">IF(BZ59="-","-",COUNTIF($BD$58:$BD$69,"&gt;"&amp;BD59))</f>
        <v>8</v>
      </c>
      <c r="CB59" s="760">
        <f t="shared" ref="CB59:CB68" ca="1" si="200">BY59+COUNTIFS(BZ$58:BZ$69,BZ59,CA$58:CA$69,"&gt;"&amp;CA59)</f>
        <v>4</v>
      </c>
      <c r="CC59" s="760"/>
      <c r="CD59" s="760">
        <f t="shared" ref="CD59:CD69" ca="1" si="201">IF(OR(INDEX($AW$102:$AW$113,MATCH($BD59,$AV$102:$AV$113,0))="",BZ59="-"),CB59,INDEX($AW$102:$AW$113,MATCH($BD59,$AV$102:$AV$113,0))+CB59/1000)</f>
        <v>4</v>
      </c>
      <c r="CE59" s="760">
        <f t="shared" ref="CE59:CE69" ca="1" si="202">IF(BZ59="-","-",COUNTIF(CD$58:CD$69,"&lt;"&amp;CD59))</f>
        <v>3</v>
      </c>
      <c r="CF59" s="760">
        <f t="shared" ref="CF59:CF69" ca="1" si="203">BY59+COUNTIFS(BZ$58:BZ$69,BZ59,CE$58:CE$69,"&lt;"&amp;CE59)</f>
        <v>4</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1</v>
      </c>
      <c r="DK59" s="756"/>
      <c r="DL59" s="756">
        <f t="shared" ref="DL59:DL69" ca="1" si="204">IF(OR($H$113=144,$AJ$99=144),COUNTIF($DJ$58:$DJ$69,DJ59),1)</f>
        <v>1</v>
      </c>
      <c r="DM59" s="750" t="str">
        <f t="shared" ca="1" si="187"/>
        <v>1.1</v>
      </c>
      <c r="DN59" s="756" cm="1">
        <f t="array" aca="1" ref="DN59" ca="1">OFFSET(Horarios!$P$3,DJ59-1,0,DL59,1)</f>
        <v>1</v>
      </c>
      <c r="DO59" s="756"/>
      <c r="DP59" s="756">
        <v>2</v>
      </c>
      <c r="DQ59" s="756" t="str">
        <f t="shared" ref="DQ59:DQ69" ca="1" si="205">INDEX($BD$58:$BD$69,MATCH(DP59,$BM$58:$BM$69,0))</f>
        <v>Australia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7</v>
      </c>
      <c r="BN60" s="760">
        <f t="shared" ca="1" si="195"/>
        <v>7</v>
      </c>
      <c r="BO60" s="750" t="str">
        <f t="shared" si="196"/>
        <v>4C</v>
      </c>
      <c r="BP60" s="750"/>
      <c r="BQ60" s="750"/>
      <c r="BR60" s="760">
        <f t="shared" ca="1" si="179"/>
        <v>0</v>
      </c>
      <c r="BS60" s="760">
        <f t="shared" ca="1" si="197"/>
        <v>1</v>
      </c>
      <c r="BT60" s="760" t="str">
        <f t="shared" ca="1" si="198"/>
        <v>Pos. 1 (12)</v>
      </c>
      <c r="BU60" s="760">
        <f t="shared" ca="1" si="180"/>
        <v>0</v>
      </c>
      <c r="BV60" s="760">
        <f t="shared" ca="1" si="181"/>
        <v>1</v>
      </c>
      <c r="BW60" s="760" t="str">
        <f t="shared" ca="1" si="182"/>
        <v>Pos. 1 (11)</v>
      </c>
      <c r="BX60" s="760">
        <f t="shared" ca="1" si="183"/>
        <v>0</v>
      </c>
      <c r="BY60" s="760">
        <f t="shared" ca="1" si="184"/>
        <v>1</v>
      </c>
      <c r="BZ60" s="760" t="str">
        <f t="shared" ca="1" si="185"/>
        <v>Pos. 1 (11)</v>
      </c>
      <c r="CA60" s="760">
        <f t="shared" ca="1" si="199"/>
        <v>5</v>
      </c>
      <c r="CB60" s="760">
        <f t="shared" ca="1" si="200"/>
        <v>7</v>
      </c>
      <c r="CC60" s="760"/>
      <c r="CD60" s="760">
        <f t="shared" ca="1" si="201"/>
        <v>7</v>
      </c>
      <c r="CE60" s="760">
        <f t="shared" ca="1" si="202"/>
        <v>6</v>
      </c>
      <c r="CF60" s="760">
        <f t="shared" ca="1" si="203"/>
        <v>7</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1</v>
      </c>
      <c r="DK60" s="756"/>
      <c r="DL60" s="756">
        <f t="shared" ca="1" si="204"/>
        <v>1</v>
      </c>
      <c r="DM60" s="750" t="str">
        <f t="shared" ca="1" si="187"/>
        <v>1.1</v>
      </c>
      <c r="DN60" s="756" cm="1">
        <f t="array" aca="1" ref="DN60" ca="1">OFFSET(Horarios!$P$3,DJ60-1,0,DL60,1)</f>
        <v>1</v>
      </c>
      <c r="DO60" s="756"/>
      <c r="DP60" s="756">
        <v>3</v>
      </c>
      <c r="DQ60" s="756" t="str">
        <f t="shared" ca="1" si="205"/>
        <v>Austria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v>1</v>
      </c>
      <c r="AD61" s="200">
        <v>1</v>
      </c>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2</v>
      </c>
      <c r="BN61" s="760">
        <f t="shared" ca="1" si="195"/>
        <v>2</v>
      </c>
      <c r="BO61" s="750" t="str">
        <f t="shared" si="196"/>
        <v>4D</v>
      </c>
      <c r="BP61" s="750"/>
      <c r="BQ61" s="750"/>
      <c r="BR61" s="760">
        <f t="shared" ca="1" si="179"/>
        <v>0</v>
      </c>
      <c r="BS61" s="760">
        <f t="shared" ca="1" si="197"/>
        <v>1</v>
      </c>
      <c r="BT61" s="760" t="str">
        <f t="shared" ca="1" si="198"/>
        <v>Pos. 1 (12)</v>
      </c>
      <c r="BU61" s="760">
        <f t="shared" ca="1" si="180"/>
        <v>0</v>
      </c>
      <c r="BV61" s="760">
        <f t="shared" ca="1" si="181"/>
        <v>1</v>
      </c>
      <c r="BW61" s="760" t="str">
        <f t="shared" ca="1" si="182"/>
        <v>Pos. 1 (11)</v>
      </c>
      <c r="BX61" s="760">
        <f t="shared" ca="1" si="183"/>
        <v>0</v>
      </c>
      <c r="BY61" s="760">
        <f t="shared" ca="1" si="184"/>
        <v>1</v>
      </c>
      <c r="BZ61" s="760" t="str">
        <f t="shared" ca="1" si="185"/>
        <v>Pos. 1 (11)</v>
      </c>
      <c r="CA61" s="760">
        <f t="shared" ca="1" si="199"/>
        <v>10</v>
      </c>
      <c r="CB61" s="760">
        <f t="shared" ca="1" si="200"/>
        <v>2</v>
      </c>
      <c r="CC61" s="760"/>
      <c r="CD61" s="760">
        <f t="shared" ca="1" si="201"/>
        <v>2</v>
      </c>
      <c r="CE61" s="760">
        <f t="shared" ca="1" si="202"/>
        <v>1</v>
      </c>
      <c r="CF61" s="760">
        <f t="shared" ca="1" si="203"/>
        <v>2</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1</v>
      </c>
      <c r="DK61" s="756"/>
      <c r="DL61" s="756">
        <f t="shared" ca="1" si="204"/>
        <v>1</v>
      </c>
      <c r="DM61" s="750" t="str">
        <f t="shared" ca="1" si="187"/>
        <v>1.1</v>
      </c>
      <c r="DN61" s="756" cm="1">
        <f t="array" aca="1" ref="DN61" ca="1">OFFSET(Horarios!$P$3,DJ61-1,0,DL61,1)</f>
        <v>1</v>
      </c>
      <c r="DO61" s="756"/>
      <c r="DP61" s="756">
        <v>4</v>
      </c>
      <c r="DQ61" s="756" t="str">
        <f t="shared" ca="1" si="205"/>
        <v>Catar</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v>4</v>
      </c>
      <c r="AD62" s="200">
        <v>0</v>
      </c>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5</v>
      </c>
      <c r="BN62" s="760">
        <f t="shared" ca="1" si="195"/>
        <v>5</v>
      </c>
      <c r="BO62" s="750" t="str">
        <f t="shared" si="196"/>
        <v>4E</v>
      </c>
      <c r="BP62" s="750"/>
      <c r="BQ62" s="750"/>
      <c r="BR62" s="760">
        <f t="shared" ca="1" si="179"/>
        <v>0</v>
      </c>
      <c r="BS62" s="760">
        <f t="shared" ca="1" si="197"/>
        <v>1</v>
      </c>
      <c r="BT62" s="760" t="str">
        <f t="shared" ca="1" si="198"/>
        <v>Pos. 1 (12)</v>
      </c>
      <c r="BU62" s="760">
        <f t="shared" ca="1" si="180"/>
        <v>0</v>
      </c>
      <c r="BV62" s="760">
        <f t="shared" ca="1" si="181"/>
        <v>1</v>
      </c>
      <c r="BW62" s="760" t="str">
        <f t="shared" ca="1" si="182"/>
        <v>Pos. 1 (11)</v>
      </c>
      <c r="BX62" s="760">
        <f t="shared" ca="1" si="183"/>
        <v>0</v>
      </c>
      <c r="BY62" s="760">
        <f t="shared" ca="1" si="184"/>
        <v>1</v>
      </c>
      <c r="BZ62" s="760" t="str">
        <f t="shared" ca="1" si="185"/>
        <v>Pos. 1 (11)</v>
      </c>
      <c r="CA62" s="760">
        <f t="shared" ca="1" si="199"/>
        <v>7</v>
      </c>
      <c r="CB62" s="760">
        <f t="shared" ca="1" si="200"/>
        <v>5</v>
      </c>
      <c r="CC62" s="760"/>
      <c r="CD62" s="760">
        <f t="shared" ca="1" si="201"/>
        <v>5</v>
      </c>
      <c r="CE62" s="760">
        <f t="shared" ca="1" si="202"/>
        <v>4</v>
      </c>
      <c r="CF62" s="760">
        <f t="shared" ca="1" si="203"/>
        <v>5</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1</v>
      </c>
      <c r="DK62" s="756"/>
      <c r="DL62" s="756">
        <f t="shared" ca="1" si="204"/>
        <v>1</v>
      </c>
      <c r="DM62" s="750" t="str">
        <f t="shared" ca="1" si="187"/>
        <v>1.1</v>
      </c>
      <c r="DN62" s="756" cm="1">
        <f t="array" aca="1" ref="DN62" ca="1">OFFSET(Horarios!$P$3,DJ62-1,0,DL62,1)</f>
        <v>1</v>
      </c>
      <c r="DO62" s="756"/>
      <c r="DP62" s="756">
        <v>5</v>
      </c>
      <c r="DQ62" s="756" t="str">
        <f t="shared" ca="1" si="205"/>
        <v>Costa de Marfil</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v>2</v>
      </c>
      <c r="AD63" s="200">
        <v>2</v>
      </c>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10</v>
      </c>
      <c r="BN63" s="760">
        <f t="shared" ca="1" si="195"/>
        <v>10</v>
      </c>
      <c r="BO63" s="750" t="str">
        <f t="shared" si="196"/>
        <v>4F</v>
      </c>
      <c r="BP63" s="750"/>
      <c r="BQ63" s="750"/>
      <c r="BR63" s="760">
        <f t="shared" ca="1" si="179"/>
        <v>0</v>
      </c>
      <c r="BS63" s="760">
        <f t="shared" ca="1" si="197"/>
        <v>1</v>
      </c>
      <c r="BT63" s="760" t="str">
        <f t="shared" ca="1" si="198"/>
        <v>Pos. 1 (12)</v>
      </c>
      <c r="BU63" s="760">
        <f t="shared" ca="1" si="180"/>
        <v>0</v>
      </c>
      <c r="BV63" s="760">
        <f t="shared" ca="1" si="181"/>
        <v>1</v>
      </c>
      <c r="BW63" s="760" t="str">
        <f t="shared" ca="1" si="182"/>
        <v>Pos. 1 (11)</v>
      </c>
      <c r="BX63" s="760">
        <f t="shared" ca="1" si="183"/>
        <v>0</v>
      </c>
      <c r="BY63" s="760">
        <f t="shared" ca="1" si="184"/>
        <v>1</v>
      </c>
      <c r="BZ63" s="760" t="str">
        <f t="shared" ca="1" si="185"/>
        <v>Pos. 1 (11)</v>
      </c>
      <c r="CA63" s="760">
        <f t="shared" ca="1" si="199"/>
        <v>1</v>
      </c>
      <c r="CB63" s="760">
        <f t="shared" ca="1" si="200"/>
        <v>10</v>
      </c>
      <c r="CC63" s="760"/>
      <c r="CD63" s="760">
        <f t="shared" ca="1" si="201"/>
        <v>10</v>
      </c>
      <c r="CE63" s="760">
        <f t="shared" ca="1" si="202"/>
        <v>9</v>
      </c>
      <c r="CF63" s="760">
        <f t="shared" ca="1" si="203"/>
        <v>10</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1</v>
      </c>
      <c r="DK63" s="756"/>
      <c r="DL63" s="756">
        <f t="shared" ca="1" si="204"/>
        <v>1</v>
      </c>
      <c r="DM63" s="750" t="str">
        <f t="shared" ca="1" si="187"/>
        <v>1.1</v>
      </c>
      <c r="DN63" s="756" cm="1">
        <f t="array" aca="1" ref="DN63" ca="1">OFFSET(Horarios!$P$3,DJ63-1,0,DL63,1)</f>
        <v>1</v>
      </c>
      <c r="DO63" s="756"/>
      <c r="DP63" s="756">
        <v>6</v>
      </c>
      <c r="DQ63" s="756" t="str">
        <f t="shared" ca="1" si="205"/>
        <v>Ghana</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v>0</v>
      </c>
      <c r="AD64" s="200">
        <v>0</v>
      </c>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9</v>
      </c>
      <c r="BN64" s="760">
        <f t="shared" ca="1" si="195"/>
        <v>9</v>
      </c>
      <c r="BO64" s="750" t="str">
        <f t="shared" si="196"/>
        <v>4G</v>
      </c>
      <c r="BP64" s="750"/>
      <c r="BQ64" s="750"/>
      <c r="BR64" s="760">
        <f t="shared" ca="1" si="179"/>
        <v>0</v>
      </c>
      <c r="BS64" s="760">
        <f t="shared" ca="1" si="197"/>
        <v>1</v>
      </c>
      <c r="BT64" s="760" t="str">
        <f t="shared" ca="1" si="198"/>
        <v>Pos. 1 (12)</v>
      </c>
      <c r="BU64" s="760">
        <f t="shared" ca="1" si="180"/>
        <v>0</v>
      </c>
      <c r="BV64" s="760">
        <f t="shared" ca="1" si="181"/>
        <v>1</v>
      </c>
      <c r="BW64" s="760" t="str">
        <f t="shared" ca="1" si="182"/>
        <v>Pos. 1 (11)</v>
      </c>
      <c r="BX64" s="760">
        <f t="shared" ca="1" si="183"/>
        <v>0</v>
      </c>
      <c r="BY64" s="760">
        <f t="shared" ca="1" si="184"/>
        <v>1</v>
      </c>
      <c r="BZ64" s="760" t="str">
        <f t="shared" ca="1" si="185"/>
        <v>Pos. 1 (11)</v>
      </c>
      <c r="CA64" s="760">
        <f t="shared" ca="1" si="199"/>
        <v>3</v>
      </c>
      <c r="CB64" s="760">
        <f t="shared" ca="1" si="200"/>
        <v>9</v>
      </c>
      <c r="CC64" s="760"/>
      <c r="CD64" s="760">
        <f t="shared" ca="1" si="201"/>
        <v>9</v>
      </c>
      <c r="CE64" s="760">
        <f t="shared" ca="1" si="202"/>
        <v>8</v>
      </c>
      <c r="CF64" s="760">
        <f t="shared" ca="1" si="203"/>
        <v>9</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1</v>
      </c>
      <c r="DK64" s="756"/>
      <c r="DL64" s="756">
        <f t="shared" ca="1" si="204"/>
        <v>1</v>
      </c>
      <c r="DM64" s="750" t="str">
        <f t="shared" ca="1" si="187"/>
        <v>1.1</v>
      </c>
      <c r="DN64" s="756" cm="1">
        <f t="array" aca="1" ref="DN64" ca="1">OFFSET(Horarios!$P$3,DJ64-1,0,DL64,1)</f>
        <v>1</v>
      </c>
      <c r="DO64" s="756"/>
      <c r="DP64" s="756">
        <v>7</v>
      </c>
      <c r="DQ64" s="756" t="str">
        <f t="shared" ca="1" si="205"/>
        <v>Haití</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v>0</v>
      </c>
      <c r="AD65" s="239">
        <v>1</v>
      </c>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1</v>
      </c>
      <c r="BN65" s="760">
        <f t="shared" ca="1" si="195"/>
        <v>1</v>
      </c>
      <c r="BO65" s="750" t="str">
        <f t="shared" si="196"/>
        <v>4H</v>
      </c>
      <c r="BP65" s="750"/>
      <c r="BQ65" s="750"/>
      <c r="BR65" s="760">
        <f t="shared" ca="1" si="179"/>
        <v>0</v>
      </c>
      <c r="BS65" s="760">
        <f t="shared" ca="1" si="197"/>
        <v>1</v>
      </c>
      <c r="BT65" s="760" t="str">
        <f t="shared" ca="1" si="198"/>
        <v>Pos. 1 (12)</v>
      </c>
      <c r="BU65" s="760">
        <f t="shared" ca="1" si="180"/>
        <v>0</v>
      </c>
      <c r="BV65" s="760">
        <f t="shared" ca="1" si="181"/>
        <v>1</v>
      </c>
      <c r="BW65" s="760" t="str">
        <f t="shared" ca="1" si="182"/>
        <v>Pos. 1 (11)</v>
      </c>
      <c r="BX65" s="760">
        <f t="shared" ca="1" si="183"/>
        <v>0</v>
      </c>
      <c r="BY65" s="760">
        <f t="shared" ca="1" si="184"/>
        <v>1</v>
      </c>
      <c r="BZ65" s="760" t="str">
        <f t="shared" ca="1" si="185"/>
        <v>Pos. 1 (11)</v>
      </c>
      <c r="CA65" s="760">
        <f t="shared" ca="1" si="199"/>
        <v>11</v>
      </c>
      <c r="CB65" s="760">
        <f t="shared" ca="1" si="200"/>
        <v>1</v>
      </c>
      <c r="CC65" s="760"/>
      <c r="CD65" s="760">
        <f t="shared" ca="1" si="201"/>
        <v>1</v>
      </c>
      <c r="CE65" s="760">
        <f t="shared" ca="1" si="202"/>
        <v>0</v>
      </c>
      <c r="CF65" s="760">
        <f t="shared" ca="1" si="203"/>
        <v>1</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1</v>
      </c>
      <c r="DK65" s="756"/>
      <c r="DL65" s="756">
        <f t="shared" ca="1" si="204"/>
        <v>1</v>
      </c>
      <c r="DM65" s="750" t="str">
        <f t="shared" ca="1" si="187"/>
        <v>1.1</v>
      </c>
      <c r="DN65" s="756" cm="1">
        <f t="array" aca="1" ref="DN65" ca="1">OFFSET(Horarios!$P$3,DJ65-1,0,DL65,1)</f>
        <v>1</v>
      </c>
      <c r="DO65" s="756"/>
      <c r="DP65" s="756">
        <v>8</v>
      </c>
      <c r="DQ65" s="756" t="str">
        <f t="shared" ca="1" si="205"/>
        <v>Irak</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8</v>
      </c>
      <c r="BN66" s="760">
        <f t="shared" ca="1" si="195"/>
        <v>8</v>
      </c>
      <c r="BO66" s="750" t="str">
        <f t="shared" si="196"/>
        <v>4I</v>
      </c>
      <c r="BP66" s="750"/>
      <c r="BQ66" s="750"/>
      <c r="BR66" s="760">
        <f t="shared" ca="1" si="179"/>
        <v>0</v>
      </c>
      <c r="BS66" s="760">
        <f t="shared" ca="1" si="197"/>
        <v>1</v>
      </c>
      <c r="BT66" s="760" t="str">
        <f t="shared" ca="1" si="198"/>
        <v>Pos. 1 (12)</v>
      </c>
      <c r="BU66" s="760">
        <f t="shared" ca="1" si="180"/>
        <v>0</v>
      </c>
      <c r="BV66" s="760">
        <f t="shared" ca="1" si="181"/>
        <v>1</v>
      </c>
      <c r="BW66" s="760" t="str">
        <f t="shared" ca="1" si="182"/>
        <v>Pos. 1 (11)</v>
      </c>
      <c r="BX66" s="760">
        <f t="shared" ca="1" si="183"/>
        <v>0</v>
      </c>
      <c r="BY66" s="760">
        <f t="shared" ca="1" si="184"/>
        <v>1</v>
      </c>
      <c r="BZ66" s="760" t="str">
        <f t="shared" ca="1" si="185"/>
        <v>Pos. 1 (11)</v>
      </c>
      <c r="CA66" s="760">
        <f t="shared" ca="1" si="199"/>
        <v>4</v>
      </c>
      <c r="CB66" s="760">
        <f t="shared" ca="1" si="200"/>
        <v>8</v>
      </c>
      <c r="CC66" s="760"/>
      <c r="CD66" s="760">
        <f t="shared" ca="1" si="201"/>
        <v>8</v>
      </c>
      <c r="CE66" s="760">
        <f t="shared" ca="1" si="202"/>
        <v>7</v>
      </c>
      <c r="CF66" s="760">
        <f t="shared" ca="1" si="203"/>
        <v>8</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1</v>
      </c>
      <c r="DK66" s="756"/>
      <c r="DL66" s="756">
        <f t="shared" ca="1" si="204"/>
        <v>1</v>
      </c>
      <c r="DM66" s="750" t="str">
        <f t="shared" ca="1" si="187"/>
        <v>1.1</v>
      </c>
      <c r="DN66" s="756" cm="1">
        <f t="array" aca="1" ref="DN66" ca="1">OFFSET(Horarios!$P$3,DJ66-1,0,DL66,1)</f>
        <v>1</v>
      </c>
      <c r="DO66" s="756"/>
      <c r="DP66" s="756">
        <v>9</v>
      </c>
      <c r="DQ66" s="756" t="str">
        <f t="shared" ca="1" si="205"/>
        <v>Irán</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3</v>
      </c>
      <c r="BN67" s="760">
        <f t="shared" ca="1" si="195"/>
        <v>3</v>
      </c>
      <c r="BO67" s="750" t="str">
        <f t="shared" si="196"/>
        <v>4J</v>
      </c>
      <c r="BP67" s="750"/>
      <c r="BQ67" s="750"/>
      <c r="BR67" s="760">
        <f t="shared" ca="1" si="179"/>
        <v>0</v>
      </c>
      <c r="BS67" s="760">
        <f t="shared" ca="1" si="197"/>
        <v>1</v>
      </c>
      <c r="BT67" s="760" t="str">
        <f t="shared" ca="1" si="198"/>
        <v>Pos. 1 (12)</v>
      </c>
      <c r="BU67" s="760">
        <f t="shared" ca="1" si="180"/>
        <v>0</v>
      </c>
      <c r="BV67" s="760">
        <f t="shared" ca="1" si="181"/>
        <v>1</v>
      </c>
      <c r="BW67" s="760" t="str">
        <f t="shared" ca="1" si="182"/>
        <v>Pos. 1 (11)</v>
      </c>
      <c r="BX67" s="760">
        <f t="shared" ca="1" si="183"/>
        <v>0</v>
      </c>
      <c r="BY67" s="760">
        <f t="shared" ca="1" si="184"/>
        <v>1</v>
      </c>
      <c r="BZ67" s="760" t="str">
        <f t="shared" ca="1" si="185"/>
        <v>Pos. 1 (11)</v>
      </c>
      <c r="CA67" s="760">
        <f t="shared" ca="1" si="199"/>
        <v>9</v>
      </c>
      <c r="CB67" s="760">
        <f t="shared" ca="1" si="200"/>
        <v>3</v>
      </c>
      <c r="CC67" s="760"/>
      <c r="CD67" s="760">
        <f t="shared" ca="1" si="201"/>
        <v>3</v>
      </c>
      <c r="CE67" s="760">
        <f t="shared" ca="1" si="202"/>
        <v>2</v>
      </c>
      <c r="CF67" s="760">
        <f t="shared" ca="1" si="203"/>
        <v>3</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1</v>
      </c>
      <c r="DK67" s="756"/>
      <c r="DL67" s="756">
        <f t="shared" ca="1" si="204"/>
        <v>1</v>
      </c>
      <c r="DM67" s="750" t="str">
        <f t="shared" ca="1" si="187"/>
        <v>1.1</v>
      </c>
      <c r="DN67" s="756" cm="1">
        <f t="array" aca="1" ref="DN67" ca="1">OFFSET(Horarios!$P$3,DJ67-1,0,DL67,1)</f>
        <v>1</v>
      </c>
      <c r="DO67" s="756"/>
      <c r="DP67" s="756">
        <v>10</v>
      </c>
      <c r="DQ67" s="756" t="str">
        <f t="shared" ca="1" si="205"/>
        <v>Suecia</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v>3</v>
      </c>
      <c r="AD68" s="200">
        <v>1</v>
      </c>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11</v>
      </c>
      <c r="BN68" s="760">
        <f t="shared" ca="1" si="195"/>
        <v>11</v>
      </c>
      <c r="BO68" s="750" t="str">
        <f t="shared" si="196"/>
        <v>4K</v>
      </c>
      <c r="BP68" s="750"/>
      <c r="BQ68" s="750"/>
      <c r="BR68" s="760">
        <f t="shared" ca="1" si="179"/>
        <v>0</v>
      </c>
      <c r="BS68" s="760">
        <f t="shared" ca="1" si="197"/>
        <v>1</v>
      </c>
      <c r="BT68" s="760" t="str">
        <f t="shared" ca="1" si="198"/>
        <v>Pos. 1 (12)</v>
      </c>
      <c r="BU68" s="760">
        <f t="shared" ca="1" si="180"/>
        <v>0</v>
      </c>
      <c r="BV68" s="760">
        <f t="shared" ca="1" si="181"/>
        <v>1</v>
      </c>
      <c r="BW68" s="760" t="str">
        <f t="shared" ca="1" si="182"/>
        <v>Pos. 1 (11)</v>
      </c>
      <c r="BX68" s="760">
        <f t="shared" ca="1" si="183"/>
        <v>0</v>
      </c>
      <c r="BY68" s="760">
        <f t="shared" ca="1" si="184"/>
        <v>1</v>
      </c>
      <c r="BZ68" s="760" t="str">
        <f t="shared" ca="1" si="185"/>
        <v>Pos. 1 (11)</v>
      </c>
      <c r="CA68" s="760">
        <f t="shared" ca="1" si="199"/>
        <v>0</v>
      </c>
      <c r="CB68" s="760">
        <f t="shared" ca="1" si="200"/>
        <v>11</v>
      </c>
      <c r="CC68" s="760"/>
      <c r="CD68" s="760">
        <f t="shared" ca="1" si="201"/>
        <v>11</v>
      </c>
      <c r="CE68" s="760">
        <f t="shared" ca="1" si="202"/>
        <v>10</v>
      </c>
      <c r="CF68" s="760">
        <f t="shared" ca="1" si="203"/>
        <v>11</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1</v>
      </c>
      <c r="DK68" s="756"/>
      <c r="DL68" s="756">
        <f t="shared" ca="1" si="204"/>
        <v>1</v>
      </c>
      <c r="DM68" s="750" t="str">
        <f t="shared" ca="1" si="187"/>
        <v>1.1</v>
      </c>
      <c r="DN68" s="756" cm="1">
        <f t="array" aca="1" ref="DN68" ca="1">OFFSET(Horarios!$P$3,DJ68-1,0,DL68,1)</f>
        <v>1</v>
      </c>
      <c r="DO68" s="756"/>
      <c r="DP68" s="756">
        <v>11</v>
      </c>
      <c r="DQ68" s="756" t="str">
        <f t="shared" ca="1" si="205"/>
        <v>Uzbekistán</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v>1</v>
      </c>
      <c r="AD69" s="200">
        <v>4</v>
      </c>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6</v>
      </c>
      <c r="BN69" s="760">
        <f t="shared" ca="1" si="195"/>
        <v>6</v>
      </c>
      <c r="BO69" s="750" t="str">
        <f t="shared" si="196"/>
        <v>4L</v>
      </c>
      <c r="BP69" s="750"/>
      <c r="BQ69" s="750"/>
      <c r="BR69" s="760">
        <f t="shared" ca="1" si="179"/>
        <v>0</v>
      </c>
      <c r="BS69" s="760">
        <f t="shared" ca="1" si="197"/>
        <v>1</v>
      </c>
      <c r="BT69" s="760" t="str">
        <f t="shared" ca="1" si="198"/>
        <v>Pos. 1 (12)</v>
      </c>
      <c r="BU69" s="760">
        <f t="shared" ca="1" si="180"/>
        <v>0</v>
      </c>
      <c r="BV69" s="760">
        <f t="shared" ca="1" si="181"/>
        <v>1</v>
      </c>
      <c r="BW69" s="760" t="str">
        <f t="shared" ca="1" si="182"/>
        <v>Pos. 1 (11)</v>
      </c>
      <c r="BX69" s="760">
        <f t="shared" ca="1" si="183"/>
        <v>0</v>
      </c>
      <c r="BY69" s="760">
        <f t="shared" ca="1" si="184"/>
        <v>1</v>
      </c>
      <c r="BZ69" s="760" t="str">
        <f t="shared" ca="1" si="185"/>
        <v>Pos. 1 (11)</v>
      </c>
      <c r="CA69" s="760">
        <f t="shared" ca="1" si="199"/>
        <v>6</v>
      </c>
      <c r="CB69" s="760">
        <f ca="1">BY69+COUNTIFS(BZ$58:BZ$69,BZ69,CA$58:CA$69,"&gt;"&amp;CA69)</f>
        <v>6</v>
      </c>
      <c r="CC69" s="760"/>
      <c r="CD69" s="760">
        <f t="shared" ca="1" si="201"/>
        <v>6</v>
      </c>
      <c r="CE69" s="760">
        <f t="shared" ca="1" si="202"/>
        <v>5</v>
      </c>
      <c r="CF69" s="760">
        <f t="shared" ca="1" si="203"/>
        <v>6</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12</v>
      </c>
      <c r="DK69" s="756"/>
      <c r="DL69" s="756">
        <f t="shared" ca="1" si="204"/>
        <v>1</v>
      </c>
      <c r="DM69" s="750" t="str">
        <f t="shared" ca="1" si="187"/>
        <v>12.1</v>
      </c>
      <c r="DN69" s="756" cm="1">
        <f t="array" aca="1" ref="DN69" ca="1">OFFSET(Horarios!$P$3,DJ69-1,0,DL69,1)</f>
        <v>12</v>
      </c>
      <c r="DO69" s="756"/>
      <c r="DP69" s="756">
        <v>12</v>
      </c>
      <c r="DQ69" s="756" t="str">
        <f t="shared" ca="1" si="205"/>
        <v>República Checa</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v>3</v>
      </c>
      <c r="AD70" s="200">
        <v>0</v>
      </c>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v>3</v>
      </c>
      <c r="AD71" s="200">
        <v>2</v>
      </c>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v>1</v>
      </c>
      <c r="AD72" s="200">
        <v>4</v>
      </c>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v>5</v>
      </c>
      <c r="AD73" s="239">
        <v>0</v>
      </c>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v>3</v>
      </c>
      <c r="AD76" s="200">
        <v>0</v>
      </c>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v>3</v>
      </c>
      <c r="AD77" s="200">
        <v>1</v>
      </c>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v>2</v>
      </c>
      <c r="AD78" s="200">
        <v>0</v>
      </c>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v>1</v>
      </c>
      <c r="AD79" s="200">
        <v>2</v>
      </c>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c r="AD80" s="200"/>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c r="AD81" s="239"/>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v>1</v>
      </c>
      <c r="AD84" s="200">
        <v>1</v>
      </c>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v>1</v>
      </c>
      <c r="AD85" s="200">
        <v>3</v>
      </c>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v>5</v>
      </c>
      <c r="AD86" s="200">
        <v>0</v>
      </c>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v>1</v>
      </c>
      <c r="AD87" s="200">
        <v>0</v>
      </c>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v>0</v>
      </c>
      <c r="AD88" s="200">
        <v>0</v>
      </c>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v>3</v>
      </c>
      <c r="AD89" s="239">
        <v>1</v>
      </c>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v>4</v>
      </c>
      <c r="AD92" s="200">
        <v>2</v>
      </c>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v>1</v>
      </c>
      <c r="AD93" s="200">
        <v>0</v>
      </c>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v>0</v>
      </c>
      <c r="AD94" s="200">
        <v>0</v>
      </c>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v>0</v>
      </c>
      <c r="AD95" s="200">
        <v>1</v>
      </c>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v>0</v>
      </c>
      <c r="AD96" s="200">
        <v>2</v>
      </c>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v>2</v>
      </c>
      <c r="AD97" s="239">
        <v>1</v>
      </c>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4</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t="str">
        <v>Sudáfrica</v>
      </c>
      <c r="AB101" t="str">
        <v>🇿🇦</v>
      </c>
      <c r="AC101" s="200"/>
      <c r="AD101" s="200"/>
      <c r="AE101" t="str">
        <v>🇨🇦</v>
      </c>
      <c r="AF101" t="str">
        <v>Canadá</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2</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t="str">
        <v>Brasil</v>
      </c>
      <c r="AB102" t="str">
        <v>🇧🇷</v>
      </c>
      <c r="AC102" s="287"/>
      <c r="AD102" s="287"/>
      <c r="AE102" t="str">
        <v>🇯🇵</v>
      </c>
      <c r="AF102" t="str">
        <v>Japón</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Arabia Saudita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t="str">
        <v>Alemania</v>
      </c>
      <c r="AB103" t="str">
        <v>🇩🇪</v>
      </c>
      <c r="AC103" s="287"/>
      <c r="AD103" s="287"/>
      <c r="AE103" t="str">
        <v>🇵🇾</v>
      </c>
      <c r="AF103" t="str">
        <v>Paraguay</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Australia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t="str">
        <v>Países Bajos</v>
      </c>
      <c r="AB104" t="str">
        <v>🇳🇱</v>
      </c>
      <c r="AC104" s="287"/>
      <c r="AD104" s="287"/>
      <c r="AE104" t="str">
        <v>🇲🇦</v>
      </c>
      <c r="AF104" t="str">
        <v>Marruecos</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t="str">
        <v>Costa de Marfil</v>
      </c>
      <c r="AB105" t="str">
        <v>🇨🇮</v>
      </c>
      <c r="AC105" s="287"/>
      <c r="AD105" s="287"/>
      <c r="AE105" t="str">
        <v>🇳🇴</v>
      </c>
      <c r="AF105" t="str">
        <v>Noruega</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Catar</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t="str">
        <v>Francia</v>
      </c>
      <c r="AB106" t="str">
        <v>🇫🇷</v>
      </c>
      <c r="AC106" s="287"/>
      <c r="AD106" s="287"/>
      <c r="AE106" t="str">
        <v>🇸🇪</v>
      </c>
      <c r="AF106" t="str">
        <v>Suecia</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Costa de Marfil</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t="str">
        <v>México</v>
      </c>
      <c r="AB107" t="str">
        <v>🇲🇽</v>
      </c>
      <c r="AC107" s="287"/>
      <c r="AD107" s="287"/>
      <c r="AE107" t="str">
        <v>🇪🇨</v>
      </c>
      <c r="AF107" t="str">
        <v>Ecuador</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Ghana</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t="str">
        <v>Inglaterra</v>
      </c>
      <c r="AB108" t="str">
        <v>🏴‍󠁧󠁢󠁥󠁮‍󠁿</v>
      </c>
      <c r="AC108" s="287"/>
      <c r="AD108" s="287"/>
      <c r="AE108" t="str">
        <v>🇨🇩</v>
      </c>
      <c r="AF108" t="str">
        <v>RD Congo</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Haití</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t="str">
        <v>Bélgica</v>
      </c>
      <c r="AB109" t="str">
        <v>🇧🇪</v>
      </c>
      <c r="AC109" s="287"/>
      <c r="AD109" s="287"/>
      <c r="AE109" t="str">
        <v>🇸🇳</v>
      </c>
      <c r="AF109" t="str">
        <v>Senegal</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Irak</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t="str">
        <v>Estados Unidos</v>
      </c>
      <c r="AB110" t="str">
        <v>🇺🇸</v>
      </c>
      <c r="AC110" s="287"/>
      <c r="AD110" s="287"/>
      <c r="AE110" t="str">
        <v>🇧🇦</v>
      </c>
      <c r="AF110" t="str">
        <v>Bosnia y Herzegovina</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Irán</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t="str">
        <v>España</v>
      </c>
      <c r="AB111" t="str">
        <v>🇪🇸</v>
      </c>
      <c r="AC111" s="287"/>
      <c r="AD111" s="287"/>
      <c r="AE111" t="str">
        <v>🇦🇹</v>
      </c>
      <c r="AF111" t="str">
        <v>Austria</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Suecia</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t="str">
        <v>Portugal</v>
      </c>
      <c r="AB112" t="str">
        <v>🇵🇹</v>
      </c>
      <c r="AC112" s="287"/>
      <c r="AD112" s="287"/>
      <c r="AE112" t="str">
        <v>🇭🇷</v>
      </c>
      <c r="AF112" t="str">
        <v>Croacia</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Uzbekistán</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t="str">
        <v>Suiza</v>
      </c>
      <c r="AB113" t="str">
        <v>🇨🇭</v>
      </c>
      <c r="AC113" s="287"/>
      <c r="AD113" s="287"/>
      <c r="AE113" t="str">
        <v>🇩🇿</v>
      </c>
      <c r="AF113" t="str">
        <v>Argelia</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República Checa</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t="str">
        <v>Australia</v>
      </c>
      <c r="AB114" t="str">
        <v>🇦🇺</v>
      </c>
      <c r="AC114" s="287"/>
      <c r="AD114" s="287"/>
      <c r="AE114" t="str">
        <v>🇪🇬</v>
      </c>
      <c r="AF114" t="str">
        <v>Egipto</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t="str">
        <v>Argentina</v>
      </c>
      <c r="AB115" t="str">
        <v>🇦🇷</v>
      </c>
      <c r="AC115" s="287"/>
      <c r="AD115" s="287"/>
      <c r="AE115" t="str">
        <v>🇺🇾</v>
      </c>
      <c r="AF115" t="str">
        <v>Cabo Verde</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t="str">
        <v>Colombia</v>
      </c>
      <c r="AB116" t="str">
        <v>🇨🇴</v>
      </c>
      <c r="AC116" s="308"/>
      <c r="AD116" s="308"/>
      <c r="AE116" t="str">
        <v>🇬🇭</v>
      </c>
      <c r="AF116" t="str">
        <v>Ghana</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AE7" sqref="AE7"/>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4</v>
      </c>
      <c r="W1" s="93"/>
      <c r="X1" s="71"/>
      <c r="Y1" s="93">
        <f ca="1">+IFERROR(RANK(Y2,OFFSET($S$2,0,0,1,$D$5*3),0),"-")</f>
        <v>5</v>
      </c>
      <c r="Z1" s="93"/>
      <c r="AA1" s="71"/>
      <c r="AB1" s="93">
        <f ca="1">+IFERROR(RANK(AB2,OFFSET($S$2,0,0,1,$D$5*3),0),"-")</f>
        <v>2</v>
      </c>
      <c r="AC1" s="93"/>
      <c r="AD1" s="71"/>
      <c r="AE1" s="93">
        <f ca="1">+IFERROR(RANK(AE2,OFFSET($S$2,0,0,1,$D$5*3),0),"-")</f>
        <v>3</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7.9981</v>
      </c>
      <c r="T2" s="93"/>
      <c r="U2" s="71"/>
      <c r="V2" s="93">
        <f t="shared" ref="V2" ca="1" si="0">V4-(COLUMN()/10000)</f>
        <v>1.9978</v>
      </c>
      <c r="W2" s="93"/>
      <c r="X2" s="71"/>
      <c r="Y2" s="93">
        <f t="shared" ref="Y2" ca="1" si="1">Y4-(COLUMN()/10000)</f>
        <v>1.9975000000000001</v>
      </c>
      <c r="Z2" s="93"/>
      <c r="AA2" s="71"/>
      <c r="AB2" s="93">
        <f t="shared" ref="AB2" ca="1" si="2">AB4-(COLUMN()/10000)</f>
        <v>7.9972000000000003</v>
      </c>
      <c r="AC2" s="93"/>
      <c r="AD2" s="71"/>
      <c r="AE2" s="93">
        <f t="shared" ref="AE2" ca="1" si="3">AE4-(COLUMN()/10000)</f>
        <v>5.9969000000000001</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4</v>
      </c>
      <c r="W3" s="93"/>
      <c r="X3" s="71"/>
      <c r="Y3" s="93">
        <f ca="1">RANK(Y4,OFFSET($S$4,0,0,1,$D$5*3),0)</f>
        <v>4</v>
      </c>
      <c r="Z3" s="93"/>
      <c r="AA3" s="71"/>
      <c r="AB3" s="93">
        <f ca="1">RANK(AB4,OFFSET($S$4,0,0,1,$D$5*3),0)</f>
        <v>1</v>
      </c>
      <c r="AC3" s="93"/>
      <c r="AD3" s="71"/>
      <c r="AE3" s="93">
        <f ca="1">RANK(AE4,OFFSET($S$4,0,0,1,$D$5*3),0)</f>
        <v>3</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8</v>
      </c>
      <c r="T4" s="74"/>
      <c r="U4" s="71"/>
      <c r="V4" s="73">
        <f ca="1">SUM(W6:W259)/2</f>
        <v>2</v>
      </c>
      <c r="W4" s="74"/>
      <c r="X4" s="71"/>
      <c r="Y4" s="73">
        <f ca="1">SUM(Z6:Z259)/2</f>
        <v>2</v>
      </c>
      <c r="Z4" s="74"/>
      <c r="AA4" s="71"/>
      <c r="AB4" s="73">
        <f ca="1">SUM(AC6:AC259)/2</f>
        <v>8</v>
      </c>
      <c r="AC4" s="74"/>
      <c r="AD4" s="71"/>
      <c r="AE4" s="73">
        <f ca="1">SUM(AF6:AF259)/2</f>
        <v>6</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1941</v>
      </c>
      <c r="T5" s="76"/>
      <c r="U5" s="71">
        <v>1</v>
      </c>
      <c r="V5" s="75" t="s">
        <v>1942</v>
      </c>
      <c r="W5" s="76"/>
      <c r="X5" s="71">
        <v>2</v>
      </c>
      <c r="Y5" s="75" t="s">
        <v>1944</v>
      </c>
      <c r="Z5" s="76"/>
      <c r="AA5" s="71">
        <v>3</v>
      </c>
      <c r="AB5" s="75" t="s">
        <v>1943</v>
      </c>
      <c r="AC5" s="76"/>
      <c r="AD5" s="71">
        <v>4</v>
      </c>
      <c r="AE5" s="75" t="s">
        <v>1981</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1945</v>
      </c>
      <c r="T6" s="79">
        <f>IFERROR(IF($M6=S6,($D$8+$D$9+$D$10)*$I6,IF($N6=LEFT(S6,1),($D$8+MAX(0,IF($D$50=1,$D$9*(1-(ABS($Q6-ABS(VALUE(MID(S6,FIND("|",S6)+1,FIND("-",S6)-FIND("|",S6)-1))-VALUE(MID(S6,FIND("-",S6)+1,10)))))*$D$50),$D$9*(1-(IF($N6="X",ABS($O6-VALUE(MID(S6,FIND("|",S6)+1,FIND("-",S6)-FIND("|",S6)-1))),ABS($Q6-ABS(VALUE(MID(S6,FIND("|",S6)+1,FIND("-",S6)-FIND("|",S6)-1))-VALUE(MID(S6,FIND("-",S6)+1,10)))))*$D$50)))))*$I6,0)),0)</f>
        <v>2</v>
      </c>
      <c r="U6" s="117"/>
      <c r="V6" s="78" t="s">
        <v>1954</v>
      </c>
      <c r="W6" s="79">
        <f>IFERROR(IF($M6=V6,($D$8+$D$9+$D$10)*$I6,IF($N6=LEFT(V6,1),($D$8+MAX(0,IF($D$50=1,$D$9*(1-(ABS($Q6-ABS(VALUE(MID(V6,FIND("|",V6)+1,FIND("-",V6)-FIND("|",V6)-1))-VALUE(MID(V6,FIND("-",V6)+1,10)))))*$D$50),$D$9*(1-(IF($N6="X",ABS($O6-VALUE(MID(V6,FIND("|",V6)+1,FIND("-",V6)-FIND("|",V6)-1))),ABS($Q6-ABS(VALUE(MID(V6,FIND("|",V6)+1,FIND("-",V6)-FIND("|",V6)-1))-VALUE(MID(V6,FIND("-",V6)+1,10)))))*$D$50)))))*$I6,0)),0)</f>
        <v>2</v>
      </c>
      <c r="X6" s="117"/>
      <c r="Y6" s="78" t="s">
        <v>1945</v>
      </c>
      <c r="Z6" s="79">
        <f t="shared" ref="Z6" si="4">IFERROR(IF($M6=Y6,($D$8+$D$9+$D$10)*$I6,IF($N6=LEFT(Y6,1),($D$8+MAX(0,IF($D$50=1,$D$9*(1-(ABS($Q6-ABS(VALUE(MID(Y6,FIND("|",Y6)+1,FIND("-",Y6)-FIND("|",Y6)-1))-VALUE(MID(Y6,FIND("-",Y6)+1,10)))))*$D$50),$D$9*(1-(IF($N6="X",ABS($O6-VALUE(MID(Y6,FIND("|",Y6)+1,FIND("-",Y6)-FIND("|",Y6)-1))),ABS($Q6-ABS(VALUE(MID(Y6,FIND("|",Y6)+1,FIND("-",Y6)-FIND("|",Y6)-1))-VALUE(MID(Y6,FIND("-",Y6)+1,10)))))*$D$50)))))*$I6,0)),0)</f>
        <v>2</v>
      </c>
      <c r="AA6" s="117"/>
      <c r="AB6" s="78" t="s">
        <v>1945</v>
      </c>
      <c r="AC6" s="79">
        <f t="shared" ref="AC6" si="5">IFERROR(IF($M6=AB6,($D$8+$D$9+$D$10)*$I6,IF($N6=LEFT(AB6,1),($D$8+MAX(0,IF($D$50=1,$D$9*(1-(ABS($Q6-ABS(VALUE(MID(AB6,FIND("|",AB6)+1,FIND("-",AB6)-FIND("|",AB6)-1))-VALUE(MID(AB6,FIND("-",AB6)+1,10)))))*$D$50),$D$9*(1-(IF($N6="X",ABS($O6-VALUE(MID(AB6,FIND("|",AB6)+1,FIND("-",AB6)-FIND("|",AB6)-1))),ABS($Q6-ABS(VALUE(MID(AB6,FIND("|",AB6)+1,FIND("-",AB6)-FIND("|",AB6)-1))-VALUE(MID(AB6,FIND("-",AB6)+1,10)))))*$D$50)))))*$I6,0)),0)</f>
        <v>2</v>
      </c>
      <c r="AD6" s="117"/>
      <c r="AE6" s="78" t="s">
        <v>1953</v>
      </c>
      <c r="AF6" s="79">
        <f t="shared" ref="AF6" si="6">IFERROR(IF($M6=AE6,($D$8+$D$9+$D$10)*$I6,IF($N6=LEFT(AE6,1),($D$8+MAX(0,IF($D$50=1,$D$9*(1-(ABS($Q6-ABS(VALUE(MID(AE6,FIND("|",AE6)+1,FIND("-",AE6)-FIND("|",AE6)-1))-VALUE(MID(AE6,FIND("-",AE6)+1,10)))))*$D$50),$D$9*(1-(IF($N6="X",ABS($O6-VALUE(MID(AE6,FIND("|",AE6)+1,FIND("-",AE6)-FIND("|",AE6)-1))),ABS($Q6-ABS(VALUE(MID(AE6,FIND("|",AE6)+1,FIND("-",AE6)-FIND("|",AE6)-1))-VALUE(MID(AE6,FIND("-",AE6)+1,10)))))*$D$50)))))*$I6,0)),0)</f>
        <v>6</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1946</v>
      </c>
      <c r="T7" s="79">
        <f t="shared" ref="T7:T70" si="8">IFERROR(IF($M7=S7,($D$8+$D$9+$D$10)*$I7,IF($N7=LEFT(S7,1),($D$8+MAX(0,IF($D$50=1,$D$9*(1-(ABS($Q7-ABS(VALUE(MID(S7,FIND("|",S7)+1,FIND("-",S7)-FIND("|",S7)-1))-VALUE(MID(S7,FIND("-",S7)+1,10)))))*$D$50),$D$9*(1-(IF($N7="X",ABS($O7-VALUE(MID(S7,FIND("|",S7)+1,FIND("-",S7)-FIND("|",S7)-1))),ABS($Q7-ABS(VALUE(MID(S7,FIND("|",S7)+1,FIND("-",S7)-FIND("|",S7)-1))-VALUE(MID(S7,FIND("-",S7)+1,10)))))*$D$50)))))*$I7,0)),0)</f>
        <v>0</v>
      </c>
      <c r="U7" s="117"/>
      <c r="V7" s="78" t="s">
        <v>1947</v>
      </c>
      <c r="W7" s="79">
        <f t="shared" ref="W7:W41" si="9">IFERROR(IF($M7=V7,($D$8+$D$9+$D$10)*$I7,IF($N7=LEFT(V7,1),($D$8+MAX(0,IF($D$50=1,$D$9*(1-(ABS($Q7-ABS(VALUE(MID(V7,FIND("|",V7)+1,FIND("-",V7)-FIND("|",V7)-1))-VALUE(MID(V7,FIND("-",V7)+1,10)))))*$D$50),$D$9*(1-(IF($N7="X",ABS($O7-VALUE(MID(V7,FIND("|",V7)+1,FIND("-",V7)-FIND("|",V7)-1))),ABS($Q7-ABS(VALUE(MID(V7,FIND("|",V7)+1,FIND("-",V7)-FIND("|",V7)-1))-VALUE(MID(V7,FIND("-",V7)+1,10)))))*$D$50)))))*$I7,0)),0)</f>
        <v>0</v>
      </c>
      <c r="X7" s="117"/>
      <c r="Y7" s="78" t="s">
        <v>1949</v>
      </c>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t="s">
        <v>1947</v>
      </c>
      <c r="AC7" s="79">
        <f t="shared" si="10"/>
        <v>0</v>
      </c>
      <c r="AD7" s="117"/>
      <c r="AE7" s="78" t="s">
        <v>1947</v>
      </c>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X|1-1</v>
      </c>
      <c r="N8" s="25" t="str">
        <f>IF(OR(WORLDCUP!AC12="",WORLDCUP!AD12=""),"",IF(WORLDCUP!AC12&gt;WORLDCUP!AD12,"1",IF(WORLDCUP!AC12&lt;WORLDCUP!AD12,"2","X")))</f>
        <v>X</v>
      </c>
      <c r="O8" s="25">
        <f>WORLDCUP!AC12</f>
        <v>1</v>
      </c>
      <c r="P8" s="25">
        <f>WORLDCUP!AD12</f>
        <v>1</v>
      </c>
      <c r="Q8" s="25">
        <f t="shared" ref="Q8:Q70" si="11">ABS(O8-P8)</f>
        <v>0</v>
      </c>
      <c r="R8" s="55"/>
      <c r="S8" s="80" t="s">
        <v>1947</v>
      </c>
      <c r="T8" s="79">
        <f t="shared" si="8"/>
        <v>6</v>
      </c>
      <c r="U8" s="71"/>
      <c r="V8" s="80" t="s">
        <v>1950</v>
      </c>
      <c r="W8" s="79">
        <f t="shared" si="9"/>
        <v>0</v>
      </c>
      <c r="X8" s="71"/>
      <c r="Y8" s="80" t="s">
        <v>1955</v>
      </c>
      <c r="Z8" s="79">
        <f t="shared" si="10"/>
        <v>0</v>
      </c>
      <c r="AA8" s="71"/>
      <c r="AB8" s="80" t="s">
        <v>1947</v>
      </c>
      <c r="AC8" s="79">
        <f t="shared" si="10"/>
        <v>6</v>
      </c>
      <c r="AD8" s="71"/>
      <c r="AE8" s="80" t="s">
        <v>1945</v>
      </c>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1948</v>
      </c>
      <c r="T9" s="79">
        <f t="shared" si="8"/>
        <v>0</v>
      </c>
      <c r="U9" s="71"/>
      <c r="V9" s="81" t="s">
        <v>1950</v>
      </c>
      <c r="W9" s="79">
        <f t="shared" si="9"/>
        <v>0</v>
      </c>
      <c r="X9" s="71"/>
      <c r="Y9" s="81" t="s">
        <v>1946</v>
      </c>
      <c r="Z9" s="79">
        <f t="shared" si="10"/>
        <v>0</v>
      </c>
      <c r="AA9" s="71"/>
      <c r="AB9" s="81" t="s">
        <v>1950</v>
      </c>
      <c r="AC9" s="79">
        <f t="shared" si="10"/>
        <v>0</v>
      </c>
      <c r="AD9" s="71"/>
      <c r="AE9" s="81" t="s">
        <v>1948</v>
      </c>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1949</v>
      </c>
      <c r="T10" s="79">
        <f t="shared" si="8"/>
        <v>0</v>
      </c>
      <c r="U10" s="71"/>
      <c r="V10" s="80" t="s">
        <v>1949</v>
      </c>
      <c r="W10" s="79">
        <f t="shared" si="9"/>
        <v>0</v>
      </c>
      <c r="X10" s="71"/>
      <c r="Y10" s="80" t="s">
        <v>1975</v>
      </c>
      <c r="Z10" s="79">
        <f t="shared" si="10"/>
        <v>0</v>
      </c>
      <c r="AA10" s="71"/>
      <c r="AB10" s="80" t="s">
        <v>1945</v>
      </c>
      <c r="AC10" s="79">
        <f t="shared" si="10"/>
        <v>0</v>
      </c>
      <c r="AD10" s="71"/>
      <c r="AE10" s="80" t="s">
        <v>1945</v>
      </c>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1948</v>
      </c>
      <c r="T11" s="79">
        <f t="shared" si="8"/>
        <v>0</v>
      </c>
      <c r="U11" s="71"/>
      <c r="V11" s="80" t="s">
        <v>1948</v>
      </c>
      <c r="W11" s="79">
        <f t="shared" si="9"/>
        <v>0</v>
      </c>
      <c r="X11" s="71"/>
      <c r="Y11" s="80" t="s">
        <v>1946</v>
      </c>
      <c r="Z11" s="79">
        <f t="shared" si="10"/>
        <v>0</v>
      </c>
      <c r="AA11" s="71"/>
      <c r="AB11" s="80" t="s">
        <v>1950</v>
      </c>
      <c r="AC11" s="79">
        <f t="shared" si="10"/>
        <v>0</v>
      </c>
      <c r="AD11" s="71"/>
      <c r="AE11" s="80" t="s">
        <v>1948</v>
      </c>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1945</v>
      </c>
      <c r="T12" s="79">
        <f t="shared" si="8"/>
        <v>0</v>
      </c>
      <c r="U12" s="71"/>
      <c r="V12" s="80" t="s">
        <v>1966</v>
      </c>
      <c r="W12" s="79">
        <f t="shared" si="9"/>
        <v>0</v>
      </c>
      <c r="X12" s="71"/>
      <c r="Y12" s="80" t="s">
        <v>1955</v>
      </c>
      <c r="Z12" s="79">
        <f t="shared" si="10"/>
        <v>0</v>
      </c>
      <c r="AA12" s="71"/>
      <c r="AB12" s="80" t="s">
        <v>1945</v>
      </c>
      <c r="AC12" s="79">
        <f t="shared" si="10"/>
        <v>0</v>
      </c>
      <c r="AD12" s="71"/>
      <c r="AE12" s="80" t="s">
        <v>1953</v>
      </c>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1950</v>
      </c>
      <c r="T13" s="79">
        <f t="shared" si="8"/>
        <v>0</v>
      </c>
      <c r="U13" s="71"/>
      <c r="V13" s="80" t="s">
        <v>1950</v>
      </c>
      <c r="W13" s="79">
        <f t="shared" si="9"/>
        <v>0</v>
      </c>
      <c r="X13" s="71"/>
      <c r="Y13" s="80" t="s">
        <v>1949</v>
      </c>
      <c r="Z13" s="79">
        <f t="shared" si="10"/>
        <v>0</v>
      </c>
      <c r="AA13" s="71"/>
      <c r="AB13" s="80" t="s">
        <v>1955</v>
      </c>
      <c r="AC13" s="79">
        <f t="shared" si="10"/>
        <v>0</v>
      </c>
      <c r="AD13" s="71"/>
      <c r="AE13" s="80" t="s">
        <v>1950</v>
      </c>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1951</v>
      </c>
      <c r="T14" s="79">
        <f t="shared" si="8"/>
        <v>0</v>
      </c>
      <c r="U14" s="71"/>
      <c r="V14" s="80" t="s">
        <v>1967</v>
      </c>
      <c r="W14" s="79">
        <f t="shared" si="9"/>
        <v>0</v>
      </c>
      <c r="X14" s="71"/>
      <c r="Y14" s="80" t="s">
        <v>1958</v>
      </c>
      <c r="Z14" s="79">
        <f t="shared" si="10"/>
        <v>0</v>
      </c>
      <c r="AA14" s="71"/>
      <c r="AB14" s="80" t="s">
        <v>1951</v>
      </c>
      <c r="AC14" s="79">
        <f t="shared" si="10"/>
        <v>0</v>
      </c>
      <c r="AD14" s="71"/>
      <c r="AE14" s="80" t="s">
        <v>1967</v>
      </c>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1949</v>
      </c>
      <c r="T15" s="79">
        <f t="shared" si="8"/>
        <v>0</v>
      </c>
      <c r="U15" s="71"/>
      <c r="V15" s="80" t="s">
        <v>1955</v>
      </c>
      <c r="W15" s="79">
        <f t="shared" si="9"/>
        <v>0</v>
      </c>
      <c r="X15" s="71"/>
      <c r="Y15" s="80" t="s">
        <v>1954</v>
      </c>
      <c r="Z15" s="79">
        <f t="shared" si="10"/>
        <v>0</v>
      </c>
      <c r="AA15" s="71"/>
      <c r="AB15" s="80" t="s">
        <v>1947</v>
      </c>
      <c r="AC15" s="79">
        <f t="shared" si="10"/>
        <v>0</v>
      </c>
      <c r="AD15" s="71"/>
      <c r="AE15" s="80" t="s">
        <v>1946</v>
      </c>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1952</v>
      </c>
      <c r="T16" s="79">
        <f t="shared" si="8"/>
        <v>0</v>
      </c>
      <c r="U16" s="71"/>
      <c r="V16" s="80" t="s">
        <v>1954</v>
      </c>
      <c r="W16" s="79">
        <f t="shared" si="9"/>
        <v>0</v>
      </c>
      <c r="X16" s="71"/>
      <c r="Y16" s="80" t="s">
        <v>1949</v>
      </c>
      <c r="Z16" s="79">
        <f t="shared" si="10"/>
        <v>0</v>
      </c>
      <c r="AA16" s="71"/>
      <c r="AB16" s="80" t="s">
        <v>1947</v>
      </c>
      <c r="AC16" s="79">
        <f t="shared" si="10"/>
        <v>0</v>
      </c>
      <c r="AD16" s="71"/>
      <c r="AE16" s="80" t="s">
        <v>1954</v>
      </c>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1946</v>
      </c>
      <c r="T17" s="79">
        <f t="shared" si="8"/>
        <v>0</v>
      </c>
      <c r="U17" s="71"/>
      <c r="V17" s="80" t="s">
        <v>1953</v>
      </c>
      <c r="W17" s="79">
        <f t="shared" si="9"/>
        <v>0</v>
      </c>
      <c r="X17" s="71"/>
      <c r="Y17" s="80" t="s">
        <v>1946</v>
      </c>
      <c r="Z17" s="79">
        <f t="shared" si="10"/>
        <v>0</v>
      </c>
      <c r="AA17" s="71"/>
      <c r="AB17" s="80" t="s">
        <v>1953</v>
      </c>
      <c r="AC17" s="79">
        <f t="shared" si="10"/>
        <v>0</v>
      </c>
      <c r="AD17" s="71"/>
      <c r="AE17" s="80" t="s">
        <v>1945</v>
      </c>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1953</v>
      </c>
      <c r="T18" s="79">
        <f t="shared" si="8"/>
        <v>0</v>
      </c>
      <c r="U18" s="71"/>
      <c r="V18" s="80" t="s">
        <v>1945</v>
      </c>
      <c r="W18" s="79">
        <f t="shared" si="9"/>
        <v>0</v>
      </c>
      <c r="X18" s="71"/>
      <c r="Y18" s="80" t="s">
        <v>1945</v>
      </c>
      <c r="Z18" s="79">
        <f t="shared" si="10"/>
        <v>0</v>
      </c>
      <c r="AA18" s="71"/>
      <c r="AB18" s="80" t="s">
        <v>1945</v>
      </c>
      <c r="AC18" s="79">
        <f t="shared" si="10"/>
        <v>0</v>
      </c>
      <c r="AD18" s="71"/>
      <c r="AE18" s="80" t="s">
        <v>1953</v>
      </c>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1954</v>
      </c>
      <c r="T19" s="79">
        <f t="shared" si="8"/>
        <v>0</v>
      </c>
      <c r="U19" s="71"/>
      <c r="V19" s="80" t="s">
        <v>1954</v>
      </c>
      <c r="W19" s="79">
        <f t="shared" si="9"/>
        <v>0</v>
      </c>
      <c r="X19" s="71"/>
      <c r="Y19" s="80" t="s">
        <v>1954</v>
      </c>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t="s">
        <v>1947</v>
      </c>
      <c r="AC19" s="79">
        <f t="shared" si="12"/>
        <v>0</v>
      </c>
      <c r="AD19" s="71"/>
      <c r="AE19" s="80" t="s">
        <v>1954</v>
      </c>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1953</v>
      </c>
      <c r="T20" s="79">
        <f t="shared" si="8"/>
        <v>0</v>
      </c>
      <c r="U20" s="71"/>
      <c r="V20" s="80" t="s">
        <v>1956</v>
      </c>
      <c r="W20" s="79">
        <f t="shared" si="9"/>
        <v>0</v>
      </c>
      <c r="X20" s="71"/>
      <c r="Y20" s="80" t="s">
        <v>1947</v>
      </c>
      <c r="Z20" s="79">
        <f t="shared" si="12"/>
        <v>0</v>
      </c>
      <c r="AA20" s="71"/>
      <c r="AB20" s="80" t="s">
        <v>1951</v>
      </c>
      <c r="AC20" s="79">
        <f t="shared" si="12"/>
        <v>0</v>
      </c>
      <c r="AD20" s="71"/>
      <c r="AE20" s="80" t="s">
        <v>1956</v>
      </c>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t="s">
        <v>1946</v>
      </c>
      <c r="W21" s="79">
        <f t="shared" si="9"/>
        <v>0</v>
      </c>
      <c r="X21" s="71"/>
      <c r="Y21" s="80" t="s">
        <v>1950</v>
      </c>
      <c r="Z21" s="79">
        <f t="shared" si="12"/>
        <v>0</v>
      </c>
      <c r="AA21" s="71"/>
      <c r="AB21" s="80" t="s">
        <v>1955</v>
      </c>
      <c r="AC21" s="79">
        <f t="shared" si="12"/>
        <v>0</v>
      </c>
      <c r="AD21" s="71"/>
      <c r="AE21" s="80" t="s">
        <v>1950</v>
      </c>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1951</v>
      </c>
      <c r="T22" s="79">
        <f t="shared" si="8"/>
        <v>0</v>
      </c>
      <c r="U22" s="71"/>
      <c r="V22" s="80" t="s">
        <v>1949</v>
      </c>
      <c r="W22" s="79">
        <f t="shared" si="9"/>
        <v>0</v>
      </c>
      <c r="X22" s="71"/>
      <c r="Y22" s="80" t="s">
        <v>1945</v>
      </c>
      <c r="Z22" s="79">
        <f t="shared" si="12"/>
        <v>0</v>
      </c>
      <c r="AA22" s="71"/>
      <c r="AB22" s="80" t="s">
        <v>1945</v>
      </c>
      <c r="AC22" s="79">
        <f t="shared" si="12"/>
        <v>0</v>
      </c>
      <c r="AD22" s="71"/>
      <c r="AE22" s="80" t="s">
        <v>1953</v>
      </c>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1950</v>
      </c>
      <c r="T23" s="79">
        <f t="shared" si="8"/>
        <v>0</v>
      </c>
      <c r="U23" s="71"/>
      <c r="V23" s="80" t="s">
        <v>1968</v>
      </c>
      <c r="W23" s="79">
        <f t="shared" si="9"/>
        <v>0</v>
      </c>
      <c r="X23" s="71"/>
      <c r="Y23" s="80" t="s">
        <v>1948</v>
      </c>
      <c r="Z23" s="79">
        <f t="shared" si="12"/>
        <v>0</v>
      </c>
      <c r="AA23" s="71"/>
      <c r="AB23" s="80" t="s">
        <v>1950</v>
      </c>
      <c r="AC23" s="79">
        <f t="shared" si="12"/>
        <v>0</v>
      </c>
      <c r="AD23" s="71"/>
      <c r="AE23" s="80" t="s">
        <v>1959</v>
      </c>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1953</v>
      </c>
      <c r="T24" s="83">
        <f t="shared" si="8"/>
        <v>0</v>
      </c>
      <c r="U24" s="71"/>
      <c r="V24" s="82" t="s">
        <v>1945</v>
      </c>
      <c r="W24" s="83">
        <f t="shared" si="9"/>
        <v>0</v>
      </c>
      <c r="X24" s="71"/>
      <c r="Y24" s="82" t="s">
        <v>1947</v>
      </c>
      <c r="Z24" s="83">
        <f t="shared" si="12"/>
        <v>0</v>
      </c>
      <c r="AA24" s="71"/>
      <c r="AB24" s="82" t="s">
        <v>1953</v>
      </c>
      <c r="AC24" s="83">
        <f t="shared" si="12"/>
        <v>0</v>
      </c>
      <c r="AD24" s="71"/>
      <c r="AE24" s="82" t="s">
        <v>1951</v>
      </c>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1953</v>
      </c>
      <c r="T25" s="79">
        <f t="shared" si="8"/>
        <v>0</v>
      </c>
      <c r="U25" s="71"/>
      <c r="V25" s="80" t="s">
        <v>1951</v>
      </c>
      <c r="W25" s="79">
        <f t="shared" si="9"/>
        <v>0</v>
      </c>
      <c r="X25" s="71"/>
      <c r="Y25" s="80" t="s">
        <v>1954</v>
      </c>
      <c r="Z25" s="79">
        <f t="shared" si="12"/>
        <v>0</v>
      </c>
      <c r="AA25" s="71"/>
      <c r="AB25" s="80" t="s">
        <v>1945</v>
      </c>
      <c r="AC25" s="79">
        <f t="shared" si="12"/>
        <v>0</v>
      </c>
      <c r="AD25" s="71"/>
      <c r="AE25" s="80" t="s">
        <v>1951</v>
      </c>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1945</v>
      </c>
      <c r="T26" s="79">
        <f t="shared" si="8"/>
        <v>0</v>
      </c>
      <c r="U26" s="71"/>
      <c r="V26" s="80" t="s">
        <v>1951</v>
      </c>
      <c r="W26" s="79">
        <f t="shared" si="9"/>
        <v>0</v>
      </c>
      <c r="X26" s="71"/>
      <c r="Y26" s="80" t="s">
        <v>1954</v>
      </c>
      <c r="Z26" s="79">
        <f t="shared" si="12"/>
        <v>0</v>
      </c>
      <c r="AA26" s="71"/>
      <c r="AB26" s="80" t="s">
        <v>1951</v>
      </c>
      <c r="AC26" s="79">
        <f t="shared" si="12"/>
        <v>0</v>
      </c>
      <c r="AD26" s="71"/>
      <c r="AE26" s="80" t="s">
        <v>1951</v>
      </c>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1950</v>
      </c>
      <c r="T27" s="79">
        <f t="shared" si="8"/>
        <v>0</v>
      </c>
      <c r="U27" s="71"/>
      <c r="V27" s="80" t="s">
        <v>1950</v>
      </c>
      <c r="W27" s="79">
        <f t="shared" si="9"/>
        <v>0</v>
      </c>
      <c r="X27" s="71"/>
      <c r="Y27" s="80" t="s">
        <v>1950</v>
      </c>
      <c r="Z27" s="79">
        <f t="shared" si="12"/>
        <v>0</v>
      </c>
      <c r="AA27" s="71"/>
      <c r="AB27" s="80" t="s">
        <v>1955</v>
      </c>
      <c r="AC27" s="79">
        <f t="shared" si="12"/>
        <v>0</v>
      </c>
      <c r="AD27" s="71"/>
      <c r="AE27" s="80" t="s">
        <v>1950</v>
      </c>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1949</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t="s">
        <v>1957</v>
      </c>
      <c r="W28" s="79">
        <f t="shared" si="9"/>
        <v>0</v>
      </c>
      <c r="X28" s="71"/>
      <c r="Y28" s="80" t="s">
        <v>1947</v>
      </c>
      <c r="Z28" s="79">
        <f t="shared" si="12"/>
        <v>0</v>
      </c>
      <c r="AA28" s="71"/>
      <c r="AB28" s="80" t="s">
        <v>1953</v>
      </c>
      <c r="AC28" s="79">
        <f t="shared" si="12"/>
        <v>0</v>
      </c>
      <c r="AD28" s="71"/>
      <c r="AE28" s="80" t="s">
        <v>1954</v>
      </c>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1947</v>
      </c>
      <c r="T29" s="85">
        <f t="shared" si="13"/>
        <v>0</v>
      </c>
      <c r="U29" s="71"/>
      <c r="V29" s="84" t="s">
        <v>1951</v>
      </c>
      <c r="W29" s="85">
        <f t="shared" si="9"/>
        <v>0</v>
      </c>
      <c r="X29" s="71"/>
      <c r="Y29" s="84" t="s">
        <v>1951</v>
      </c>
      <c r="Z29" s="85">
        <f t="shared" si="12"/>
        <v>0</v>
      </c>
      <c r="AA29" s="71"/>
      <c r="AB29" s="84" t="s">
        <v>1945</v>
      </c>
      <c r="AC29" s="85">
        <f t="shared" si="12"/>
        <v>0</v>
      </c>
      <c r="AD29" s="71"/>
      <c r="AE29" s="84" t="s">
        <v>1954</v>
      </c>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v>
      </c>
      <c r="N30" s="25" t="str">
        <f>IF(OR(WORLDCUP!AC6="",WORLDCUP!AD6=""),"",IF(WORLDCUP!AC6&gt;WORLDCUP!AD6,"1",IF(WORLDCUP!AC6&lt;WORLDCUP!AD6,"2","X")))</f>
        <v/>
      </c>
      <c r="O30" s="25">
        <f>WORLDCUP!AC6</f>
        <v>0</v>
      </c>
      <c r="P30" s="25">
        <f>WORLDCUP!AD6</f>
        <v>0</v>
      </c>
      <c r="Q30" s="25">
        <f t="shared" si="11"/>
        <v>0</v>
      </c>
      <c r="R30" s="55"/>
      <c r="S30" s="82" t="s">
        <v>1947</v>
      </c>
      <c r="T30" s="83">
        <f t="shared" si="13"/>
        <v>0</v>
      </c>
      <c r="U30" s="71"/>
      <c r="V30" s="82" t="s">
        <v>1945</v>
      </c>
      <c r="W30" s="83">
        <f t="shared" si="9"/>
        <v>0</v>
      </c>
      <c r="X30" s="71"/>
      <c r="Y30" s="82" t="s">
        <v>1955</v>
      </c>
      <c r="Z30" s="83">
        <f t="shared" si="12"/>
        <v>0</v>
      </c>
      <c r="AA30" s="71"/>
      <c r="AB30" s="82" t="s">
        <v>1945</v>
      </c>
      <c r="AC30" s="83">
        <f t="shared" si="12"/>
        <v>0</v>
      </c>
      <c r="AD30" s="71"/>
      <c r="AE30" s="82" t="s">
        <v>1953</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1955</v>
      </c>
      <c r="T31" s="79">
        <f t="shared" si="13"/>
        <v>0</v>
      </c>
      <c r="U31" s="71"/>
      <c r="V31" s="80" t="s">
        <v>1953</v>
      </c>
      <c r="W31" s="79">
        <f t="shared" si="9"/>
        <v>0</v>
      </c>
      <c r="X31" s="71"/>
      <c r="Y31" s="80" t="s">
        <v>1959</v>
      </c>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t="s">
        <v>1947</v>
      </c>
      <c r="AC31" s="79">
        <f t="shared" si="14"/>
        <v>0</v>
      </c>
      <c r="AD31" s="71"/>
      <c r="AE31" s="80" t="s">
        <v>1947</v>
      </c>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1945</v>
      </c>
      <c r="T32" s="79">
        <f t="shared" si="13"/>
        <v>0</v>
      </c>
      <c r="U32" s="71"/>
      <c r="V32" s="80" t="s">
        <v>1945</v>
      </c>
      <c r="W32" s="79">
        <f t="shared" si="9"/>
        <v>0</v>
      </c>
      <c r="X32" s="71"/>
      <c r="Y32" s="80" t="s">
        <v>1949</v>
      </c>
      <c r="Z32" s="79">
        <f t="shared" si="14"/>
        <v>0</v>
      </c>
      <c r="AA32" s="71"/>
      <c r="AB32" s="80" t="s">
        <v>1954</v>
      </c>
      <c r="AC32" s="79">
        <f t="shared" si="14"/>
        <v>0</v>
      </c>
      <c r="AD32" s="71"/>
      <c r="AE32" s="80" t="s">
        <v>1945</v>
      </c>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1945</v>
      </c>
      <c r="T33" s="79">
        <f t="shared" si="13"/>
        <v>0</v>
      </c>
      <c r="U33" s="71"/>
      <c r="V33" s="80" t="s">
        <v>1954</v>
      </c>
      <c r="W33" s="79">
        <f t="shared" si="9"/>
        <v>0</v>
      </c>
      <c r="X33" s="71"/>
      <c r="Y33" s="80" t="s">
        <v>1957</v>
      </c>
      <c r="Z33" s="79">
        <f t="shared" si="14"/>
        <v>0</v>
      </c>
      <c r="AA33" s="71"/>
      <c r="AB33" s="80" t="s">
        <v>1945</v>
      </c>
      <c r="AC33" s="79">
        <f t="shared" si="14"/>
        <v>0</v>
      </c>
      <c r="AD33" s="71"/>
      <c r="AE33" s="80" t="s">
        <v>1953</v>
      </c>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1955</v>
      </c>
      <c r="T34" s="79">
        <f t="shared" si="13"/>
        <v>0</v>
      </c>
      <c r="U34" s="71"/>
      <c r="V34" s="80" t="s">
        <v>1955</v>
      </c>
      <c r="W34" s="79">
        <f t="shared" si="9"/>
        <v>0</v>
      </c>
      <c r="X34" s="71"/>
      <c r="Y34" s="80" t="s">
        <v>1950</v>
      </c>
      <c r="Z34" s="79">
        <f t="shared" si="14"/>
        <v>0</v>
      </c>
      <c r="AA34" s="71"/>
      <c r="AB34" s="80" t="s">
        <v>1947</v>
      </c>
      <c r="AC34" s="79">
        <f t="shared" si="14"/>
        <v>0</v>
      </c>
      <c r="AD34" s="71"/>
      <c r="AE34" s="80" t="s">
        <v>1947</v>
      </c>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1956</v>
      </c>
      <c r="T35" s="79">
        <f t="shared" si="13"/>
        <v>0</v>
      </c>
      <c r="U35" s="71"/>
      <c r="V35" s="80" t="s">
        <v>1967</v>
      </c>
      <c r="W35" s="79">
        <f t="shared" si="9"/>
        <v>0</v>
      </c>
      <c r="X35" s="71"/>
      <c r="Y35" s="80" t="s">
        <v>1945</v>
      </c>
      <c r="Z35" s="79">
        <f t="shared" si="14"/>
        <v>0</v>
      </c>
      <c r="AA35" s="71"/>
      <c r="AB35" s="80" t="s">
        <v>1951</v>
      </c>
      <c r="AC35" s="79">
        <f t="shared" si="14"/>
        <v>0</v>
      </c>
      <c r="AD35" s="71"/>
      <c r="AE35" s="80" t="s">
        <v>1958</v>
      </c>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1949</v>
      </c>
      <c r="T36" s="79">
        <f t="shared" si="13"/>
        <v>0</v>
      </c>
      <c r="U36" s="71"/>
      <c r="V36" s="80" t="s">
        <v>1954</v>
      </c>
      <c r="W36" s="79">
        <f t="shared" si="9"/>
        <v>0</v>
      </c>
      <c r="X36" s="71"/>
      <c r="Y36" s="80" t="s">
        <v>1954</v>
      </c>
      <c r="Z36" s="79">
        <f t="shared" si="14"/>
        <v>0</v>
      </c>
      <c r="AA36" s="71"/>
      <c r="AB36" s="80" t="s">
        <v>1945</v>
      </c>
      <c r="AC36" s="79">
        <f t="shared" si="14"/>
        <v>0</v>
      </c>
      <c r="AD36" s="71"/>
      <c r="AE36" s="80" t="s">
        <v>1954</v>
      </c>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1947</v>
      </c>
      <c r="T37" s="79">
        <f t="shared" si="8"/>
        <v>0</v>
      </c>
      <c r="U37" s="71"/>
      <c r="V37" s="80" t="s">
        <v>1945</v>
      </c>
      <c r="W37" s="79">
        <f t="shared" si="9"/>
        <v>0</v>
      </c>
      <c r="X37" s="71"/>
      <c r="Y37" s="80" t="s">
        <v>1954</v>
      </c>
      <c r="Z37" s="79">
        <f t="shared" si="14"/>
        <v>0</v>
      </c>
      <c r="AA37" s="71"/>
      <c r="AB37" s="80" t="s">
        <v>1947</v>
      </c>
      <c r="AC37" s="79">
        <f t="shared" si="14"/>
        <v>0</v>
      </c>
      <c r="AD37" s="71"/>
      <c r="AE37" s="80" t="s">
        <v>1945</v>
      </c>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1945</v>
      </c>
      <c r="T38" s="79">
        <f t="shared" si="8"/>
        <v>0</v>
      </c>
      <c r="U38" s="71"/>
      <c r="V38" s="80" t="s">
        <v>1947</v>
      </c>
      <c r="W38" s="79">
        <f t="shared" si="9"/>
        <v>0</v>
      </c>
      <c r="X38" s="71"/>
      <c r="Y38" s="80" t="s">
        <v>1949</v>
      </c>
      <c r="Z38" s="79">
        <f t="shared" si="14"/>
        <v>0</v>
      </c>
      <c r="AA38" s="71"/>
      <c r="AB38" s="80" t="s">
        <v>1945</v>
      </c>
      <c r="AC38" s="79">
        <f t="shared" si="14"/>
        <v>0</v>
      </c>
      <c r="AD38" s="71"/>
      <c r="AE38" s="80" t="s">
        <v>1957</v>
      </c>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1953</v>
      </c>
      <c r="T39" s="79">
        <f t="shared" si="8"/>
        <v>0</v>
      </c>
      <c r="U39" s="71"/>
      <c r="V39" s="80" t="s">
        <v>1956</v>
      </c>
      <c r="W39" s="79">
        <f t="shared" si="9"/>
        <v>0</v>
      </c>
      <c r="X39" s="71"/>
      <c r="Y39" s="80" t="s">
        <v>1953</v>
      </c>
      <c r="Z39" s="79">
        <f t="shared" si="14"/>
        <v>0</v>
      </c>
      <c r="AA39" s="71"/>
      <c r="AB39" s="80" t="s">
        <v>1953</v>
      </c>
      <c r="AC39" s="79">
        <f t="shared" si="14"/>
        <v>0</v>
      </c>
      <c r="AD39" s="71"/>
      <c r="AE39" s="80" t="s">
        <v>1951</v>
      </c>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t="s">
        <v>1953</v>
      </c>
      <c r="W40" s="79">
        <f t="shared" si="9"/>
        <v>0</v>
      </c>
      <c r="X40" s="71"/>
      <c r="Y40" s="80" t="s">
        <v>1945</v>
      </c>
      <c r="Z40" s="79">
        <f t="shared" si="14"/>
        <v>0</v>
      </c>
      <c r="AA40" s="71"/>
      <c r="AB40" s="80" t="s">
        <v>1945</v>
      </c>
      <c r="AC40" s="79">
        <f t="shared" si="14"/>
        <v>0</v>
      </c>
      <c r="AD40" s="71"/>
      <c r="AE40" s="80" t="s">
        <v>1947</v>
      </c>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1955</v>
      </c>
      <c r="T41" s="79">
        <f t="shared" si="8"/>
        <v>0</v>
      </c>
      <c r="U41" s="71"/>
      <c r="V41" s="80" t="s">
        <v>1950</v>
      </c>
      <c r="W41" s="79">
        <f t="shared" si="9"/>
        <v>0</v>
      </c>
      <c r="X41" s="71"/>
      <c r="Y41" s="80" t="s">
        <v>1946</v>
      </c>
      <c r="Z41" s="79">
        <f t="shared" si="14"/>
        <v>0</v>
      </c>
      <c r="AA41" s="71"/>
      <c r="AB41" s="80" t="s">
        <v>1946</v>
      </c>
      <c r="AC41" s="79">
        <f t="shared" si="14"/>
        <v>0</v>
      </c>
      <c r="AD41" s="71"/>
      <c r="AE41" s="80" t="s">
        <v>1950</v>
      </c>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1951</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t="s">
        <v>1953</v>
      </c>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t="s">
        <v>1954</v>
      </c>
      <c r="Z42" s="83">
        <f t="shared" si="14"/>
        <v>0</v>
      </c>
      <c r="AA42" s="71"/>
      <c r="AB42" s="82" t="s">
        <v>1953</v>
      </c>
      <c r="AC42" s="83">
        <f t="shared" si="14"/>
        <v>0</v>
      </c>
      <c r="AD42" s="71"/>
      <c r="AE42" s="82" t="s">
        <v>1945</v>
      </c>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1950</v>
      </c>
      <c r="T43" s="79">
        <f t="shared" si="8"/>
        <v>0</v>
      </c>
      <c r="U43" s="71"/>
      <c r="V43" s="80" t="s">
        <v>1959</v>
      </c>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t="s">
        <v>1955</v>
      </c>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t="s">
        <v>1950</v>
      </c>
      <c r="AC43" s="79">
        <f t="shared" si="16"/>
        <v>0</v>
      </c>
      <c r="AD43" s="71"/>
      <c r="AE43" s="80" t="s">
        <v>1955</v>
      </c>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1957</v>
      </c>
      <c r="T44" s="79">
        <f t="shared" si="8"/>
        <v>0</v>
      </c>
      <c r="U44" s="71"/>
      <c r="V44" s="80" t="s">
        <v>1969</v>
      </c>
      <c r="W44" s="79">
        <f t="shared" si="15"/>
        <v>0</v>
      </c>
      <c r="X44" s="71"/>
      <c r="Y44" s="80" t="s">
        <v>1953</v>
      </c>
      <c r="Z44" s="79">
        <f t="shared" si="16"/>
        <v>0</v>
      </c>
      <c r="AA44" s="71"/>
      <c r="AB44" s="80" t="s">
        <v>1953</v>
      </c>
      <c r="AC44" s="79">
        <f t="shared" si="16"/>
        <v>0</v>
      </c>
      <c r="AD44" s="71"/>
      <c r="AE44" s="80" t="s">
        <v>1953</v>
      </c>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1951</v>
      </c>
      <c r="T45" s="79">
        <f t="shared" si="8"/>
        <v>0</v>
      </c>
      <c r="U45" s="71"/>
      <c r="V45" s="80" t="s">
        <v>1953</v>
      </c>
      <c r="W45" s="79">
        <f t="shared" si="15"/>
        <v>0</v>
      </c>
      <c r="X45" s="71"/>
      <c r="Y45" s="80" t="s">
        <v>1954</v>
      </c>
      <c r="Z45" s="79">
        <f t="shared" si="16"/>
        <v>0</v>
      </c>
      <c r="AA45" s="71"/>
      <c r="AB45" s="80" t="s">
        <v>1953</v>
      </c>
      <c r="AC45" s="79">
        <f t="shared" si="16"/>
        <v>0</v>
      </c>
      <c r="AD45" s="71"/>
      <c r="AE45" s="80" t="s">
        <v>1957</v>
      </c>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1958</v>
      </c>
      <c r="T46" s="79">
        <f t="shared" si="8"/>
        <v>0</v>
      </c>
      <c r="U46" s="71"/>
      <c r="V46" s="80" t="s">
        <v>1958</v>
      </c>
      <c r="W46" s="79">
        <f t="shared" si="15"/>
        <v>0</v>
      </c>
      <c r="X46" s="71"/>
      <c r="Y46" s="80" t="s">
        <v>1953</v>
      </c>
      <c r="Z46" s="79">
        <f t="shared" si="16"/>
        <v>0</v>
      </c>
      <c r="AA46" s="71"/>
      <c r="AB46" s="80" t="s">
        <v>1951</v>
      </c>
      <c r="AC46" s="79">
        <f t="shared" si="16"/>
        <v>0</v>
      </c>
      <c r="AD46" s="71"/>
      <c r="AE46" s="80" t="s">
        <v>1951</v>
      </c>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1954</v>
      </c>
      <c r="T47" s="79">
        <f t="shared" si="8"/>
        <v>0</v>
      </c>
      <c r="U47" s="71"/>
      <c r="V47" s="80" t="s">
        <v>1945</v>
      </c>
      <c r="W47" s="79">
        <f t="shared" si="15"/>
        <v>0</v>
      </c>
      <c r="X47" s="71"/>
      <c r="Y47" s="80" t="s">
        <v>1949</v>
      </c>
      <c r="Z47" s="79">
        <f t="shared" si="16"/>
        <v>0</v>
      </c>
      <c r="AA47" s="71"/>
      <c r="AB47" s="80" t="s">
        <v>1949</v>
      </c>
      <c r="AC47" s="79">
        <f t="shared" si="16"/>
        <v>0</v>
      </c>
      <c r="AD47" s="71"/>
      <c r="AE47" s="80" t="s">
        <v>1945</v>
      </c>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1945</v>
      </c>
      <c r="T48" s="79">
        <f t="shared" si="8"/>
        <v>0</v>
      </c>
      <c r="U48" s="71"/>
      <c r="V48" s="80" t="s">
        <v>1955</v>
      </c>
      <c r="W48" s="79">
        <f t="shared" si="15"/>
        <v>0</v>
      </c>
      <c r="X48" s="71"/>
      <c r="Y48" s="80" t="s">
        <v>1956</v>
      </c>
      <c r="Z48" s="79">
        <f t="shared" si="16"/>
        <v>0</v>
      </c>
      <c r="AA48" s="71"/>
      <c r="AB48" s="80" t="s">
        <v>1945</v>
      </c>
      <c r="AC48" s="79">
        <f t="shared" si="16"/>
        <v>0</v>
      </c>
      <c r="AD48" s="71"/>
      <c r="AE48" s="80" t="s">
        <v>1954</v>
      </c>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t="s">
        <v>1950</v>
      </c>
      <c r="W49" s="79">
        <f t="shared" si="15"/>
        <v>0</v>
      </c>
      <c r="X49" s="71"/>
      <c r="Y49" s="80" t="s">
        <v>1946</v>
      </c>
      <c r="Z49" s="79">
        <f t="shared" si="16"/>
        <v>0</v>
      </c>
      <c r="AA49" s="71"/>
      <c r="AB49" s="80" t="s">
        <v>1946</v>
      </c>
      <c r="AC49" s="79">
        <f t="shared" si="16"/>
        <v>0</v>
      </c>
      <c r="AD49" s="71"/>
      <c r="AE49" s="80" t="s">
        <v>1946</v>
      </c>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1954</v>
      </c>
      <c r="T50" s="79">
        <f t="shared" si="8"/>
        <v>0</v>
      </c>
      <c r="U50" s="71"/>
      <c r="V50" s="80" t="s">
        <v>1956</v>
      </c>
      <c r="W50" s="79">
        <f t="shared" si="15"/>
        <v>0</v>
      </c>
      <c r="X50" s="71"/>
      <c r="Y50" s="80" t="s">
        <v>1953</v>
      </c>
      <c r="Z50" s="79">
        <f t="shared" si="16"/>
        <v>0</v>
      </c>
      <c r="AA50" s="71"/>
      <c r="AB50" s="80" t="s">
        <v>1953</v>
      </c>
      <c r="AC50" s="79">
        <f t="shared" si="16"/>
        <v>0</v>
      </c>
      <c r="AD50" s="71"/>
      <c r="AE50" s="80" t="s">
        <v>1945</v>
      </c>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1957</v>
      </c>
      <c r="T51" s="79">
        <f t="shared" si="8"/>
        <v>0</v>
      </c>
      <c r="U51" s="71"/>
      <c r="V51" s="80" t="s">
        <v>1953</v>
      </c>
      <c r="W51" s="79">
        <f t="shared" si="15"/>
        <v>0</v>
      </c>
      <c r="X51" s="71"/>
      <c r="Y51" s="80" t="s">
        <v>1945</v>
      </c>
      <c r="Z51" s="79">
        <f t="shared" si="16"/>
        <v>0</v>
      </c>
      <c r="AA51" s="71"/>
      <c r="AB51" s="80" t="s">
        <v>1945</v>
      </c>
      <c r="AC51" s="79">
        <f t="shared" si="16"/>
        <v>0</v>
      </c>
      <c r="AD51" s="71"/>
      <c r="AE51" s="80" t="s">
        <v>1953</v>
      </c>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1953</v>
      </c>
      <c r="T52" s="79">
        <f t="shared" si="8"/>
        <v>0</v>
      </c>
      <c r="U52" s="71"/>
      <c r="V52" s="80" t="s">
        <v>1945</v>
      </c>
      <c r="W52" s="79">
        <f t="shared" si="15"/>
        <v>0</v>
      </c>
      <c r="X52" s="71"/>
      <c r="Y52" s="80" t="s">
        <v>1945</v>
      </c>
      <c r="Z52" s="79">
        <f t="shared" si="16"/>
        <v>0</v>
      </c>
      <c r="AA52" s="71"/>
      <c r="AB52" s="80" t="s">
        <v>1951</v>
      </c>
      <c r="AC52" s="79">
        <f t="shared" si="16"/>
        <v>0</v>
      </c>
      <c r="AD52" s="71"/>
      <c r="AE52" s="80" t="s">
        <v>1953</v>
      </c>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1955</v>
      </c>
      <c r="T53" s="85">
        <f t="shared" si="8"/>
        <v>0</v>
      </c>
      <c r="U53" s="71"/>
      <c r="V53" s="84" t="s">
        <v>1948</v>
      </c>
      <c r="W53" s="85">
        <f t="shared" si="15"/>
        <v>0</v>
      </c>
      <c r="X53" s="71"/>
      <c r="Y53" s="84" t="s">
        <v>1946</v>
      </c>
      <c r="Z53" s="85">
        <f t="shared" si="16"/>
        <v>0</v>
      </c>
      <c r="AA53" s="71"/>
      <c r="AB53" s="84" t="s">
        <v>1950</v>
      </c>
      <c r="AC53" s="85">
        <f t="shared" si="16"/>
        <v>0</v>
      </c>
      <c r="AD53" s="71"/>
      <c r="AE53" s="84" t="s">
        <v>1948</v>
      </c>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1949</v>
      </c>
      <c r="T54" s="83">
        <f t="shared" si="8"/>
        <v>0</v>
      </c>
      <c r="U54" s="71"/>
      <c r="V54" s="82" t="s">
        <v>1946</v>
      </c>
      <c r="W54" s="83">
        <f t="shared" si="15"/>
        <v>0</v>
      </c>
      <c r="X54" s="71"/>
      <c r="Y54" s="82" t="s">
        <v>1954</v>
      </c>
      <c r="Z54" s="83">
        <f t="shared" si="16"/>
        <v>0</v>
      </c>
      <c r="AA54" s="71"/>
      <c r="AB54" s="82" t="s">
        <v>1955</v>
      </c>
      <c r="AC54" s="83">
        <f t="shared" si="16"/>
        <v>0</v>
      </c>
      <c r="AD54" s="71"/>
      <c r="AE54" s="82" t="s">
        <v>1946</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1945</v>
      </c>
      <c r="T55" s="79">
        <f t="shared" si="8"/>
        <v>0</v>
      </c>
      <c r="U55" s="71"/>
      <c r="V55" s="80" t="s">
        <v>1946</v>
      </c>
      <c r="W55" s="79">
        <f t="shared" si="15"/>
        <v>0</v>
      </c>
      <c r="X55" s="71"/>
      <c r="Y55" s="80" t="s">
        <v>1950</v>
      </c>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t="s">
        <v>1946</v>
      </c>
      <c r="AC55" s="79">
        <f t="shared" si="17"/>
        <v>0</v>
      </c>
      <c r="AD55" s="71"/>
      <c r="AE55" s="80" t="s">
        <v>1955</v>
      </c>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1949</v>
      </c>
      <c r="T56" s="79">
        <f t="shared" si="8"/>
        <v>0</v>
      </c>
      <c r="U56" s="71"/>
      <c r="V56" s="80" t="s">
        <v>1957</v>
      </c>
      <c r="W56" s="79">
        <f t="shared" si="15"/>
        <v>0</v>
      </c>
      <c r="X56" s="71"/>
      <c r="Y56" s="80" t="s">
        <v>1966</v>
      </c>
      <c r="Z56" s="79">
        <f t="shared" si="17"/>
        <v>0</v>
      </c>
      <c r="AA56" s="71"/>
      <c r="AB56" s="80" t="s">
        <v>1945</v>
      </c>
      <c r="AC56" s="79">
        <f t="shared" si="17"/>
        <v>0</v>
      </c>
      <c r="AD56" s="71"/>
      <c r="AE56" s="80" t="s">
        <v>1954</v>
      </c>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1947</v>
      </c>
      <c r="T57" s="79">
        <f t="shared" si="8"/>
        <v>0</v>
      </c>
      <c r="U57" s="71"/>
      <c r="V57" s="80" t="s">
        <v>1956</v>
      </c>
      <c r="W57" s="79">
        <f t="shared" si="15"/>
        <v>0</v>
      </c>
      <c r="X57" s="71"/>
      <c r="Y57" s="80" t="s">
        <v>1946</v>
      </c>
      <c r="Z57" s="79">
        <f t="shared" si="17"/>
        <v>0</v>
      </c>
      <c r="AA57" s="71"/>
      <c r="AB57" s="80" t="s">
        <v>1947</v>
      </c>
      <c r="AC57" s="79">
        <f t="shared" si="17"/>
        <v>0</v>
      </c>
      <c r="AD57" s="71"/>
      <c r="AE57" s="80" t="s">
        <v>1953</v>
      </c>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1959</v>
      </c>
      <c r="T58" s="79">
        <f t="shared" si="8"/>
        <v>0</v>
      </c>
      <c r="U58" s="71"/>
      <c r="V58" s="80" t="s">
        <v>1955</v>
      </c>
      <c r="W58" s="79">
        <f t="shared" si="15"/>
        <v>0</v>
      </c>
      <c r="X58" s="71"/>
      <c r="Y58" s="80" t="s">
        <v>1970</v>
      </c>
      <c r="Z58" s="79">
        <f t="shared" si="17"/>
        <v>0</v>
      </c>
      <c r="AA58" s="71"/>
      <c r="AB58" s="80" t="s">
        <v>1950</v>
      </c>
      <c r="AC58" s="79">
        <f t="shared" si="17"/>
        <v>0</v>
      </c>
      <c r="AD58" s="71"/>
      <c r="AE58" s="80" t="s">
        <v>1950</v>
      </c>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1953</v>
      </c>
      <c r="T59" s="79">
        <f t="shared" si="8"/>
        <v>0</v>
      </c>
      <c r="U59" s="71"/>
      <c r="V59" s="80" t="s">
        <v>1956</v>
      </c>
      <c r="W59" s="79">
        <f t="shared" si="15"/>
        <v>0</v>
      </c>
      <c r="X59" s="71"/>
      <c r="Y59" s="80" t="s">
        <v>1954</v>
      </c>
      <c r="Z59" s="79">
        <f t="shared" si="17"/>
        <v>0</v>
      </c>
      <c r="AA59" s="71"/>
      <c r="AB59" s="80" t="s">
        <v>1953</v>
      </c>
      <c r="AC59" s="79">
        <f t="shared" si="17"/>
        <v>0</v>
      </c>
      <c r="AD59" s="71"/>
      <c r="AE59" s="80" t="s">
        <v>1951</v>
      </c>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1945</v>
      </c>
      <c r="T60" s="83">
        <f t="shared" si="8"/>
        <v>0</v>
      </c>
      <c r="U60" s="71"/>
      <c r="V60" s="82" t="s">
        <v>1957</v>
      </c>
      <c r="W60" s="83">
        <f t="shared" si="15"/>
        <v>0</v>
      </c>
      <c r="X60" s="71"/>
      <c r="Y60" s="82" t="s">
        <v>1947</v>
      </c>
      <c r="Z60" s="83">
        <f t="shared" si="17"/>
        <v>0</v>
      </c>
      <c r="AA60" s="71"/>
      <c r="AB60" s="82" t="s">
        <v>1947</v>
      </c>
      <c r="AC60" s="83">
        <f t="shared" si="17"/>
        <v>0</v>
      </c>
      <c r="AD60" s="71"/>
      <c r="AE60" s="82" t="s">
        <v>1954</v>
      </c>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t="s">
        <v>1953</v>
      </c>
      <c r="W61" s="79">
        <f t="shared" si="15"/>
        <v>0</v>
      </c>
      <c r="X61" s="71"/>
      <c r="Y61" s="80" t="s">
        <v>1966</v>
      </c>
      <c r="Z61" s="79">
        <f t="shared" si="17"/>
        <v>0</v>
      </c>
      <c r="AA61" s="71"/>
      <c r="AB61" s="80" t="s">
        <v>1947</v>
      </c>
      <c r="AC61" s="79">
        <f t="shared" si="17"/>
        <v>0</v>
      </c>
      <c r="AD61" s="71"/>
      <c r="AE61" s="80" t="s">
        <v>1947</v>
      </c>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1955</v>
      </c>
      <c r="T62" s="79">
        <f t="shared" si="8"/>
        <v>0</v>
      </c>
      <c r="U62" s="71"/>
      <c r="V62" s="80" t="s">
        <v>1968</v>
      </c>
      <c r="W62" s="79">
        <f t="shared" si="15"/>
        <v>0</v>
      </c>
      <c r="X62" s="71"/>
      <c r="Y62" s="80" t="s">
        <v>1947</v>
      </c>
      <c r="Z62" s="79">
        <f t="shared" si="17"/>
        <v>0</v>
      </c>
      <c r="AA62" s="71"/>
      <c r="AB62" s="80" t="s">
        <v>1950</v>
      </c>
      <c r="AC62" s="79">
        <f t="shared" si="17"/>
        <v>0</v>
      </c>
      <c r="AD62" s="71"/>
      <c r="AE62" s="80" t="s">
        <v>1955</v>
      </c>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1949</v>
      </c>
      <c r="T63" s="79">
        <f t="shared" si="8"/>
        <v>0</v>
      </c>
      <c r="U63" s="71"/>
      <c r="V63" s="80" t="s">
        <v>1945</v>
      </c>
      <c r="W63" s="79">
        <f t="shared" si="15"/>
        <v>0</v>
      </c>
      <c r="X63" s="71"/>
      <c r="Y63" s="80" t="s">
        <v>1976</v>
      </c>
      <c r="Z63" s="79">
        <f t="shared" si="17"/>
        <v>0</v>
      </c>
      <c r="AA63" s="71"/>
      <c r="AB63" s="80" t="s">
        <v>1955</v>
      </c>
      <c r="AC63" s="79">
        <f t="shared" si="17"/>
        <v>0</v>
      </c>
      <c r="AD63" s="71"/>
      <c r="AE63" s="80" t="s">
        <v>1946</v>
      </c>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1947</v>
      </c>
      <c r="T64" s="79">
        <f t="shared" si="8"/>
        <v>0</v>
      </c>
      <c r="U64" s="71"/>
      <c r="V64" s="80" t="s">
        <v>1945</v>
      </c>
      <c r="W64" s="79">
        <f t="shared" si="15"/>
        <v>0</v>
      </c>
      <c r="X64" s="71"/>
      <c r="Y64" s="80" t="s">
        <v>1966</v>
      </c>
      <c r="Z64" s="79">
        <f t="shared" si="17"/>
        <v>0</v>
      </c>
      <c r="AA64" s="71"/>
      <c r="AB64" s="80" t="s">
        <v>1947</v>
      </c>
      <c r="AC64" s="79">
        <f t="shared" si="17"/>
        <v>0</v>
      </c>
      <c r="AD64" s="71"/>
      <c r="AE64" s="80" t="s">
        <v>1947</v>
      </c>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1959</v>
      </c>
      <c r="T65" s="79">
        <f t="shared" si="8"/>
        <v>0</v>
      </c>
      <c r="U65" s="71"/>
      <c r="V65" s="80" t="s">
        <v>1959</v>
      </c>
      <c r="W65" s="79">
        <f t="shared" si="15"/>
        <v>0</v>
      </c>
      <c r="X65" s="71"/>
      <c r="Y65" s="80" t="s">
        <v>1959</v>
      </c>
      <c r="Z65" s="79">
        <f t="shared" si="17"/>
        <v>0</v>
      </c>
      <c r="AA65" s="71"/>
      <c r="AB65" s="80" t="s">
        <v>1950</v>
      </c>
      <c r="AC65" s="79">
        <f t="shared" si="17"/>
        <v>0</v>
      </c>
      <c r="AD65" s="71"/>
      <c r="AE65" s="80" t="s">
        <v>1950</v>
      </c>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1945</v>
      </c>
      <c r="T66" s="79">
        <f t="shared" si="8"/>
        <v>0</v>
      </c>
      <c r="U66" s="71"/>
      <c r="V66" s="80" t="s">
        <v>1945</v>
      </c>
      <c r="W66" s="79">
        <f t="shared" si="15"/>
        <v>0</v>
      </c>
      <c r="X66" s="71"/>
      <c r="Y66" s="80" t="s">
        <v>1954</v>
      </c>
      <c r="Z66" s="79">
        <f t="shared" si="17"/>
        <v>0</v>
      </c>
      <c r="AA66" s="71"/>
      <c r="AB66" s="80" t="s">
        <v>1954</v>
      </c>
      <c r="AC66" s="79">
        <f t="shared" si="17"/>
        <v>0</v>
      </c>
      <c r="AD66" s="71"/>
      <c r="AE66" s="80" t="s">
        <v>1947</v>
      </c>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1955</v>
      </c>
      <c r="T67" s="79">
        <f t="shared" si="8"/>
        <v>0</v>
      </c>
      <c r="U67" s="71"/>
      <c r="V67" s="80" t="s">
        <v>1948</v>
      </c>
      <c r="W67" s="79">
        <f t="shared" si="15"/>
        <v>0</v>
      </c>
      <c r="X67" s="71"/>
      <c r="Y67" s="80" t="s">
        <v>1947</v>
      </c>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t="s">
        <v>1948</v>
      </c>
      <c r="AC67" s="79">
        <f t="shared" si="18"/>
        <v>0</v>
      </c>
      <c r="AD67" s="71"/>
      <c r="AE67" s="80" t="s">
        <v>1948</v>
      </c>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1955</v>
      </c>
      <c r="T68" s="79">
        <f t="shared" si="8"/>
        <v>0</v>
      </c>
      <c r="U68" s="71"/>
      <c r="V68" s="80" t="s">
        <v>1946</v>
      </c>
      <c r="W68" s="79">
        <f t="shared" si="15"/>
        <v>0</v>
      </c>
      <c r="X68" s="71"/>
      <c r="Y68" s="80" t="s">
        <v>1946</v>
      </c>
      <c r="Z68" s="79">
        <f t="shared" si="18"/>
        <v>0</v>
      </c>
      <c r="AA68" s="71"/>
      <c r="AB68" s="80" t="s">
        <v>1946</v>
      </c>
      <c r="AC68" s="79">
        <f t="shared" si="18"/>
        <v>0</v>
      </c>
      <c r="AD68" s="71"/>
      <c r="AE68" s="80" t="s">
        <v>1947</v>
      </c>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1960</v>
      </c>
      <c r="T69" s="79">
        <f t="shared" si="8"/>
        <v>0</v>
      </c>
      <c r="U69" s="71"/>
      <c r="V69" s="80" t="s">
        <v>1959</v>
      </c>
      <c r="W69" s="79">
        <f t="shared" si="15"/>
        <v>0</v>
      </c>
      <c r="X69" s="71"/>
      <c r="Y69" s="80" t="s">
        <v>1975</v>
      </c>
      <c r="Z69" s="79">
        <f t="shared" si="18"/>
        <v>0</v>
      </c>
      <c r="AA69" s="71"/>
      <c r="AB69" s="80" t="s">
        <v>1955</v>
      </c>
      <c r="AC69" s="79">
        <f t="shared" si="18"/>
        <v>0</v>
      </c>
      <c r="AD69" s="71"/>
      <c r="AE69" s="80" t="s">
        <v>1955</v>
      </c>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1949</v>
      </c>
      <c r="T70" s="79">
        <f t="shared" si="8"/>
        <v>0</v>
      </c>
      <c r="U70" s="71"/>
      <c r="V70" s="80" t="s">
        <v>1955</v>
      </c>
      <c r="W70" s="79">
        <f t="shared" si="15"/>
        <v>0</v>
      </c>
      <c r="X70" s="71"/>
      <c r="Y70" s="80" t="s">
        <v>1960</v>
      </c>
      <c r="Z70" s="79">
        <f t="shared" si="18"/>
        <v>0</v>
      </c>
      <c r="AA70" s="71"/>
      <c r="AB70" s="80" t="s">
        <v>1955</v>
      </c>
      <c r="AC70" s="79">
        <f t="shared" si="18"/>
        <v>0</v>
      </c>
      <c r="AD70" s="71"/>
      <c r="AE70" s="80" t="s">
        <v>1947</v>
      </c>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1953</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t="s">
        <v>1953</v>
      </c>
      <c r="W71" s="79">
        <f t="shared" si="15"/>
        <v>0</v>
      </c>
      <c r="X71" s="71"/>
      <c r="Y71" s="80" t="s">
        <v>1953</v>
      </c>
      <c r="Z71" s="79">
        <f t="shared" si="18"/>
        <v>0</v>
      </c>
      <c r="AA71" s="71"/>
      <c r="AB71" s="80" t="s">
        <v>1953</v>
      </c>
      <c r="AC71" s="79">
        <f t="shared" si="18"/>
        <v>0</v>
      </c>
      <c r="AD71" s="71"/>
      <c r="AE71" s="80" t="s">
        <v>1945</v>
      </c>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1955</v>
      </c>
      <c r="T72" s="79">
        <f t="shared" si="21"/>
        <v>0</v>
      </c>
      <c r="U72" s="71"/>
      <c r="V72" s="80" t="s">
        <v>1946</v>
      </c>
      <c r="W72" s="79">
        <f t="shared" si="15"/>
        <v>0</v>
      </c>
      <c r="X72" s="71"/>
      <c r="Y72" s="80" t="s">
        <v>1947</v>
      </c>
      <c r="Z72" s="79">
        <f t="shared" si="18"/>
        <v>0</v>
      </c>
      <c r="AA72" s="71"/>
      <c r="AB72" s="80" t="s">
        <v>1947</v>
      </c>
      <c r="AC72" s="79">
        <f t="shared" si="18"/>
        <v>0</v>
      </c>
      <c r="AD72" s="71"/>
      <c r="AE72" s="80" t="s">
        <v>1950</v>
      </c>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1961</v>
      </c>
      <c r="T73" s="79">
        <f t="shared" si="21"/>
        <v>0</v>
      </c>
      <c r="U73" s="71"/>
      <c r="V73" s="80" t="s">
        <v>1948</v>
      </c>
      <c r="W73" s="79">
        <f t="shared" si="15"/>
        <v>0</v>
      </c>
      <c r="X73" s="71"/>
      <c r="Y73" s="80" t="s">
        <v>1946</v>
      </c>
      <c r="Z73" s="79">
        <f t="shared" si="18"/>
        <v>0</v>
      </c>
      <c r="AA73" s="71"/>
      <c r="AB73" s="80" t="s">
        <v>1948</v>
      </c>
      <c r="AC73" s="79">
        <f t="shared" si="18"/>
        <v>0</v>
      </c>
      <c r="AD73" s="71"/>
      <c r="AE73" s="80" t="s">
        <v>1948</v>
      </c>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1949</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t="s">
        <v>1950</v>
      </c>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t="s">
        <v>1952</v>
      </c>
      <c r="Z74" s="79">
        <f t="shared" si="18"/>
        <v>0</v>
      </c>
      <c r="AA74" s="71"/>
      <c r="AB74" s="80" t="s">
        <v>1955</v>
      </c>
      <c r="AC74" s="79">
        <f t="shared" si="18"/>
        <v>0</v>
      </c>
      <c r="AD74" s="71"/>
      <c r="AE74" s="80" t="s">
        <v>1946</v>
      </c>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1947</v>
      </c>
      <c r="T75" s="79">
        <f t="shared" si="21"/>
        <v>0</v>
      </c>
      <c r="U75" s="71"/>
      <c r="V75" s="80" t="s">
        <v>1954</v>
      </c>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t="s">
        <v>1945</v>
      </c>
      <c r="Z75" s="79">
        <f t="shared" si="18"/>
        <v>0</v>
      </c>
      <c r="AA75" s="71"/>
      <c r="AB75" s="80" t="s">
        <v>1947</v>
      </c>
      <c r="AC75" s="79">
        <f t="shared" si="18"/>
        <v>0</v>
      </c>
      <c r="AD75" s="71"/>
      <c r="AE75" s="80" t="s">
        <v>1955</v>
      </c>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1959</v>
      </c>
      <c r="T76" s="79">
        <f t="shared" si="21"/>
        <v>0</v>
      </c>
      <c r="U76" s="71"/>
      <c r="V76" s="80" t="s">
        <v>1970</v>
      </c>
      <c r="W76" s="79">
        <f t="shared" si="22"/>
        <v>0</v>
      </c>
      <c r="X76" s="71"/>
      <c r="Y76" s="80" t="s">
        <v>1947</v>
      </c>
      <c r="Z76" s="79">
        <f t="shared" si="18"/>
        <v>0</v>
      </c>
      <c r="AA76" s="71"/>
      <c r="AB76" s="80" t="s">
        <v>1948</v>
      </c>
      <c r="AC76" s="79">
        <f t="shared" si="18"/>
        <v>0</v>
      </c>
      <c r="AD76" s="71"/>
      <c r="AE76" s="80" t="s">
        <v>1950</v>
      </c>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1953</v>
      </c>
      <c r="T77" s="87">
        <f t="shared" si="21"/>
        <v>0</v>
      </c>
      <c r="U77" s="71"/>
      <c r="V77" s="86" t="s">
        <v>1947</v>
      </c>
      <c r="W77" s="87">
        <f t="shared" si="22"/>
        <v>0</v>
      </c>
      <c r="X77" s="71"/>
      <c r="Y77" s="86" t="s">
        <v>1966</v>
      </c>
      <c r="Z77" s="87">
        <f t="shared" si="18"/>
        <v>0</v>
      </c>
      <c r="AA77" s="71"/>
      <c r="AB77" s="86" t="s">
        <v>1947</v>
      </c>
      <c r="AC77" s="87">
        <f t="shared" si="18"/>
        <v>0</v>
      </c>
      <c r="AD77" s="71"/>
      <c r="AE77" s="86" t="s">
        <v>1945</v>
      </c>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8</v>
      </c>
      <c r="U78" s="70"/>
      <c r="V78" s="88"/>
      <c r="W78" s="89">
        <f>SUM(W6:W77)</f>
        <v>2</v>
      </c>
      <c r="X78" s="70"/>
      <c r="Y78" s="88"/>
      <c r="Z78" s="89">
        <f t="shared" ref="Z78" si="23">SUM(Z6:Z77)</f>
        <v>2</v>
      </c>
      <c r="AA78" s="70"/>
      <c r="AB78" s="88"/>
      <c r="AC78" s="89">
        <f t="shared" ref="AC78" si="24">SUM(AC6:AC77)</f>
        <v>8</v>
      </c>
      <c r="AD78" s="70"/>
      <c r="AE78" s="88"/>
      <c r="AF78" s="89">
        <f t="shared" ref="AF78" si="25">SUM(AF6:AF77)</f>
        <v>6</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t="str">
        <v>República Checa</v>
      </c>
      <c r="T80" s="83">
        <f ca="1">($M80=S80)*$D$11</f>
        <v>0</v>
      </c>
      <c r="U80" s="70"/>
      <c r="V80" t="str">
        <v>México</v>
      </c>
      <c r="W80" s="83">
        <f t="shared" ref="W80" ca="1" si="26">($M80=V80)*$D$11</f>
        <v>0</v>
      </c>
      <c r="X80" s="70"/>
      <c r="Y80" t="str">
        <v>Corea del Sur</v>
      </c>
      <c r="Z80" s="83">
        <f t="shared" ref="Z80" ca="1" si="27">($M80=Y80)*$D$11</f>
        <v>0</v>
      </c>
      <c r="AA80" s="70"/>
      <c r="AB80" t="str">
        <v>México</v>
      </c>
      <c r="AC80" s="83">
        <f t="shared" ref="AC80" ca="1" si="28">($M80=AB80)*$D$11</f>
        <v>0</v>
      </c>
      <c r="AD80" s="70"/>
      <c r="AE80" t="str">
        <v>México</v>
      </c>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t="str">
        <v>México</v>
      </c>
      <c r="T81" s="79">
        <f ca="1">($M81=S81)*$D$12</f>
        <v>0</v>
      </c>
      <c r="U81" s="70"/>
      <c r="V81" t="str">
        <v>República Checa</v>
      </c>
      <c r="W81" s="79">
        <f t="shared" ref="W81" ca="1" si="30">($M81=V81)*$D$12</f>
        <v>0</v>
      </c>
      <c r="X81" s="70"/>
      <c r="Y81" t="str">
        <v>República Checa</v>
      </c>
      <c r="Z81" s="79">
        <f t="shared" ref="Z81" ca="1" si="31">($M81=Y81)*$D$12</f>
        <v>0</v>
      </c>
      <c r="AA81" s="70"/>
      <c r="AB81" t="str">
        <v>Corea del Sur</v>
      </c>
      <c r="AC81" s="79">
        <f t="shared" ref="AC81" ca="1" si="32">($M81=AB81)*$D$12</f>
        <v>0</v>
      </c>
      <c r="AD81" s="70"/>
      <c r="AE81" t="str">
        <v>Corea del Sur</v>
      </c>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t="str">
        <v>Sudáfrica</v>
      </c>
      <c r="T82" s="79">
        <f ca="1">($M82=S82)*$D$13</f>
        <v>0</v>
      </c>
      <c r="U82" s="70"/>
      <c r="V82" t="str">
        <v>Corea del Sur</v>
      </c>
      <c r="W82" s="79">
        <f t="shared" ref="W82" ca="1" si="34">($M82=V82)*$D$13</f>
        <v>0</v>
      </c>
      <c r="X82" s="70"/>
      <c r="Y82" t="str">
        <v>México</v>
      </c>
      <c r="Z82" s="79">
        <f t="shared" ref="Z82" ca="1" si="35">($M82=Y82)*$D$13</f>
        <v>0</v>
      </c>
      <c r="AA82" s="70"/>
      <c r="AB82" t="str">
        <v>República Checa</v>
      </c>
      <c r="AC82" s="79">
        <f t="shared" ref="AC82" ca="1" si="36">($M82=AB82)*$D$13</f>
        <v>0</v>
      </c>
      <c r="AD82" s="70"/>
      <c r="AE82" t="str">
        <v>República Checa</v>
      </c>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t="str">
        <v>Corea del Sur</v>
      </c>
      <c r="T83" s="79">
        <f ca="1">($M83=S83)*$D$14</f>
        <v>0</v>
      </c>
      <c r="U83" s="70"/>
      <c r="V83" t="str">
        <v>Sudáfrica</v>
      </c>
      <c r="W83" s="79">
        <f t="shared" ref="W83" ca="1" si="38">($M83=V83)*$D$14</f>
        <v>0</v>
      </c>
      <c r="X83" s="70"/>
      <c r="Y83" t="str">
        <v>Sudáfrica</v>
      </c>
      <c r="Z83" s="79">
        <f t="shared" ref="Z83" ca="1" si="39">($M83=Y83)*$D$14</f>
        <v>0</v>
      </c>
      <c r="AA83" s="70"/>
      <c r="AB83" t="str">
        <v>Sudáfrica</v>
      </c>
      <c r="AC83" s="79">
        <f t="shared" ref="AC83" ca="1" si="40">($M83=AB83)*$D$14</f>
        <v>0</v>
      </c>
      <c r="AD83" s="70"/>
      <c r="AE83" t="str">
        <v>Sudáfrica</v>
      </c>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t="str">
        <v>Suiza</v>
      </c>
      <c r="T84" s="79">
        <f t="shared" ref="T84" ca="1" si="43">($M84=S84)*$D$11</f>
        <v>0</v>
      </c>
      <c r="U84" s="70"/>
      <c r="V84" t="str">
        <v>Suiza</v>
      </c>
      <c r="W84" s="79">
        <f t="shared" ref="W84:AF84" ca="1" si="44">($M84=V84)*$D$11</f>
        <v>0</v>
      </c>
      <c r="X84" s="70"/>
      <c r="Y84" t="str">
        <v>Suiza</v>
      </c>
      <c r="Z84" s="79">
        <f t="shared" ca="1" si="44"/>
        <v>0</v>
      </c>
      <c r="AA84" s="70"/>
      <c r="AB84" t="str">
        <v>Suiza</v>
      </c>
      <c r="AC84" s="79">
        <f t="shared" ca="1" si="44"/>
        <v>0</v>
      </c>
      <c r="AD84" s="70"/>
      <c r="AE84" t="str">
        <v>Suiza</v>
      </c>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t="str">
        <v>Canadá</v>
      </c>
      <c r="T85" s="79">
        <f t="shared" ref="T85" ca="1" si="46">($M85=S85)*$D$12</f>
        <v>0</v>
      </c>
      <c r="U85" s="70"/>
      <c r="V85" t="str">
        <v>Bosnia y Herzegovina</v>
      </c>
      <c r="W85" s="79">
        <f t="shared" ref="W85:AF85" ca="1" si="47">($M85=V85)*$D$12</f>
        <v>0</v>
      </c>
      <c r="X85" s="70"/>
      <c r="Y85" t="str">
        <v>Bosnia y Herzegovina</v>
      </c>
      <c r="Z85" s="79">
        <f t="shared" ca="1" si="47"/>
        <v>0</v>
      </c>
      <c r="AA85" s="70"/>
      <c r="AB85" t="str">
        <v>Canadá</v>
      </c>
      <c r="AC85" s="79">
        <f t="shared" ca="1" si="47"/>
        <v>0</v>
      </c>
      <c r="AD85" s="70"/>
      <c r="AE85" t="str">
        <v>Canadá</v>
      </c>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t="str">
        <v>Bosnia y Herzegovina</v>
      </c>
      <c r="T86" s="79">
        <f t="shared" ref="T86" ca="1" si="49">($M86=S86)*$D$13</f>
        <v>0</v>
      </c>
      <c r="U86" s="70"/>
      <c r="V86" t="str">
        <v>Canadá</v>
      </c>
      <c r="W86" s="79">
        <f t="shared" ref="W86:AF86" ca="1" si="50">($M86=V86)*$D$13</f>
        <v>0</v>
      </c>
      <c r="X86" s="70"/>
      <c r="Y86" t="str">
        <v>Canadá</v>
      </c>
      <c r="Z86" s="79">
        <f t="shared" ca="1" si="50"/>
        <v>0</v>
      </c>
      <c r="AA86" s="70"/>
      <c r="AB86" t="str">
        <v>Bosnia y Herzegovina</v>
      </c>
      <c r="AC86" s="79">
        <f t="shared" ca="1" si="50"/>
        <v>0</v>
      </c>
      <c r="AD86" s="70"/>
      <c r="AE86" t="str">
        <v>Bosnia y Herzegovina</v>
      </c>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t="str">
        <v>Catar</v>
      </c>
      <c r="T87" s="79">
        <f t="shared" ref="T87" ca="1" si="52">($M87=S87)*$D$14</f>
        <v>0</v>
      </c>
      <c r="U87" s="70"/>
      <c r="V87" t="str">
        <v>Catar</v>
      </c>
      <c r="W87" s="79">
        <f t="shared" ref="W87:AF87" ca="1" si="53">($M87=V87)*$D$14</f>
        <v>0</v>
      </c>
      <c r="X87" s="70"/>
      <c r="Y87" t="str">
        <v>Catar</v>
      </c>
      <c r="Z87" s="79">
        <f t="shared" ca="1" si="53"/>
        <v>0</v>
      </c>
      <c r="AA87" s="70"/>
      <c r="AB87" t="str">
        <v>Catar</v>
      </c>
      <c r="AC87" s="79">
        <f t="shared" ca="1" si="53"/>
        <v>0</v>
      </c>
      <c r="AD87" s="70"/>
      <c r="AE87" t="str">
        <v>Catar</v>
      </c>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t="str">
        <v>Brasil</v>
      </c>
      <c r="T88" s="79">
        <f t="shared" ref="T88" ca="1" si="55">($M88=S88)*$D$11</f>
        <v>0</v>
      </c>
      <c r="U88" s="70"/>
      <c r="V88" t="str">
        <v>Brasil</v>
      </c>
      <c r="W88" s="79">
        <f t="shared" ref="W88:AF88" ca="1" si="56">($M88=V88)*$D$11</f>
        <v>0</v>
      </c>
      <c r="X88" s="70"/>
      <c r="Y88" t="str">
        <v>Brasil</v>
      </c>
      <c r="Z88" s="79">
        <f t="shared" ca="1" si="56"/>
        <v>0</v>
      </c>
      <c r="AA88" s="70"/>
      <c r="AB88" t="str">
        <v>Brasil</v>
      </c>
      <c r="AC88" s="79">
        <f t="shared" ca="1" si="56"/>
        <v>0</v>
      </c>
      <c r="AD88" s="70"/>
      <c r="AE88" t="str">
        <v>Brasil</v>
      </c>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t="str">
        <v>Marruecos</v>
      </c>
      <c r="T89" s="79">
        <f t="shared" ref="T89" ca="1" si="58">($M89=S89)*$D$12</f>
        <v>0</v>
      </c>
      <c r="U89" s="70"/>
      <c r="V89" t="str">
        <v>Marruecos</v>
      </c>
      <c r="W89" s="79">
        <f t="shared" ref="W89:AF89" ca="1" si="59">($M89=V89)*$D$12</f>
        <v>0</v>
      </c>
      <c r="X89" s="70"/>
      <c r="Y89" t="str">
        <v>Marruecos</v>
      </c>
      <c r="Z89" s="79">
        <f t="shared" ca="1" si="59"/>
        <v>0</v>
      </c>
      <c r="AA89" s="70"/>
      <c r="AB89" t="str">
        <v>Marruecos</v>
      </c>
      <c r="AC89" s="79">
        <f t="shared" ca="1" si="59"/>
        <v>0</v>
      </c>
      <c r="AD89" s="70"/>
      <c r="AE89" t="str">
        <v>Marruecos</v>
      </c>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t="str">
        <v>Escocia</v>
      </c>
      <c r="T90" s="79">
        <f t="shared" ref="T90" ca="1" si="61">($M90=S90)*$D$13</f>
        <v>0</v>
      </c>
      <c r="U90" s="70"/>
      <c r="V90" t="str">
        <v>Escocia</v>
      </c>
      <c r="W90" s="79">
        <f t="shared" ref="W90:AF90" ca="1" si="62">($M90=V90)*$D$13</f>
        <v>0</v>
      </c>
      <c r="X90" s="70"/>
      <c r="Y90" t="str">
        <v>Escocia</v>
      </c>
      <c r="Z90" s="79">
        <f t="shared" ca="1" si="62"/>
        <v>0</v>
      </c>
      <c r="AA90" s="70"/>
      <c r="AB90" t="str">
        <v>Escocia</v>
      </c>
      <c r="AC90" s="79">
        <f t="shared" ca="1" si="62"/>
        <v>0</v>
      </c>
      <c r="AD90" s="70"/>
      <c r="AE90" t="str">
        <v>Escocia</v>
      </c>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t="str">
        <v>Haití</v>
      </c>
      <c r="T91" s="79">
        <f t="shared" ref="T91" ca="1" si="64">($M91=S91)*$D$14</f>
        <v>0</v>
      </c>
      <c r="U91" s="70"/>
      <c r="V91" t="str">
        <v>Haití</v>
      </c>
      <c r="W91" s="79">
        <f t="shared" ref="W91:AF91" ca="1" si="65">($M91=V91)*$D$14</f>
        <v>0</v>
      </c>
      <c r="X91" s="70"/>
      <c r="Y91" t="str">
        <v>Haití</v>
      </c>
      <c r="Z91" s="79">
        <f t="shared" ca="1" si="65"/>
        <v>0</v>
      </c>
      <c r="AA91" s="70"/>
      <c r="AB91" t="str">
        <v>Haití</v>
      </c>
      <c r="AC91" s="79">
        <f t="shared" ca="1" si="65"/>
        <v>0</v>
      </c>
      <c r="AD91" s="70"/>
      <c r="AE91" t="str">
        <v>Haití</v>
      </c>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t="str">
        <v>Turquía</v>
      </c>
      <c r="T92" s="79">
        <f t="shared" ref="T92" ca="1" si="67">($M92=S92)*$D$11</f>
        <v>0</v>
      </c>
      <c r="U92" s="70"/>
      <c r="V92" t="str">
        <v>Turquía</v>
      </c>
      <c r="W92" s="79">
        <f t="shared" ref="W92:AF92" ca="1" si="68">($M92=V92)*$D$11</f>
        <v>0</v>
      </c>
      <c r="X92" s="70"/>
      <c r="Y92" t="str">
        <v>Turquía</v>
      </c>
      <c r="Z92" s="79">
        <f t="shared" ca="1" si="68"/>
        <v>0</v>
      </c>
      <c r="AA92" s="70"/>
      <c r="AB92" t="str">
        <v>Estados Unidos</v>
      </c>
      <c r="AC92" s="79">
        <f t="shared" ca="1" si="68"/>
        <v>0</v>
      </c>
      <c r="AD92" s="70"/>
      <c r="AE92" t="str">
        <v>Turquía</v>
      </c>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t="str">
        <v>Estados Unidos</v>
      </c>
      <c r="T93" s="79">
        <f t="shared" ref="T93" ca="1" si="70">($M93=S93)*$D$12</f>
        <v>0</v>
      </c>
      <c r="U93" s="70"/>
      <c r="V93" t="str">
        <v>Paraguay</v>
      </c>
      <c r="W93" s="79">
        <f t="shared" ref="W93:AF93" ca="1" si="71">($M93=V93)*$D$12</f>
        <v>0</v>
      </c>
      <c r="X93" s="70"/>
      <c r="Y93" t="str">
        <v>Paraguay</v>
      </c>
      <c r="Z93" s="79">
        <f t="shared" ca="1" si="71"/>
        <v>0</v>
      </c>
      <c r="AA93" s="70"/>
      <c r="AB93" t="str">
        <v>Turquía</v>
      </c>
      <c r="AC93" s="79">
        <f t="shared" ca="1" si="71"/>
        <v>0</v>
      </c>
      <c r="AD93" s="70"/>
      <c r="AE93" t="str">
        <v>Estados Unidos</v>
      </c>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t="str">
        <v>Paraguay</v>
      </c>
      <c r="T94" s="79">
        <f t="shared" ref="T94" ca="1" si="73">($M94=S94)*$D$13</f>
        <v>0</v>
      </c>
      <c r="U94" s="70"/>
      <c r="V94" t="str">
        <v>Estados Unidos</v>
      </c>
      <c r="W94" s="79">
        <f t="shared" ref="W94:AF94" ca="1" si="74">($M94=V94)*$D$13</f>
        <v>0</v>
      </c>
      <c r="X94" s="70"/>
      <c r="Y94" t="str">
        <v>Estados Unidos</v>
      </c>
      <c r="Z94" s="79">
        <f t="shared" ca="1" si="74"/>
        <v>0</v>
      </c>
      <c r="AA94" s="70"/>
      <c r="AB94" t="str">
        <v>Paraguay</v>
      </c>
      <c r="AC94" s="79">
        <f t="shared" ca="1" si="74"/>
        <v>0</v>
      </c>
      <c r="AD94" s="70"/>
      <c r="AE94" t="str">
        <v>Paraguay</v>
      </c>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t="str">
        <v>Australia</v>
      </c>
      <c r="T95" s="79">
        <f t="shared" ref="T95" ca="1" si="76">($M95=S95)*$D$14</f>
        <v>0</v>
      </c>
      <c r="U95" s="70"/>
      <c r="V95" t="str">
        <v>Australia</v>
      </c>
      <c r="W95" s="79">
        <f t="shared" ref="W95:AF95" ca="1" si="77">($M95=V95)*$D$14</f>
        <v>0</v>
      </c>
      <c r="X95" s="70"/>
      <c r="Y95" t="str">
        <v>Australia</v>
      </c>
      <c r="Z95" s="79">
        <f t="shared" ca="1" si="77"/>
        <v>0</v>
      </c>
      <c r="AA95" s="70"/>
      <c r="AB95" t="str">
        <v>Australia</v>
      </c>
      <c r="AC95" s="79">
        <f t="shared" ca="1" si="77"/>
        <v>0</v>
      </c>
      <c r="AD95" s="70"/>
      <c r="AE95" t="str">
        <v>Australia</v>
      </c>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t="str">
        <v>Alemania</v>
      </c>
      <c r="T96" s="79">
        <f t="shared" ref="T96" ca="1" si="79">($M96=S96)*$D$11</f>
        <v>0</v>
      </c>
      <c r="U96" s="70"/>
      <c r="V96" t="str">
        <v>Ecuador</v>
      </c>
      <c r="W96" s="79">
        <f t="shared" ref="W96:AF96" ca="1" si="80">($M96=V96)*$D$11</f>
        <v>0</v>
      </c>
      <c r="X96" s="70"/>
      <c r="Y96" t="str">
        <v>Alemania</v>
      </c>
      <c r="Z96" s="79">
        <f t="shared" ca="1" si="80"/>
        <v>0</v>
      </c>
      <c r="AA96" s="70"/>
      <c r="AB96" t="str">
        <v>Alemania</v>
      </c>
      <c r="AC96" s="79">
        <f t="shared" ca="1" si="80"/>
        <v>0</v>
      </c>
      <c r="AD96" s="70"/>
      <c r="AE96" t="str">
        <v>Alemania</v>
      </c>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t="str">
        <v>Ecuador</v>
      </c>
      <c r="T97" s="79">
        <f t="shared" ref="T97" ca="1" si="82">($M97=S97)*$D$12</f>
        <v>0</v>
      </c>
      <c r="U97" s="70"/>
      <c r="V97" t="str">
        <v>Alemania</v>
      </c>
      <c r="W97" s="79">
        <f t="shared" ref="W97:AF97" ca="1" si="83">($M97=V97)*$D$12</f>
        <v>0</v>
      </c>
      <c r="X97" s="70"/>
      <c r="Y97" t="str">
        <v>Costa de Marfil</v>
      </c>
      <c r="Z97" s="79">
        <f t="shared" ca="1" si="83"/>
        <v>0</v>
      </c>
      <c r="AA97" s="70"/>
      <c r="AB97" t="str">
        <v>Costa de Marfil</v>
      </c>
      <c r="AC97" s="79">
        <f t="shared" ca="1" si="83"/>
        <v>0</v>
      </c>
      <c r="AD97" s="70"/>
      <c r="AE97" t="str">
        <v>Ecuador</v>
      </c>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t="str">
        <v>Costa de Marfil</v>
      </c>
      <c r="T98" s="79">
        <f t="shared" ref="T98" ca="1" si="85">($M98=S98)*$D$13</f>
        <v>0</v>
      </c>
      <c r="U98" s="70"/>
      <c r="V98" t="str">
        <v>Costa de Marfil</v>
      </c>
      <c r="W98" s="79">
        <f t="shared" ref="W98:AF98" ca="1" si="86">($M98=V98)*$D$13</f>
        <v>0</v>
      </c>
      <c r="X98" s="70"/>
      <c r="Y98" t="str">
        <v>Ecuador</v>
      </c>
      <c r="Z98" s="79">
        <f t="shared" ca="1" si="86"/>
        <v>0</v>
      </c>
      <c r="AA98" s="70"/>
      <c r="AB98" t="str">
        <v>Ecuador</v>
      </c>
      <c r="AC98" s="79">
        <f t="shared" ca="1" si="86"/>
        <v>0</v>
      </c>
      <c r="AD98" s="70"/>
      <c r="AE98" t="str">
        <v>Costa de Marfil</v>
      </c>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t="str">
        <v>Curazao</v>
      </c>
      <c r="T99" s="79">
        <f t="shared" ref="T99" ca="1" si="88">($M99=S99)*$D$14</f>
        <v>0</v>
      </c>
      <c r="U99" s="70"/>
      <c r="V99" t="str">
        <v>Curazao</v>
      </c>
      <c r="W99" s="79">
        <f t="shared" ref="W99:AF99" ca="1" si="89">($M99=V99)*$D$14</f>
        <v>0</v>
      </c>
      <c r="X99" s="70"/>
      <c r="Y99" t="str">
        <v>Curazao</v>
      </c>
      <c r="Z99" s="79">
        <f t="shared" ca="1" si="89"/>
        <v>0</v>
      </c>
      <c r="AA99" s="70"/>
      <c r="AB99" t="str">
        <v>Curazao</v>
      </c>
      <c r="AC99" s="79">
        <f t="shared" ca="1" si="89"/>
        <v>0</v>
      </c>
      <c r="AD99" s="70"/>
      <c r="AE99" t="str">
        <v>Curazao</v>
      </c>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t="str">
        <v>Países Bajos</v>
      </c>
      <c r="T100" s="79">
        <f t="shared" ref="T100" ca="1" si="91">($M100=S100)*$D$11</f>
        <v>0</v>
      </c>
      <c r="U100" s="70"/>
      <c r="V100" t="str">
        <v>Países Bajos</v>
      </c>
      <c r="W100" s="79">
        <f t="shared" ref="W100:AF100" ca="1" si="92">($M100=V100)*$D$11</f>
        <v>0</v>
      </c>
      <c r="X100" s="70"/>
      <c r="Y100" t="str">
        <v>Países Bajos</v>
      </c>
      <c r="Z100" s="79">
        <f t="shared" ca="1" si="92"/>
        <v>0</v>
      </c>
      <c r="AA100" s="70"/>
      <c r="AB100" t="str">
        <v>Países Bajos</v>
      </c>
      <c r="AC100" s="79">
        <f t="shared" ca="1" si="92"/>
        <v>0</v>
      </c>
      <c r="AD100" s="70"/>
      <c r="AE100" t="str">
        <v>Países Bajos</v>
      </c>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t="str">
        <v>Japón</v>
      </c>
      <c r="T101" s="79">
        <f t="shared" ref="T101" ca="1" si="94">($M101=S101)*$D$12</f>
        <v>0</v>
      </c>
      <c r="U101" s="70"/>
      <c r="V101" t="str">
        <v>Japón</v>
      </c>
      <c r="W101" s="79">
        <f t="shared" ref="W101:AF101" ca="1" si="95">($M101=V101)*$D$12</f>
        <v>0</v>
      </c>
      <c r="X101" s="70"/>
      <c r="Y101" t="str">
        <v>Japón</v>
      </c>
      <c r="Z101" s="79">
        <f t="shared" ca="1" si="95"/>
        <v>0</v>
      </c>
      <c r="AA101" s="70"/>
      <c r="AB101" t="str">
        <v>Japón</v>
      </c>
      <c r="AC101" s="79">
        <f t="shared" ca="1" si="95"/>
        <v>0</v>
      </c>
      <c r="AD101" s="70"/>
      <c r="AE101" t="str">
        <v>Suecia</v>
      </c>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t="str">
        <v>Túnez</v>
      </c>
      <c r="T102" s="79">
        <f t="shared" ref="T102" ca="1" si="97">($M102=S102)*$D$13</f>
        <v>0</v>
      </c>
      <c r="U102" s="70"/>
      <c r="V102" t="str">
        <v>Suecia</v>
      </c>
      <c r="W102" s="79">
        <f t="shared" ref="W102:AF102" ca="1" si="98">($M102=V102)*$D$13</f>
        <v>0</v>
      </c>
      <c r="X102" s="70"/>
      <c r="Y102" t="str">
        <v>Túnez</v>
      </c>
      <c r="Z102" s="79">
        <f t="shared" ca="1" si="98"/>
        <v>0</v>
      </c>
      <c r="AA102" s="70"/>
      <c r="AB102" t="str">
        <v>Suecia</v>
      </c>
      <c r="AC102" s="79">
        <f t="shared" ca="1" si="98"/>
        <v>0</v>
      </c>
      <c r="AD102" s="70"/>
      <c r="AE102" t="str">
        <v>Japón</v>
      </c>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t="str">
        <v>Suecia</v>
      </c>
      <c r="T103" s="79">
        <f t="shared" ref="T103" ca="1" si="100">($M103=S103)*$D$14</f>
        <v>0</v>
      </c>
      <c r="U103" s="70"/>
      <c r="V103" t="str">
        <v>Túnez</v>
      </c>
      <c r="W103" s="79">
        <f t="shared" ref="W103:AF103" ca="1" si="101">($M103=V103)*$D$14</f>
        <v>0</v>
      </c>
      <c r="X103" s="70"/>
      <c r="Y103" t="str">
        <v>Suecia</v>
      </c>
      <c r="Z103" s="79">
        <f t="shared" ca="1" si="101"/>
        <v>0</v>
      </c>
      <c r="AA103" s="70"/>
      <c r="AB103" t="str">
        <v>Túnez</v>
      </c>
      <c r="AC103" s="79">
        <f t="shared" ca="1" si="101"/>
        <v>0</v>
      </c>
      <c r="AD103" s="70"/>
      <c r="AE103" t="str">
        <v>Túnez</v>
      </c>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t="str">
        <v>Bélgica</v>
      </c>
      <c r="T104" s="79">
        <f t="shared" ref="T104" ca="1" si="103">($M104=S104)*$D$11</f>
        <v>0</v>
      </c>
      <c r="U104" s="70"/>
      <c r="V104" t="str">
        <v>Bélgica</v>
      </c>
      <c r="W104" s="79">
        <f t="shared" ref="W104:AF104" ca="1" si="104">($M104=V104)*$D$11</f>
        <v>0</v>
      </c>
      <c r="X104" s="70"/>
      <c r="Y104" t="str">
        <v>Bélgica</v>
      </c>
      <c r="Z104" s="79">
        <f t="shared" ca="1" si="104"/>
        <v>0</v>
      </c>
      <c r="AA104" s="70"/>
      <c r="AB104" t="str">
        <v>Bélgica</v>
      </c>
      <c r="AC104" s="79">
        <f t="shared" ca="1" si="104"/>
        <v>0</v>
      </c>
      <c r="AD104" s="70"/>
      <c r="AE104" t="str">
        <v>Bélgica</v>
      </c>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t="str">
        <v>Egipto</v>
      </c>
      <c r="T105" s="79">
        <f t="shared" ref="T105" ca="1" si="106">($M105=S105)*$D$12</f>
        <v>0</v>
      </c>
      <c r="U105" s="70"/>
      <c r="V105" t="str">
        <v>Egipto</v>
      </c>
      <c r="W105" s="79">
        <f t="shared" ref="W105:AF105" ca="1" si="107">($M105=V105)*$D$12</f>
        <v>0</v>
      </c>
      <c r="X105" s="70"/>
      <c r="Y105" t="str">
        <v>Egipto</v>
      </c>
      <c r="Z105" s="79">
        <f t="shared" ca="1" si="107"/>
        <v>0</v>
      </c>
      <c r="AA105" s="70"/>
      <c r="AB105" t="str">
        <v>Egipto</v>
      </c>
      <c r="AC105" s="79">
        <f t="shared" ca="1" si="107"/>
        <v>0</v>
      </c>
      <c r="AD105" s="70"/>
      <c r="AE105" t="str">
        <v>Irán</v>
      </c>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t="str">
        <v>Irán</v>
      </c>
      <c r="T106" s="79">
        <f t="shared" ref="T106" ca="1" si="109">($M106=S106)*$D$13</f>
        <v>0</v>
      </c>
      <c r="U106" s="70"/>
      <c r="V106" t="str">
        <v>Irán</v>
      </c>
      <c r="W106" s="79">
        <f t="shared" ref="W106:AF106" ca="1" si="110">($M106=V106)*$D$13</f>
        <v>0</v>
      </c>
      <c r="X106" s="70"/>
      <c r="Y106" t="str">
        <v>Irán</v>
      </c>
      <c r="Z106" s="79">
        <f t="shared" ca="1" si="110"/>
        <v>0</v>
      </c>
      <c r="AA106" s="70"/>
      <c r="AB106" t="str">
        <v>Irán</v>
      </c>
      <c r="AC106" s="79">
        <f t="shared" ca="1" si="110"/>
        <v>0</v>
      </c>
      <c r="AD106" s="70"/>
      <c r="AE106" t="str">
        <v>Egipto</v>
      </c>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t="str">
        <v>Nueva Zelanda</v>
      </c>
      <c r="T107" s="79">
        <f t="shared" ref="T107" ca="1" si="112">($M107=S107)*$D$14</f>
        <v>0</v>
      </c>
      <c r="U107" s="70"/>
      <c r="V107" t="str">
        <v>Nueva Zelanda</v>
      </c>
      <c r="W107" s="79">
        <f t="shared" ref="W107:AF107" ca="1" si="113">($M107=V107)*$D$14</f>
        <v>0</v>
      </c>
      <c r="X107" s="70"/>
      <c r="Y107" t="str">
        <v>Nueva Zelanda</v>
      </c>
      <c r="Z107" s="79">
        <f t="shared" ca="1" si="113"/>
        <v>0</v>
      </c>
      <c r="AA107" s="70"/>
      <c r="AB107" t="str">
        <v>Nueva Zelanda</v>
      </c>
      <c r="AC107" s="79">
        <f t="shared" ca="1" si="113"/>
        <v>0</v>
      </c>
      <c r="AD107" s="70"/>
      <c r="AE107" t="str">
        <v>Nueva Zelanda</v>
      </c>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t="str">
        <v>España</v>
      </c>
      <c r="T108" s="79">
        <f t="shared" ref="T108" ca="1" si="115">($M108=S108)*$D$11</f>
        <v>0</v>
      </c>
      <c r="U108" s="70"/>
      <c r="V108" t="str">
        <v>España</v>
      </c>
      <c r="W108" s="79">
        <f t="shared" ref="W108:AF108" ca="1" si="116">($M108=V108)*$D$11</f>
        <v>0</v>
      </c>
      <c r="X108" s="70"/>
      <c r="Y108" t="str">
        <v>Uruguay</v>
      </c>
      <c r="Z108" s="79">
        <f t="shared" ca="1" si="116"/>
        <v>0</v>
      </c>
      <c r="AA108" s="70"/>
      <c r="AB108" t="str">
        <v>España</v>
      </c>
      <c r="AC108" s="79">
        <f t="shared" ca="1" si="116"/>
        <v>0</v>
      </c>
      <c r="AD108" s="70"/>
      <c r="AE108" t="str">
        <v>España</v>
      </c>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t="str">
        <v>Uruguay</v>
      </c>
      <c r="T109" s="79">
        <f t="shared" ref="T109" ca="1" si="118">($M109=S109)*$D$12</f>
        <v>0</v>
      </c>
      <c r="U109" s="70"/>
      <c r="V109" t="str">
        <v>Uruguay</v>
      </c>
      <c r="W109" s="79">
        <f t="shared" ref="W109:AF109" ca="1" si="119">($M109=V109)*$D$12</f>
        <v>0</v>
      </c>
      <c r="X109" s="70"/>
      <c r="Y109" t="str">
        <v>España</v>
      </c>
      <c r="Z109" s="79">
        <f t="shared" ca="1" si="119"/>
        <v>0</v>
      </c>
      <c r="AA109" s="70"/>
      <c r="AB109" t="str">
        <v>Uruguay</v>
      </c>
      <c r="AC109" s="79">
        <f t="shared" ca="1" si="119"/>
        <v>0</v>
      </c>
      <c r="AD109" s="70"/>
      <c r="AE109" t="str">
        <v>Uruguay</v>
      </c>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t="str">
        <v>Arabia Saudita</v>
      </c>
      <c r="T110" s="79">
        <f t="shared" ref="T110" ca="1" si="121">($M110=S110)*$D$13</f>
        <v>0</v>
      </c>
      <c r="U110" s="70"/>
      <c r="V110" t="str">
        <v>Arabia Saudita</v>
      </c>
      <c r="W110" s="79">
        <f t="shared" ref="W110:AF110" ca="1" si="122">($M110=V110)*$D$13</f>
        <v>0</v>
      </c>
      <c r="X110" s="70"/>
      <c r="Y110" t="str">
        <v>Arabia Saudita</v>
      </c>
      <c r="Z110" s="79">
        <f t="shared" ca="1" si="122"/>
        <v>0</v>
      </c>
      <c r="AA110" s="70"/>
      <c r="AB110" t="str">
        <v>Arabia Saudita</v>
      </c>
      <c r="AC110" s="79">
        <f t="shared" ca="1" si="122"/>
        <v>0</v>
      </c>
      <c r="AD110" s="70"/>
      <c r="AE110" t="str">
        <v>Arabia Saudita</v>
      </c>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t="str">
        <v>Cabo Verde</v>
      </c>
      <c r="T111" s="79">
        <f t="shared" ref="T111" ca="1" si="124">($M111=S111)*$D$14</f>
        <v>0</v>
      </c>
      <c r="U111" s="70"/>
      <c r="V111" t="str">
        <v>Cabo Verde</v>
      </c>
      <c r="W111" s="79">
        <f t="shared" ref="W111:AF111" ca="1" si="125">($M111=V111)*$D$14</f>
        <v>0</v>
      </c>
      <c r="X111" s="70"/>
      <c r="Y111" t="str">
        <v>Cabo Verde</v>
      </c>
      <c r="Z111" s="79">
        <f t="shared" ca="1" si="125"/>
        <v>0</v>
      </c>
      <c r="AA111" s="70"/>
      <c r="AB111" t="str">
        <v>Cabo Verde</v>
      </c>
      <c r="AC111" s="79">
        <f t="shared" ca="1" si="125"/>
        <v>0</v>
      </c>
      <c r="AD111" s="70"/>
      <c r="AE111" t="str">
        <v>Cabo Verde</v>
      </c>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t="str">
        <v>Francia</v>
      </c>
      <c r="T112" s="79">
        <f t="shared" ref="T112" ca="1" si="127">($M112=S112)*$D$11</f>
        <v>0</v>
      </c>
      <c r="U112" s="70"/>
      <c r="V112" t="str">
        <v>Francia</v>
      </c>
      <c r="W112" s="79">
        <f t="shared" ref="W112:AF112" ca="1" si="128">($M112=V112)*$D$11</f>
        <v>0</v>
      </c>
      <c r="X112" s="70"/>
      <c r="Y112" t="str">
        <v>Francia</v>
      </c>
      <c r="Z112" s="79">
        <f t="shared" ca="1" si="128"/>
        <v>0</v>
      </c>
      <c r="AA112" s="70"/>
      <c r="AB112" t="str">
        <v>Francia</v>
      </c>
      <c r="AC112" s="79">
        <f t="shared" ca="1" si="128"/>
        <v>0</v>
      </c>
      <c r="AD112" s="70"/>
      <c r="AE112" t="str">
        <v>Francia</v>
      </c>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t="str">
        <v>Noruega</v>
      </c>
      <c r="T113" s="79">
        <f t="shared" ref="T113" ca="1" si="130">($M113=S113)*$D$12</f>
        <v>0</v>
      </c>
      <c r="U113" s="70"/>
      <c r="V113" t="str">
        <v>Noruega</v>
      </c>
      <c r="W113" s="79">
        <f t="shared" ref="W113:AF113" ca="1" si="131">($M113=V113)*$D$12</f>
        <v>0</v>
      </c>
      <c r="X113" s="70"/>
      <c r="Y113" t="str">
        <v>Noruega</v>
      </c>
      <c r="Z113" s="79">
        <f t="shared" ca="1" si="131"/>
        <v>0</v>
      </c>
      <c r="AA113" s="70"/>
      <c r="AB113" t="str">
        <v>Senegal</v>
      </c>
      <c r="AC113" s="79">
        <f t="shared" ca="1" si="131"/>
        <v>0</v>
      </c>
      <c r="AD113" s="70"/>
      <c r="AE113" t="str">
        <v>Noruega</v>
      </c>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t="str">
        <v>Senegal</v>
      </c>
      <c r="T114" s="79">
        <f t="shared" ref="T114" ca="1" si="133">($M114=S114)*$D$13</f>
        <v>0</v>
      </c>
      <c r="U114" s="70"/>
      <c r="V114" t="str">
        <v>Senegal</v>
      </c>
      <c r="W114" s="79">
        <f t="shared" ref="W114:AF114" ca="1" si="134">($M114=V114)*$D$13</f>
        <v>0</v>
      </c>
      <c r="X114" s="70"/>
      <c r="Y114" t="str">
        <v>Senegal</v>
      </c>
      <c r="Z114" s="79">
        <f t="shared" ca="1" si="134"/>
        <v>0</v>
      </c>
      <c r="AA114" s="70"/>
      <c r="AB114" t="str">
        <v>Noruega</v>
      </c>
      <c r="AC114" s="79">
        <f t="shared" ca="1" si="134"/>
        <v>0</v>
      </c>
      <c r="AD114" s="70"/>
      <c r="AE114" t="str">
        <v>Senegal</v>
      </c>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t="str">
        <v>Irak</v>
      </c>
      <c r="T115" s="79">
        <f t="shared" ref="T115" ca="1" si="136">($M115=S115)*$D$14</f>
        <v>0</v>
      </c>
      <c r="U115" s="70"/>
      <c r="V115" t="str">
        <v>Irak</v>
      </c>
      <c r="W115" s="79">
        <f t="shared" ref="W115:AF115" ca="1" si="137">($M115=V115)*$D$14</f>
        <v>0</v>
      </c>
      <c r="X115" s="70"/>
      <c r="Y115" t="str">
        <v>Irak</v>
      </c>
      <c r="Z115" s="79">
        <f t="shared" ca="1" si="137"/>
        <v>0</v>
      </c>
      <c r="AA115" s="70"/>
      <c r="AB115" t="str">
        <v>Irak</v>
      </c>
      <c r="AC115" s="79">
        <f t="shared" ca="1" si="137"/>
        <v>0</v>
      </c>
      <c r="AD115" s="70"/>
      <c r="AE115" t="str">
        <v>Irak</v>
      </c>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t="str">
        <v>Argentina</v>
      </c>
      <c r="T116" s="79">
        <f t="shared" ref="T116" ca="1" si="139">($M116=S116)*$D$11</f>
        <v>0</v>
      </c>
      <c r="U116" s="70"/>
      <c r="V116" t="str">
        <v>Austria</v>
      </c>
      <c r="W116" s="79">
        <f t="shared" ref="W116:AF116" ca="1" si="140">($M116=V116)*$D$11</f>
        <v>0</v>
      </c>
      <c r="X116" s="70"/>
      <c r="Y116" t="str">
        <v>Argentina</v>
      </c>
      <c r="Z116" s="79">
        <f t="shared" ca="1" si="140"/>
        <v>0</v>
      </c>
      <c r="AA116" s="70"/>
      <c r="AB116" t="str">
        <v>Argentina</v>
      </c>
      <c r="AC116" s="79">
        <f t="shared" ca="1" si="140"/>
        <v>0</v>
      </c>
      <c r="AD116" s="70"/>
      <c r="AE116" t="str">
        <v>Argentina</v>
      </c>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t="str">
        <v>Austria</v>
      </c>
      <c r="T117" s="79">
        <f t="shared" ref="T117" ca="1" si="142">($M117=S117)*$D$12</f>
        <v>0</v>
      </c>
      <c r="U117" s="70"/>
      <c r="V117" t="str">
        <v>Argentina</v>
      </c>
      <c r="W117" s="79">
        <f t="shared" ref="W117:AF117" ca="1" si="143">($M117=V117)*$D$12</f>
        <v>0</v>
      </c>
      <c r="X117" s="70"/>
      <c r="Y117" t="str">
        <v>Argelia</v>
      </c>
      <c r="Z117" s="79">
        <f t="shared" ca="1" si="143"/>
        <v>0</v>
      </c>
      <c r="AA117" s="70"/>
      <c r="AB117" t="str">
        <v>Austria</v>
      </c>
      <c r="AC117" s="79">
        <f t="shared" ca="1" si="143"/>
        <v>0</v>
      </c>
      <c r="AD117" s="70"/>
      <c r="AE117" t="str">
        <v>Austria</v>
      </c>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t="str">
        <v>Argelia</v>
      </c>
      <c r="T118" s="79">
        <f t="shared" ref="T118" ca="1" si="145">($M118=S118)*$D$13</f>
        <v>0</v>
      </c>
      <c r="U118" s="70"/>
      <c r="V118" t="str">
        <v>Argelia</v>
      </c>
      <c r="W118" s="79">
        <f t="shared" ref="W118:AF118" ca="1" si="146">($M118=V118)*$D$13</f>
        <v>0</v>
      </c>
      <c r="X118" s="70"/>
      <c r="Y118" t="str">
        <v>Austria</v>
      </c>
      <c r="Z118" s="79">
        <f t="shared" ca="1" si="146"/>
        <v>0</v>
      </c>
      <c r="AA118" s="70"/>
      <c r="AB118" t="str">
        <v>Argelia</v>
      </c>
      <c r="AC118" s="79">
        <f t="shared" ca="1" si="146"/>
        <v>0</v>
      </c>
      <c r="AD118" s="70"/>
      <c r="AE118" t="str">
        <v>Argelia</v>
      </c>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t="str">
        <v>Jordania</v>
      </c>
      <c r="T119" s="79">
        <f t="shared" ref="T119" ca="1" si="148">($M119=S119)*$D$14</f>
        <v>0</v>
      </c>
      <c r="U119" s="70"/>
      <c r="V119" t="str">
        <v>Jordania</v>
      </c>
      <c r="W119" s="79">
        <f t="shared" ref="W119:AF119" ca="1" si="149">($M119=V119)*$D$14</f>
        <v>0</v>
      </c>
      <c r="X119" s="70"/>
      <c r="Y119" t="str">
        <v>Jordania</v>
      </c>
      <c r="Z119" s="79">
        <f t="shared" ca="1" si="149"/>
        <v>0</v>
      </c>
      <c r="AA119" s="70"/>
      <c r="AB119" t="str">
        <v>Jordania</v>
      </c>
      <c r="AC119" s="79">
        <f t="shared" ca="1" si="149"/>
        <v>0</v>
      </c>
      <c r="AD119" s="70"/>
      <c r="AE119" t="str">
        <v>Jordania</v>
      </c>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t="str">
        <v>Colombia</v>
      </c>
      <c r="T120" s="79">
        <f t="shared" ref="T120" ca="1" si="151">($M120=S120)*$D$11</f>
        <v>0</v>
      </c>
      <c r="U120" s="70"/>
      <c r="V120" t="str">
        <v>Portugal</v>
      </c>
      <c r="W120" s="79">
        <f t="shared" ref="W120:AF120" ca="1" si="152">($M120=V120)*$D$11</f>
        <v>0</v>
      </c>
      <c r="X120" s="70"/>
      <c r="Y120" t="str">
        <v>Colombia</v>
      </c>
      <c r="Z120" s="79">
        <f t="shared" ca="1" si="152"/>
        <v>0</v>
      </c>
      <c r="AA120" s="70"/>
      <c r="AB120" t="str">
        <v>Portugal</v>
      </c>
      <c r="AC120" s="79">
        <f t="shared" ca="1" si="152"/>
        <v>0</v>
      </c>
      <c r="AD120" s="70"/>
      <c r="AE120" t="str">
        <v>Portugal</v>
      </c>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t="str">
        <v>Portugal</v>
      </c>
      <c r="T121" s="79">
        <f t="shared" ref="T121" ca="1" si="154">($M121=S121)*$D$12</f>
        <v>0</v>
      </c>
      <c r="U121" s="70"/>
      <c r="V121" t="str">
        <v>Colombia</v>
      </c>
      <c r="W121" s="79">
        <f t="shared" ref="W121:AF121" ca="1" si="155">($M121=V121)*$D$12</f>
        <v>0</v>
      </c>
      <c r="X121" s="70"/>
      <c r="Y121" t="str">
        <v>Portugal</v>
      </c>
      <c r="Z121" s="79">
        <f t="shared" ca="1" si="155"/>
        <v>0</v>
      </c>
      <c r="AA121" s="70"/>
      <c r="AB121" t="str">
        <v>Colombia</v>
      </c>
      <c r="AC121" s="79">
        <f t="shared" ca="1" si="155"/>
        <v>0</v>
      </c>
      <c r="AD121" s="70"/>
      <c r="AE121" t="str">
        <v>Colombia</v>
      </c>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t="str">
        <v>RD Congo</v>
      </c>
      <c r="T122" s="79">
        <f t="shared" ref="T122" ca="1" si="157">($M122=S122)*$D$13</f>
        <v>0</v>
      </c>
      <c r="U122" s="70"/>
      <c r="V122" t="str">
        <v>RD Congo</v>
      </c>
      <c r="W122" s="79">
        <f t="shared" ref="W122:AF122" ca="1" si="158">($M122=V122)*$D$13</f>
        <v>0</v>
      </c>
      <c r="X122" s="70"/>
      <c r="Y122" t="str">
        <v>RD Congo</v>
      </c>
      <c r="Z122" s="79">
        <f t="shared" ca="1" si="158"/>
        <v>0</v>
      </c>
      <c r="AA122" s="70"/>
      <c r="AB122" t="str">
        <v>Uzbekistán</v>
      </c>
      <c r="AC122" s="79">
        <f t="shared" ca="1" si="158"/>
        <v>0</v>
      </c>
      <c r="AD122" s="70"/>
      <c r="AE122" t="str">
        <v>Uzbekistán</v>
      </c>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t="str">
        <v>Uzbekistán</v>
      </c>
      <c r="T123" s="79">
        <f t="shared" ref="T123" ca="1" si="160">($M123=S123)*$D$14</f>
        <v>0</v>
      </c>
      <c r="U123" s="70"/>
      <c r="V123" t="str">
        <v>Uzbekistán</v>
      </c>
      <c r="W123" s="79">
        <f t="shared" ref="W123:AF123" ca="1" si="161">($M123=V123)*$D$14</f>
        <v>0</v>
      </c>
      <c r="X123" s="70"/>
      <c r="Y123" t="str">
        <v>Uzbekistán</v>
      </c>
      <c r="Z123" s="79">
        <f t="shared" ca="1" si="161"/>
        <v>0</v>
      </c>
      <c r="AA123" s="70"/>
      <c r="AB123" t="str">
        <v>RD Congo</v>
      </c>
      <c r="AC123" s="79">
        <f t="shared" ca="1" si="161"/>
        <v>0</v>
      </c>
      <c r="AD123" s="70"/>
      <c r="AE123" t="str">
        <v>RD Congo</v>
      </c>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t="str">
        <v>Inglaterra</v>
      </c>
      <c r="T124" s="79">
        <f t="shared" ref="T124" ca="1" si="163">($M124=S124)*$D$11</f>
        <v>0</v>
      </c>
      <c r="U124" s="70"/>
      <c r="V124" t="str">
        <v>Inglaterra</v>
      </c>
      <c r="W124" s="79">
        <f t="shared" ref="W124:AF124" ca="1" si="164">($M124=V124)*$D$11</f>
        <v>0</v>
      </c>
      <c r="X124" s="70"/>
      <c r="Y124" t="str">
        <v>Inglaterra</v>
      </c>
      <c r="Z124" s="79">
        <f t="shared" ca="1" si="164"/>
        <v>0</v>
      </c>
      <c r="AA124" s="70"/>
      <c r="AB124" t="str">
        <v>Inglaterra</v>
      </c>
      <c r="AC124" s="79">
        <f t="shared" ca="1" si="164"/>
        <v>0</v>
      </c>
      <c r="AD124" s="70"/>
      <c r="AE124" t="str">
        <v>Inglaterra</v>
      </c>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t="str">
        <v>Croacia</v>
      </c>
      <c r="T125" s="79">
        <f t="shared" ref="T125" ca="1" si="166">($M125=S125)*$D$12</f>
        <v>0</v>
      </c>
      <c r="U125" s="70"/>
      <c r="V125" t="str">
        <v>Ghana</v>
      </c>
      <c r="W125" s="79">
        <f t="shared" ref="W125:AF125" ca="1" si="167">($M125=V125)*$D$12</f>
        <v>0</v>
      </c>
      <c r="X125" s="70"/>
      <c r="Y125" t="str">
        <v>Croacia</v>
      </c>
      <c r="Z125" s="79">
        <f t="shared" ca="1" si="167"/>
        <v>0</v>
      </c>
      <c r="AA125" s="70"/>
      <c r="AB125" t="str">
        <v>Croacia</v>
      </c>
      <c r="AC125" s="79">
        <f t="shared" ca="1" si="167"/>
        <v>0</v>
      </c>
      <c r="AD125" s="70"/>
      <c r="AE125" t="str">
        <v>Croacia</v>
      </c>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t="str">
        <v>Panamá</v>
      </c>
      <c r="T126" s="79">
        <f t="shared" ref="T126" ca="1" si="169">($M126=S126)*$D$13</f>
        <v>0</v>
      </c>
      <c r="U126" s="70"/>
      <c r="V126" t="str">
        <v>Croacia</v>
      </c>
      <c r="W126" s="79">
        <f t="shared" ref="W126:AF126" ca="1" si="170">($M126=V126)*$D$13</f>
        <v>0</v>
      </c>
      <c r="X126" s="70"/>
      <c r="Y126" t="str">
        <v>Ghana</v>
      </c>
      <c r="Z126" s="79">
        <f t="shared" ca="1" si="170"/>
        <v>0</v>
      </c>
      <c r="AA126" s="70"/>
      <c r="AB126" t="str">
        <v>Ghana</v>
      </c>
      <c r="AC126" s="79">
        <f t="shared" ca="1" si="170"/>
        <v>0</v>
      </c>
      <c r="AD126" s="70"/>
      <c r="AE126" t="str">
        <v>Ghana</v>
      </c>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t="str">
        <v>Ghana</v>
      </c>
      <c r="T127" s="87">
        <f t="shared" ref="T127" ca="1" si="172">($M127=S127)*$D$14</f>
        <v>0</v>
      </c>
      <c r="U127" s="70"/>
      <c r="V127" t="str">
        <v>Panamá</v>
      </c>
      <c r="W127" s="87">
        <f t="shared" ref="W127:AF127" ca="1" si="173">($M127=V127)*$D$14</f>
        <v>0</v>
      </c>
      <c r="X127" s="70"/>
      <c r="Y127" t="str">
        <v>Panamá</v>
      </c>
      <c r="Z127" s="87">
        <f t="shared" ca="1" si="173"/>
        <v>0</v>
      </c>
      <c r="AA127" s="70"/>
      <c r="AB127" t="str">
        <v>Panamá</v>
      </c>
      <c r="AC127" s="87">
        <f t="shared" ca="1" si="173"/>
        <v>0</v>
      </c>
      <c r="AD127" s="70"/>
      <c r="AE127" t="str">
        <v>Panamá</v>
      </c>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t="str">
        <v>México</v>
      </c>
      <c r="T130" s="83">
        <f t="shared" ref="T130:T161" ca="1" si="178">COUNTIF($M$130:$M$161,S130)*$D$15</f>
        <v>0</v>
      </c>
      <c r="U130" s="70"/>
      <c r="V130" t="str">
        <v>República Checa</v>
      </c>
      <c r="W130" s="83">
        <f t="shared" ref="W130:W161" ca="1" si="179">COUNTIF($M$130:$M$161,V130)*$D$15</f>
        <v>0</v>
      </c>
      <c r="X130" s="70"/>
      <c r="Y130" t="str">
        <v>República Checa</v>
      </c>
      <c r="Z130" s="83">
        <f t="shared" ref="Z130:Z161" ca="1" si="180">COUNTIF($M$130:$M$161,Y130)*$D$15</f>
        <v>0</v>
      </c>
      <c r="AA130" s="70"/>
      <c r="AB130" t="str">
        <v>Corea del Sur</v>
      </c>
      <c r="AC130" s="83">
        <f t="shared" ref="AC130:AC161" ca="1" si="181">COUNTIF($M$130:$M$161,AB130)*$D$15</f>
        <v>0</v>
      </c>
      <c r="AD130" s="70"/>
      <c r="AE130" t="str">
        <v>Corea del Sur</v>
      </c>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t="str">
        <v>Brasil</v>
      </c>
      <c r="T131" s="79">
        <f t="shared" ca="1" si="178"/>
        <v>0</v>
      </c>
      <c r="U131" s="70"/>
      <c r="V131" t="str">
        <v>Brasil</v>
      </c>
      <c r="W131" s="79">
        <f t="shared" ca="1" si="179"/>
        <v>0</v>
      </c>
      <c r="X131" s="70"/>
      <c r="Y131" t="str">
        <v>Brasil</v>
      </c>
      <c r="Z131" s="79">
        <f t="shared" ca="1" si="180"/>
        <v>0</v>
      </c>
      <c r="AA131" s="70"/>
      <c r="AB131" t="str">
        <v>Brasil</v>
      </c>
      <c r="AC131" s="79">
        <f t="shared" ca="1" si="181"/>
        <v>0</v>
      </c>
      <c r="AD131" s="70"/>
      <c r="AE131" t="str">
        <v>Brasil</v>
      </c>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t="str">
        <v>Alemania</v>
      </c>
      <c r="T132" s="79">
        <f t="shared" ca="1" si="178"/>
        <v>0</v>
      </c>
      <c r="U132" s="70"/>
      <c r="V132" t="str">
        <v>Ecuador</v>
      </c>
      <c r="W132" s="79">
        <f t="shared" ca="1" si="179"/>
        <v>0</v>
      </c>
      <c r="X132" s="70"/>
      <c r="Y132" t="str">
        <v>Alemania</v>
      </c>
      <c r="Z132" s="79">
        <f t="shared" ca="1" si="180"/>
        <v>0</v>
      </c>
      <c r="AA132" s="70"/>
      <c r="AB132" t="str">
        <v>Alemania</v>
      </c>
      <c r="AC132" s="79">
        <f t="shared" ca="1" si="181"/>
        <v>0</v>
      </c>
      <c r="AD132" s="70"/>
      <c r="AE132" t="str">
        <v>Alemania</v>
      </c>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t="str">
        <v>Países Bajos</v>
      </c>
      <c r="T133" s="79">
        <f t="shared" ca="1" si="178"/>
        <v>0</v>
      </c>
      <c r="U133" s="70"/>
      <c r="V133" t="str">
        <v>Países Bajos</v>
      </c>
      <c r="W133" s="79">
        <f t="shared" ca="1" si="179"/>
        <v>0</v>
      </c>
      <c r="X133" s="70"/>
      <c r="Y133" t="str">
        <v>Países Bajos</v>
      </c>
      <c r="Z133" s="79">
        <f t="shared" ca="1" si="180"/>
        <v>0</v>
      </c>
      <c r="AA133" s="70"/>
      <c r="AB133" t="str">
        <v>Países Bajos</v>
      </c>
      <c r="AC133" s="79">
        <f t="shared" ca="1" si="181"/>
        <v>0</v>
      </c>
      <c r="AD133" s="70"/>
      <c r="AE133" t="str">
        <v>Países Bajos</v>
      </c>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t="str">
        <v>Ecuador</v>
      </c>
      <c r="T134" s="79">
        <f t="shared" ca="1" si="178"/>
        <v>0</v>
      </c>
      <c r="U134" s="70"/>
      <c r="V134" t="str">
        <v>Alemania</v>
      </c>
      <c r="W134" s="79">
        <f t="shared" ca="1" si="179"/>
        <v>0</v>
      </c>
      <c r="X134" s="70"/>
      <c r="Y134" t="str">
        <v>Costa de Marfil</v>
      </c>
      <c r="Z134" s="79">
        <f t="shared" ca="1" si="180"/>
        <v>0</v>
      </c>
      <c r="AA134" s="70"/>
      <c r="AB134" t="str">
        <v>Costa de Marfil</v>
      </c>
      <c r="AC134" s="79">
        <f t="shared" ca="1" si="181"/>
        <v>0</v>
      </c>
      <c r="AD134" s="70"/>
      <c r="AE134" t="str">
        <v>Ecuador</v>
      </c>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t="str">
        <v>Francia</v>
      </c>
      <c r="T135" s="79">
        <f t="shared" ca="1" si="178"/>
        <v>0</v>
      </c>
      <c r="U135" s="70"/>
      <c r="V135" t="str">
        <v>Francia</v>
      </c>
      <c r="W135" s="79">
        <f t="shared" ca="1" si="179"/>
        <v>0</v>
      </c>
      <c r="X135" s="70"/>
      <c r="Y135" t="str">
        <v>Francia</v>
      </c>
      <c r="Z135" s="79">
        <f t="shared" ca="1" si="180"/>
        <v>0</v>
      </c>
      <c r="AA135" s="70"/>
      <c r="AB135" t="str">
        <v>Francia</v>
      </c>
      <c r="AC135" s="79">
        <f t="shared" ca="1" si="181"/>
        <v>0</v>
      </c>
      <c r="AD135" s="70"/>
      <c r="AE135" t="str">
        <v>Francia</v>
      </c>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t="str">
        <v>República Checa</v>
      </c>
      <c r="T136" s="79">
        <f t="shared" ca="1" si="178"/>
        <v>0</v>
      </c>
      <c r="U136" s="70"/>
      <c r="V136" t="str">
        <v>México</v>
      </c>
      <c r="W136" s="79">
        <f t="shared" ca="1" si="179"/>
        <v>0</v>
      </c>
      <c r="X136" s="70"/>
      <c r="Y136" t="str">
        <v>Corea del Sur</v>
      </c>
      <c r="Z136" s="79">
        <f t="shared" ca="1" si="180"/>
        <v>0</v>
      </c>
      <c r="AA136" s="70"/>
      <c r="AB136" t="str">
        <v>México</v>
      </c>
      <c r="AC136" s="79">
        <f t="shared" ca="1" si="181"/>
        <v>0</v>
      </c>
      <c r="AD136" s="70"/>
      <c r="AE136" t="str">
        <v>México</v>
      </c>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t="str">
        <v>Inglaterra</v>
      </c>
      <c r="T137" s="79">
        <f t="shared" ca="1" si="178"/>
        <v>0</v>
      </c>
      <c r="U137" s="70"/>
      <c r="V137" t="str">
        <v>Inglaterra</v>
      </c>
      <c r="W137" s="79">
        <f t="shared" ca="1" si="179"/>
        <v>0</v>
      </c>
      <c r="X137" s="70"/>
      <c r="Y137" t="str">
        <v>Inglaterra</v>
      </c>
      <c r="Z137" s="79">
        <f t="shared" ca="1" si="180"/>
        <v>0</v>
      </c>
      <c r="AA137" s="70"/>
      <c r="AB137" t="str">
        <v>Inglaterra</v>
      </c>
      <c r="AC137" s="79">
        <f t="shared" ca="1" si="181"/>
        <v>0</v>
      </c>
      <c r="AD137" s="70"/>
      <c r="AE137" t="str">
        <v>Inglaterra</v>
      </c>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t="str">
        <v>Bélgica</v>
      </c>
      <c r="T138" s="79">
        <f t="shared" ca="1" si="178"/>
        <v>0</v>
      </c>
      <c r="U138" s="70"/>
      <c r="V138" t="str">
        <v>Bélgica</v>
      </c>
      <c r="W138" s="79">
        <f t="shared" ca="1" si="179"/>
        <v>0</v>
      </c>
      <c r="X138" s="70"/>
      <c r="Y138" t="str">
        <v>Bélgica</v>
      </c>
      <c r="Z138" s="79">
        <f t="shared" ca="1" si="180"/>
        <v>0</v>
      </c>
      <c r="AA138" s="70"/>
      <c r="AB138" t="str">
        <v>Bélgica</v>
      </c>
      <c r="AC138" s="79">
        <f t="shared" ca="1" si="181"/>
        <v>0</v>
      </c>
      <c r="AD138" s="70"/>
      <c r="AE138" t="str">
        <v>Bélgica</v>
      </c>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t="str">
        <v>Turquía</v>
      </c>
      <c r="T139" s="79">
        <f t="shared" ca="1" si="178"/>
        <v>0</v>
      </c>
      <c r="U139" s="70"/>
      <c r="V139" t="str">
        <v>Turquía</v>
      </c>
      <c r="W139" s="79">
        <f t="shared" ca="1" si="179"/>
        <v>0</v>
      </c>
      <c r="X139" s="70"/>
      <c r="Y139" t="str">
        <v>Turquía</v>
      </c>
      <c r="Z139" s="79">
        <f t="shared" ca="1" si="180"/>
        <v>0</v>
      </c>
      <c r="AA139" s="70"/>
      <c r="AB139" t="str">
        <v>Estados Unidos</v>
      </c>
      <c r="AC139" s="79">
        <f t="shared" ca="1" si="181"/>
        <v>0</v>
      </c>
      <c r="AD139" s="70"/>
      <c r="AE139" t="str">
        <v>Turquía</v>
      </c>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t="str">
        <v>España</v>
      </c>
      <c r="T140" s="79">
        <f t="shared" ca="1" si="178"/>
        <v>0</v>
      </c>
      <c r="U140" s="70"/>
      <c r="V140" t="str">
        <v>España</v>
      </c>
      <c r="W140" s="79">
        <f t="shared" ca="1" si="179"/>
        <v>0</v>
      </c>
      <c r="X140" s="70"/>
      <c r="Y140" t="str">
        <v>Uruguay</v>
      </c>
      <c r="Z140" s="79">
        <f t="shared" ca="1" si="180"/>
        <v>0</v>
      </c>
      <c r="AA140" s="70"/>
      <c r="AB140" t="str">
        <v>España</v>
      </c>
      <c r="AC140" s="79">
        <f t="shared" ca="1" si="181"/>
        <v>0</v>
      </c>
      <c r="AD140" s="70"/>
      <c r="AE140" t="str">
        <v>España</v>
      </c>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t="str">
        <v>Portugal</v>
      </c>
      <c r="T141" s="79">
        <f t="shared" ca="1" si="178"/>
        <v>0</v>
      </c>
      <c r="U141" s="70"/>
      <c r="V141" t="str">
        <v>Colombia</v>
      </c>
      <c r="W141" s="79">
        <f t="shared" ca="1" si="179"/>
        <v>0</v>
      </c>
      <c r="X141" s="70"/>
      <c r="Y141" t="str">
        <v>Portugal</v>
      </c>
      <c r="Z141" s="79">
        <f t="shared" ca="1" si="180"/>
        <v>0</v>
      </c>
      <c r="AA141" s="70"/>
      <c r="AB141" t="str">
        <v>Colombia</v>
      </c>
      <c r="AC141" s="79">
        <f t="shared" ca="1" si="181"/>
        <v>0</v>
      </c>
      <c r="AD141" s="70"/>
      <c r="AE141" t="str">
        <v>Colombia</v>
      </c>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t="str">
        <v>Suiza</v>
      </c>
      <c r="T142" s="79">
        <f t="shared" ca="1" si="178"/>
        <v>0</v>
      </c>
      <c r="U142" s="70"/>
      <c r="V142" t="str">
        <v>Suiza</v>
      </c>
      <c r="W142" s="79">
        <f t="shared" ca="1" si="179"/>
        <v>0</v>
      </c>
      <c r="X142" s="70"/>
      <c r="Y142" t="str">
        <v>Suiza</v>
      </c>
      <c r="Z142" s="79">
        <f t="shared" ca="1" si="180"/>
        <v>0</v>
      </c>
      <c r="AA142" s="70"/>
      <c r="AB142" t="str">
        <v>Suiza</v>
      </c>
      <c r="AC142" s="79">
        <f t="shared" ca="1" si="181"/>
        <v>0</v>
      </c>
      <c r="AD142" s="70"/>
      <c r="AE142" t="str">
        <v>Suiza</v>
      </c>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t="str">
        <v>Estados Unidos</v>
      </c>
      <c r="T143" s="79">
        <f t="shared" ca="1" si="178"/>
        <v>0</v>
      </c>
      <c r="U143" s="70"/>
      <c r="V143" t="str">
        <v>Paraguay</v>
      </c>
      <c r="W143" s="79">
        <f t="shared" ca="1" si="179"/>
        <v>0</v>
      </c>
      <c r="X143" s="70"/>
      <c r="Y143" t="str">
        <v>Paraguay</v>
      </c>
      <c r="Z143" s="79">
        <f t="shared" ca="1" si="180"/>
        <v>0</v>
      </c>
      <c r="AA143" s="70"/>
      <c r="AB143" t="str">
        <v>Turquía</v>
      </c>
      <c r="AC143" s="79">
        <f t="shared" ca="1" si="181"/>
        <v>0</v>
      </c>
      <c r="AD143" s="70"/>
      <c r="AE143" t="str">
        <v>Estados Unidos</v>
      </c>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t="str">
        <v>Argentina</v>
      </c>
      <c r="T144" s="79">
        <f t="shared" ca="1" si="178"/>
        <v>0</v>
      </c>
      <c r="U144" s="70"/>
      <c r="V144" t="str">
        <v>Austria</v>
      </c>
      <c r="W144" s="79">
        <f t="shared" ca="1" si="179"/>
        <v>0</v>
      </c>
      <c r="X144" s="70"/>
      <c r="Y144" t="str">
        <v>Argentina</v>
      </c>
      <c r="Z144" s="79">
        <f t="shared" ca="1" si="180"/>
        <v>0</v>
      </c>
      <c r="AA144" s="70"/>
      <c r="AB144" t="str">
        <v>Argentina</v>
      </c>
      <c r="AC144" s="79">
        <f t="shared" ca="1" si="181"/>
        <v>0</v>
      </c>
      <c r="AD144" s="70"/>
      <c r="AE144" t="str">
        <v>Argentina</v>
      </c>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t="str">
        <v>Colombia</v>
      </c>
      <c r="T145" s="79">
        <f t="shared" ca="1" si="178"/>
        <v>0</v>
      </c>
      <c r="U145" s="70"/>
      <c r="V145" t="str">
        <v>Portugal</v>
      </c>
      <c r="W145" s="79">
        <f t="shared" ca="1" si="179"/>
        <v>0</v>
      </c>
      <c r="X145" s="70"/>
      <c r="Y145" t="str">
        <v>Colombia</v>
      </c>
      <c r="Z145" s="79">
        <f t="shared" ca="1" si="180"/>
        <v>0</v>
      </c>
      <c r="AA145" s="70"/>
      <c r="AB145" t="str">
        <v>Portugal</v>
      </c>
      <c r="AC145" s="79">
        <f t="shared" ca="1" si="181"/>
        <v>0</v>
      </c>
      <c r="AD145" s="70"/>
      <c r="AE145" t="str">
        <v>Portugal</v>
      </c>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t="str">
        <v>Canadá</v>
      </c>
      <c r="T146" s="79">
        <f t="shared" ca="1" si="178"/>
        <v>0</v>
      </c>
      <c r="U146" s="70"/>
      <c r="V146" t="str">
        <v>Bosnia y Herzegovina</v>
      </c>
      <c r="W146" s="79">
        <f t="shared" ca="1" si="179"/>
        <v>0</v>
      </c>
      <c r="X146" s="70"/>
      <c r="Y146" t="str">
        <v>Bosnia y Herzegovina</v>
      </c>
      <c r="Z146" s="79">
        <f t="shared" ca="1" si="180"/>
        <v>0</v>
      </c>
      <c r="AA146" s="70"/>
      <c r="AB146" t="str">
        <v>Canadá</v>
      </c>
      <c r="AC146" s="79">
        <f t="shared" ca="1" si="181"/>
        <v>0</v>
      </c>
      <c r="AD146" s="70"/>
      <c r="AE146" t="str">
        <v>Canadá</v>
      </c>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t="str">
        <v>Japón</v>
      </c>
      <c r="T147" s="79">
        <f t="shared" ca="1" si="178"/>
        <v>0</v>
      </c>
      <c r="U147" s="70"/>
      <c r="V147" t="str">
        <v>Japón</v>
      </c>
      <c r="W147" s="79">
        <f t="shared" ca="1" si="179"/>
        <v>0</v>
      </c>
      <c r="X147" s="70"/>
      <c r="Y147" t="str">
        <v>Japón</v>
      </c>
      <c r="Z147" s="79">
        <f t="shared" ca="1" si="180"/>
        <v>0</v>
      </c>
      <c r="AA147" s="70"/>
      <c r="AB147" t="str">
        <v>Japón</v>
      </c>
      <c r="AC147" s="79">
        <f t="shared" ca="1" si="181"/>
        <v>0</v>
      </c>
      <c r="AD147" s="70"/>
      <c r="AE147" t="str">
        <v>Suecia</v>
      </c>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t="str">
        <v>Escocia</v>
      </c>
      <c r="T148" s="79">
        <f t="shared" ca="1" si="178"/>
        <v>0</v>
      </c>
      <c r="U148" s="70"/>
      <c r="V148" t="str">
        <v>Estados Unidos</v>
      </c>
      <c r="W148" s="79">
        <f t="shared" ca="1" si="179"/>
        <v>0</v>
      </c>
      <c r="X148" s="70"/>
      <c r="Y148" t="str">
        <v>Estados Unidos</v>
      </c>
      <c r="Z148" s="79">
        <f t="shared" ca="1" si="180"/>
        <v>0</v>
      </c>
      <c r="AA148" s="70"/>
      <c r="AB148" t="str">
        <v>Escocia</v>
      </c>
      <c r="AC148" s="79">
        <f t="shared" ca="1" si="181"/>
        <v>0</v>
      </c>
      <c r="AD148" s="70"/>
      <c r="AE148" t="str">
        <v>Escocia</v>
      </c>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t="str">
        <v>Marruecos</v>
      </c>
      <c r="T149" s="79">
        <f t="shared" ca="1" si="178"/>
        <v>0</v>
      </c>
      <c r="U149" s="70"/>
      <c r="V149" t="str">
        <v>Marruecos</v>
      </c>
      <c r="W149" s="79">
        <f t="shared" ca="1" si="179"/>
        <v>0</v>
      </c>
      <c r="X149" s="70"/>
      <c r="Y149" t="str">
        <v>Marruecos</v>
      </c>
      <c r="Z149" s="79">
        <f t="shared" ca="1" si="180"/>
        <v>0</v>
      </c>
      <c r="AA149" s="70"/>
      <c r="AB149" t="str">
        <v>Marruecos</v>
      </c>
      <c r="AC149" s="79">
        <f t="shared" ca="1" si="181"/>
        <v>0</v>
      </c>
      <c r="AD149" s="70"/>
      <c r="AE149" t="str">
        <v>Marruecos</v>
      </c>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t="str">
        <v>Noruega</v>
      </c>
      <c r="T150" s="79">
        <f t="shared" ca="1" si="178"/>
        <v>0</v>
      </c>
      <c r="U150" s="70"/>
      <c r="V150" t="str">
        <v>Noruega</v>
      </c>
      <c r="W150" s="79">
        <f t="shared" ca="1" si="179"/>
        <v>0</v>
      </c>
      <c r="X150" s="70"/>
      <c r="Y150" t="str">
        <v>Noruega</v>
      </c>
      <c r="Z150" s="79">
        <f t="shared" ca="1" si="180"/>
        <v>0</v>
      </c>
      <c r="AA150" s="70"/>
      <c r="AB150" t="str">
        <v>Senegal</v>
      </c>
      <c r="AC150" s="79">
        <f t="shared" ca="1" si="181"/>
        <v>0</v>
      </c>
      <c r="AD150" s="70"/>
      <c r="AE150" t="str">
        <v>Noruega</v>
      </c>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t="str">
        <v>Túnez</v>
      </c>
      <c r="T151" s="79">
        <f t="shared" ca="1" si="178"/>
        <v>0</v>
      </c>
      <c r="U151" s="70"/>
      <c r="V151" t="str">
        <v>Suecia</v>
      </c>
      <c r="W151" s="79">
        <f t="shared" ca="1" si="179"/>
        <v>0</v>
      </c>
      <c r="X151" s="70"/>
      <c r="Y151" t="str">
        <v>Irán</v>
      </c>
      <c r="Z151" s="79">
        <f t="shared" ca="1" si="180"/>
        <v>0</v>
      </c>
      <c r="AA151" s="70"/>
      <c r="AB151" t="str">
        <v>Suecia</v>
      </c>
      <c r="AC151" s="79">
        <f t="shared" ca="1" si="181"/>
        <v>0</v>
      </c>
      <c r="AD151" s="70"/>
      <c r="AE151" t="str">
        <v>Japón</v>
      </c>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t="str">
        <v>Arabia Saudita</v>
      </c>
      <c r="T152" s="79">
        <f t="shared" ca="1" si="178"/>
        <v>0</v>
      </c>
      <c r="U152" s="70"/>
      <c r="V152" t="str">
        <v>Escocia</v>
      </c>
      <c r="W152" s="79">
        <f t="shared" ca="1" si="179"/>
        <v>0</v>
      </c>
      <c r="X152" s="70"/>
      <c r="Y152" t="str">
        <v>Ecuador</v>
      </c>
      <c r="Z152" s="79">
        <f t="shared" ca="1" si="180"/>
        <v>0</v>
      </c>
      <c r="AA152" s="70"/>
      <c r="AB152" t="str">
        <v>Arabia Saudita</v>
      </c>
      <c r="AC152" s="79">
        <f t="shared" ca="1" si="181"/>
        <v>0</v>
      </c>
      <c r="AD152" s="70"/>
      <c r="AE152" t="str">
        <v>Costa de Marfil</v>
      </c>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t="str">
        <v>Senegal</v>
      </c>
      <c r="T153" s="79">
        <f t="shared" ca="1" si="178"/>
        <v>0</v>
      </c>
      <c r="U153" s="70"/>
      <c r="V153" t="str">
        <v>Senegal</v>
      </c>
      <c r="W153" s="79">
        <f t="shared" ca="1" si="179"/>
        <v>0</v>
      </c>
      <c r="X153" s="70"/>
      <c r="Y153" t="str">
        <v>RD Congo</v>
      </c>
      <c r="Z153" s="79">
        <f t="shared" ca="1" si="180"/>
        <v>0</v>
      </c>
      <c r="AA153" s="70"/>
      <c r="AB153" t="str">
        <v>Noruega</v>
      </c>
      <c r="AC153" s="79">
        <f t="shared" ca="1" si="181"/>
        <v>0</v>
      </c>
      <c r="AD153" s="70"/>
      <c r="AE153" t="str">
        <v>Uzbekistán</v>
      </c>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t="str">
        <v>Sudáfrica</v>
      </c>
      <c r="T154" s="79">
        <f t="shared" ca="1" si="178"/>
        <v>0</v>
      </c>
      <c r="U154" s="70"/>
      <c r="V154" t="str">
        <v>Corea del Sur</v>
      </c>
      <c r="W154" s="79">
        <f t="shared" ca="1" si="179"/>
        <v>0</v>
      </c>
      <c r="X154" s="70"/>
      <c r="Y154" t="str">
        <v>Senegal</v>
      </c>
      <c r="Z154" s="79">
        <f t="shared" ca="1" si="180"/>
        <v>0</v>
      </c>
      <c r="AA154" s="70"/>
      <c r="AB154" t="str">
        <v>República Checa</v>
      </c>
      <c r="AC154" s="79">
        <f t="shared" ca="1" si="181"/>
        <v>0</v>
      </c>
      <c r="AD154" s="70"/>
      <c r="AE154" t="str">
        <v>República Checa</v>
      </c>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t="str">
        <v>Costa de Marfil</v>
      </c>
      <c r="T155" s="79">
        <f t="shared" ca="1" si="178"/>
        <v>0</v>
      </c>
      <c r="U155" s="70"/>
      <c r="V155" t="str">
        <v>Costa de Marfil</v>
      </c>
      <c r="W155" s="79">
        <f t="shared" ca="1" si="179"/>
        <v>0</v>
      </c>
      <c r="X155" s="70"/>
      <c r="Y155" t="str">
        <v>Canadá</v>
      </c>
      <c r="Z155" s="79">
        <f t="shared" ca="1" si="180"/>
        <v>0</v>
      </c>
      <c r="AA155" s="70"/>
      <c r="AB155" t="str">
        <v>Ecuador</v>
      </c>
      <c r="AC155" s="79">
        <f t="shared" ca="1" si="181"/>
        <v>0</v>
      </c>
      <c r="AD155" s="70"/>
      <c r="AE155" t="str">
        <v>Bosnia y Herzegovina</v>
      </c>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t="str">
        <v>Austria</v>
      </c>
      <c r="T156" s="79">
        <f t="shared" ca="1" si="178"/>
        <v>0</v>
      </c>
      <c r="U156" s="70"/>
      <c r="V156" t="str">
        <v>Argentina</v>
      </c>
      <c r="W156" s="79">
        <f t="shared" ca="1" si="179"/>
        <v>0</v>
      </c>
      <c r="X156" s="70"/>
      <c r="Y156" t="str">
        <v>Argelia</v>
      </c>
      <c r="Z156" s="79">
        <f t="shared" ca="1" si="180"/>
        <v>0</v>
      </c>
      <c r="AA156" s="70"/>
      <c r="AB156" t="str">
        <v>Austria</v>
      </c>
      <c r="AC156" s="79">
        <f t="shared" ca="1" si="181"/>
        <v>0</v>
      </c>
      <c r="AD156" s="70"/>
      <c r="AE156" t="str">
        <v>Austria</v>
      </c>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t="str">
        <v>Croacia</v>
      </c>
      <c r="T157" s="79">
        <f t="shared" ca="1" si="178"/>
        <v>0</v>
      </c>
      <c r="U157" s="70"/>
      <c r="V157" t="str">
        <v>Ghana</v>
      </c>
      <c r="W157" s="79">
        <f t="shared" ca="1" si="179"/>
        <v>0</v>
      </c>
      <c r="X157" s="70"/>
      <c r="Y157" t="str">
        <v>Croacia</v>
      </c>
      <c r="Z157" s="79">
        <f t="shared" ca="1" si="180"/>
        <v>0</v>
      </c>
      <c r="AA157" s="70"/>
      <c r="AB157" t="str">
        <v>Croacia</v>
      </c>
      <c r="AC157" s="79">
        <f t="shared" ca="1" si="181"/>
        <v>0</v>
      </c>
      <c r="AD157" s="70"/>
      <c r="AE157" t="str">
        <v>Croacia</v>
      </c>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t="str">
        <v>Argelia</v>
      </c>
      <c r="T158" s="79">
        <f t="shared" ca="1" si="178"/>
        <v>0</v>
      </c>
      <c r="U158" s="70"/>
      <c r="V158" t="str">
        <v>Argelia</v>
      </c>
      <c r="W158" s="79">
        <f t="shared" ca="1" si="179"/>
        <v>0</v>
      </c>
      <c r="X158" s="70"/>
      <c r="Y158" t="str">
        <v>Austria</v>
      </c>
      <c r="Z158" s="79">
        <f t="shared" ca="1" si="180"/>
        <v>0</v>
      </c>
      <c r="AA158" s="70"/>
      <c r="AB158" t="str">
        <v>Argelia</v>
      </c>
      <c r="AC158" s="79">
        <f t="shared" ca="1" si="181"/>
        <v>0</v>
      </c>
      <c r="AD158" s="70"/>
      <c r="AE158" t="str">
        <v>Egipto</v>
      </c>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t="str">
        <v>Egipto</v>
      </c>
      <c r="T159" s="79">
        <f t="shared" ca="1" si="178"/>
        <v>0</v>
      </c>
      <c r="U159" s="70"/>
      <c r="V159" t="str">
        <v>Egipto</v>
      </c>
      <c r="W159" s="79">
        <f t="shared" ca="1" si="179"/>
        <v>0</v>
      </c>
      <c r="X159" s="70"/>
      <c r="Y159" t="str">
        <v>Egipto</v>
      </c>
      <c r="Z159" s="79">
        <f t="shared" ca="1" si="180"/>
        <v>0</v>
      </c>
      <c r="AA159" s="70"/>
      <c r="AB159" t="str">
        <v>Egipto</v>
      </c>
      <c r="AC159" s="79">
        <f t="shared" ca="1" si="181"/>
        <v>0</v>
      </c>
      <c r="AD159" s="70"/>
      <c r="AE159" t="str">
        <v>Irán</v>
      </c>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t="str">
        <v>Uruguay</v>
      </c>
      <c r="T160" s="79">
        <f t="shared" ca="1" si="178"/>
        <v>0</v>
      </c>
      <c r="U160" s="70"/>
      <c r="V160" t="str">
        <v>Uruguay</v>
      </c>
      <c r="W160" s="79">
        <f t="shared" ca="1" si="179"/>
        <v>0</v>
      </c>
      <c r="X160" s="70"/>
      <c r="Y160" t="str">
        <v>España</v>
      </c>
      <c r="Z160" s="79">
        <f t="shared" ca="1" si="180"/>
        <v>0</v>
      </c>
      <c r="AA160" s="70"/>
      <c r="AB160" t="str">
        <v>Uruguay</v>
      </c>
      <c r="AC160" s="79">
        <f t="shared" ca="1" si="181"/>
        <v>0</v>
      </c>
      <c r="AD160" s="70"/>
      <c r="AE160" t="str">
        <v>Uruguay</v>
      </c>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t="str">
        <v>Paraguay</v>
      </c>
      <c r="T161" s="87">
        <f t="shared" ca="1" si="178"/>
        <v>0</v>
      </c>
      <c r="U161" s="70"/>
      <c r="V161" t="str">
        <v>Croacia</v>
      </c>
      <c r="W161" s="87">
        <f t="shared" ca="1" si="179"/>
        <v>0</v>
      </c>
      <c r="X161" s="70"/>
      <c r="Y161" t="str">
        <v>Ghana</v>
      </c>
      <c r="Z161" s="87">
        <f t="shared" ca="1" si="180"/>
        <v>0</v>
      </c>
      <c r="AA161" s="70"/>
      <c r="AB161" t="str">
        <v>Ghana</v>
      </c>
      <c r="AC161" s="87">
        <f t="shared" ca="1" si="181"/>
        <v>0</v>
      </c>
      <c r="AD161" s="70"/>
      <c r="AE161" t="str">
        <v>Senegal</v>
      </c>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t="str">
        <v>Sudáfrica-Canadá</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t="str">
        <v>México-Canadá·0|-</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t="str">
        <v>República Checa-Bosnia y Herzegovina·2|1-2</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t="str">
        <v>República Checa-Bosnia y Herzegovina·0|-</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t="str">
        <v>Corea del Sur-Canadá·0|-</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t="str">
        <v>Corea del Sur-Canadá·0|-</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t="str">
        <v>Brasil-Japón</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t="str">
        <v>Brasil-Japón·0|-</v>
      </c>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t="str">
        <v>Brasil-Japón·1|2-1</v>
      </c>
      <c r="W165" s="83">
        <f t="shared" ca="1" si="188"/>
        <v>0</v>
      </c>
      <c r="X165" s="116"/>
      <c r="Y165" t="str">
        <v>Brasil-Japón·0|-</v>
      </c>
      <c r="Z165" s="83">
        <f t="shared" ca="1" si="188"/>
        <v>0</v>
      </c>
      <c r="AA165" s="116"/>
      <c r="AB165" t="str">
        <v>Brasil-Japón·0|-</v>
      </c>
      <c r="AC165" s="83">
        <f t="shared" ca="1" si="188"/>
        <v>0</v>
      </c>
      <c r="AD165" s="116"/>
      <c r="AE165" t="str">
        <v>Brasil-Suecia·0|-</v>
      </c>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t="str">
        <v>Alemania-Paraguay</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t="str">
        <v>Alemania-Escocia·0|-</v>
      </c>
      <c r="T166" s="83">
        <f t="shared" ca="1" si="196"/>
        <v>0</v>
      </c>
      <c r="U166" s="116"/>
      <c r="V166" t="str">
        <v>Ecuador-Estados Unidos·1|3-0</v>
      </c>
      <c r="W166" s="83">
        <f t="shared" ca="1" si="188"/>
        <v>0</v>
      </c>
      <c r="X166" s="116"/>
      <c r="Y166" t="str">
        <v>Alemania-Estados Unidos·0|-</v>
      </c>
      <c r="Z166" s="83">
        <f t="shared" ca="1" si="188"/>
        <v>0</v>
      </c>
      <c r="AA166" s="116"/>
      <c r="AB166" t="str">
        <v>Alemania-Escocia·0|-</v>
      </c>
      <c r="AC166" s="83">
        <f t="shared" ca="1" si="188"/>
        <v>0</v>
      </c>
      <c r="AD166" s="116"/>
      <c r="AE166" t="str">
        <v>Alemania-Escocia·0|-</v>
      </c>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t="str">
        <v>Países Bajos-Marruecos</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t="str">
        <v>Países Bajos-Marruecos·0|-</v>
      </c>
      <c r="T167" s="83">
        <f t="shared" ca="1" si="196"/>
        <v>0</v>
      </c>
      <c r="U167" s="116"/>
      <c r="V167" t="str">
        <v>Países Bajos-Marruecos·X|1-1</v>
      </c>
      <c r="W167" s="83">
        <f t="shared" ca="1" si="188"/>
        <v>0</v>
      </c>
      <c r="X167" s="116"/>
      <c r="Y167" t="str">
        <v>Países Bajos-Marruecos·0|-</v>
      </c>
      <c r="Z167" s="83">
        <f t="shared" ca="1" si="188"/>
        <v>0</v>
      </c>
      <c r="AA167" s="116"/>
      <c r="AB167" t="str">
        <v>Países Bajos-Marruecos·0|-</v>
      </c>
      <c r="AC167" s="83">
        <f t="shared" ca="1" si="188"/>
        <v>0</v>
      </c>
      <c r="AD167" s="116"/>
      <c r="AE167" t="str">
        <v>Países Bajos-Marruecos·0|-</v>
      </c>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t="str">
        <v>Costa de Marfil-Noruega</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t="str">
        <v>Ecuador-Noruega·0|-</v>
      </c>
      <c r="T168" s="83">
        <f t="shared" ca="1" si="196"/>
        <v>0</v>
      </c>
      <c r="U168" s="116"/>
      <c r="V168" t="str">
        <v>Alemania-Noruega·1|3-2</v>
      </c>
      <c r="W168" s="83">
        <f t="shared" ca="1" si="188"/>
        <v>0</v>
      </c>
      <c r="X168" s="116"/>
      <c r="Y168" t="str">
        <v>Costa de Marfil-Noruega·0|-</v>
      </c>
      <c r="Z168" s="83">
        <f t="shared" ca="1" si="188"/>
        <v>0</v>
      </c>
      <c r="AA168" s="116"/>
      <c r="AB168" t="str">
        <v>Costa de Marfil-Senegal·0|-</v>
      </c>
      <c r="AC168" s="83">
        <f t="shared" ca="1" si="188"/>
        <v>0</v>
      </c>
      <c r="AD168" s="116"/>
      <c r="AE168" t="str">
        <v>Ecuador-Noruega·0|-</v>
      </c>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t="str">
        <v>Francia-Suecia</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t="str">
        <v>Francia-Túnez·0|-</v>
      </c>
      <c r="T169" s="83">
        <f t="shared" ca="1" si="196"/>
        <v>0</v>
      </c>
      <c r="U169" s="116"/>
      <c r="V169" t="str">
        <v>Francia-Suecia·1|3-0</v>
      </c>
      <c r="W169" s="83">
        <f t="shared" ca="1" si="188"/>
        <v>0</v>
      </c>
      <c r="X169" s="116"/>
      <c r="Y169" t="str">
        <v>Francia-Irán·0|-</v>
      </c>
      <c r="Z169" s="83">
        <f t="shared" ca="1" si="188"/>
        <v>0</v>
      </c>
      <c r="AA169" s="116"/>
      <c r="AB169" t="str">
        <v>Francia-Suecia·0|-</v>
      </c>
      <c r="AC169" s="83">
        <f t="shared" ca="1" si="188"/>
        <v>0</v>
      </c>
      <c r="AD169" s="116"/>
      <c r="AE169" t="str">
        <v>Francia-Japón·0|-</v>
      </c>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t="str">
        <v>México-Ecuador</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t="str">
        <v>República Checa-Arabia Saudita·0|-</v>
      </c>
      <c r="T170" s="83">
        <f t="shared" ca="1" si="196"/>
        <v>0</v>
      </c>
      <c r="U170" s="116"/>
      <c r="V170" t="str">
        <v>México-Escocia·1|1-0</v>
      </c>
      <c r="W170" s="83">
        <f t="shared" ca="1" si="188"/>
        <v>0</v>
      </c>
      <c r="X170" s="116"/>
      <c r="Y170" t="str">
        <v>Corea del Sur-Ecuador·0|-</v>
      </c>
      <c r="Z170" s="83">
        <f t="shared" ca="1" si="188"/>
        <v>0</v>
      </c>
      <c r="AA170" s="116"/>
      <c r="AB170" t="str">
        <v>México-Arabia Saudita·0|-</v>
      </c>
      <c r="AC170" s="83">
        <f t="shared" ca="1" si="188"/>
        <v>0</v>
      </c>
      <c r="AD170" s="116"/>
      <c r="AE170" t="str">
        <v>México-Costa de Marfil·0|-</v>
      </c>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t="str">
        <v>Inglaterra-RD Congo</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t="str">
        <v>Inglaterra-Senegal·0|-</v>
      </c>
      <c r="T171" s="83">
        <f t="shared" ca="1" si="196"/>
        <v>0</v>
      </c>
      <c r="U171" s="116"/>
      <c r="V171" t="str">
        <v>Inglaterra-Senegal·1|3-2</v>
      </c>
      <c r="W171" s="83">
        <f t="shared" ca="1" si="188"/>
        <v>0</v>
      </c>
      <c r="X171" s="116"/>
      <c r="Y171" t="str">
        <v>Inglaterra-RD Congo·0|-</v>
      </c>
      <c r="Z171" s="83">
        <f t="shared" ca="1" si="188"/>
        <v>0</v>
      </c>
      <c r="AA171" s="116"/>
      <c r="AB171" t="str">
        <v>Inglaterra-Noruega·0|-</v>
      </c>
      <c r="AC171" s="83">
        <f t="shared" ca="1" si="188"/>
        <v>0</v>
      </c>
      <c r="AD171" s="116"/>
      <c r="AE171" t="str">
        <v>Inglaterra-Uzbekistán·0|-</v>
      </c>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t="str">
        <v>Bélgica-Senegal</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t="str">
        <v>Bélgica-Sudáfrica·0|-</v>
      </c>
      <c r="T172" s="83">
        <f t="shared" ca="1" si="196"/>
        <v>0</v>
      </c>
      <c r="U172" s="116"/>
      <c r="V172" t="str">
        <v>Bélgica-Corea del Sur·1|1-0</v>
      </c>
      <c r="W172" s="83">
        <f t="shared" ca="1" si="188"/>
        <v>0</v>
      </c>
      <c r="X172" s="116"/>
      <c r="Y172" t="str">
        <v>Bélgica-Senegal·0|-</v>
      </c>
      <c r="Z172" s="83">
        <f t="shared" ca="1" si="188"/>
        <v>0</v>
      </c>
      <c r="AA172" s="116"/>
      <c r="AB172" t="str">
        <v>Bélgica-República Checa·0|-</v>
      </c>
      <c r="AC172" s="83">
        <f t="shared" ca="1" si="188"/>
        <v>0</v>
      </c>
      <c r="AD172" s="116"/>
      <c r="AE172" t="str">
        <v>Bélgica-República Checa·0|-</v>
      </c>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t="str">
        <v>Estados Unidos-Bosnia y Herzegovina</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t="str">
        <v>Turquía-Costa de Marfil·0|-</v>
      </c>
      <c r="T173" s="83">
        <f t="shared" ca="1" si="196"/>
        <v>0</v>
      </c>
      <c r="U173" s="116"/>
      <c r="V173" t="str">
        <v>Turquía-Costa de Marfil·X|1-1</v>
      </c>
      <c r="W173" s="83">
        <f t="shared" ca="1" si="188"/>
        <v>0</v>
      </c>
      <c r="X173" s="116"/>
      <c r="Y173" t="str">
        <v>Turquía-Canadá·0|-</v>
      </c>
      <c r="Z173" s="83">
        <f t="shared" ca="1" si="188"/>
        <v>0</v>
      </c>
      <c r="AA173" s="116"/>
      <c r="AB173" t="str">
        <v>Estados Unidos-Ecuador·0|-</v>
      </c>
      <c r="AC173" s="83">
        <f t="shared" ca="1" si="188"/>
        <v>0</v>
      </c>
      <c r="AD173" s="116"/>
      <c r="AE173" t="str">
        <v>Turquía-Bosnia y Herzegovina·0|-</v>
      </c>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t="str">
        <v>España-Austria</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t="str">
        <v>España-Austria·0|-</v>
      </c>
      <c r="T174" s="83">
        <f t="shared" ca="1" si="196"/>
        <v>0</v>
      </c>
      <c r="U174" s="116"/>
      <c r="V174" t="str">
        <v>España-Argentina·1|3-1</v>
      </c>
      <c r="W174" s="83">
        <f t="shared" ca="1" si="188"/>
        <v>0</v>
      </c>
      <c r="X174" s="116"/>
      <c r="Y174" t="str">
        <v>Uruguay-Argelia·0|-</v>
      </c>
      <c r="Z174" s="83">
        <f t="shared" ca="1" si="188"/>
        <v>0</v>
      </c>
      <c r="AA174" s="116"/>
      <c r="AB174" t="str">
        <v>España-Austria·0|-</v>
      </c>
      <c r="AC174" s="83">
        <f t="shared" ca="1" si="188"/>
        <v>0</v>
      </c>
      <c r="AD174" s="116"/>
      <c r="AE174" t="str">
        <v>España-Austria·0|-</v>
      </c>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t="str">
        <v>Portugal-Croacia</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t="str">
        <v>Portugal-Croacia·0|-</v>
      </c>
      <c r="T175" s="83">
        <f t="shared" ca="1" si="196"/>
        <v>0</v>
      </c>
      <c r="U175" s="116"/>
      <c r="V175" t="str">
        <v>Colombia-Ghana·1|1-0</v>
      </c>
      <c r="W175" s="83">
        <f t="shared" ca="1" si="188"/>
        <v>0</v>
      </c>
      <c r="X175" s="116"/>
      <c r="Y175" t="str">
        <v>Portugal-Croacia·0|-</v>
      </c>
      <c r="Z175" s="83">
        <f t="shared" ca="1" si="188"/>
        <v>0</v>
      </c>
      <c r="AA175" s="116"/>
      <c r="AB175" t="str">
        <v>Colombia-Croacia·0|-</v>
      </c>
      <c r="AC175" s="83">
        <f t="shared" ca="1" si="188"/>
        <v>0</v>
      </c>
      <c r="AD175" s="116"/>
      <c r="AE175" t="str">
        <v>Colombia-Croacia·0|-</v>
      </c>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t="str">
        <v>Suiza-Argelia</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t="str">
        <v>Suiza-Argelia·0|-</v>
      </c>
      <c r="T176" s="83">
        <f t="shared" ca="1" si="196"/>
        <v>0</v>
      </c>
      <c r="U176" s="116"/>
      <c r="V176" t="str">
        <v>Suiza-Argelia·X|1-1</v>
      </c>
      <c r="W176" s="83">
        <f t="shared" ca="1" si="188"/>
        <v>0</v>
      </c>
      <c r="X176" s="116"/>
      <c r="Y176" t="str">
        <v>Suiza-Austria·0|-</v>
      </c>
      <c r="Z176" s="83">
        <f t="shared" ca="1" si="188"/>
        <v>0</v>
      </c>
      <c r="AA176" s="116"/>
      <c r="AB176" t="str">
        <v>Suiza-Argelia·0|-</v>
      </c>
      <c r="AC176" s="83">
        <f t="shared" ca="1" si="188"/>
        <v>0</v>
      </c>
      <c r="AD176" s="116"/>
      <c r="AE176" t="str">
        <v>Suiza-Egipto·0|-</v>
      </c>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t="str">
        <v>Australia-Egipto</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t="str">
        <v>Estados Unidos-Egipto·0|-</v>
      </c>
      <c r="T177" s="83">
        <f t="shared" ca="1" si="196"/>
        <v>0</v>
      </c>
      <c r="U177" s="116"/>
      <c r="V177" t="str">
        <v>Paraguay-Egipto·2|0-1</v>
      </c>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t="str">
        <v>Paraguay-Egipto·0|-</v>
      </c>
      <c r="Z177" s="83">
        <f t="shared" ca="1" si="197"/>
        <v>0</v>
      </c>
      <c r="AA177" s="116"/>
      <c r="AB177" t="str">
        <v>Turquía-Egipto·0|-</v>
      </c>
      <c r="AC177" s="83">
        <f t="shared" ca="1" si="197"/>
        <v>0</v>
      </c>
      <c r="AD177" s="116"/>
      <c r="AE177" t="str">
        <v>Estados Unidos-Irán·0|-</v>
      </c>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t="str">
        <v>Argentina-Cabo Verde</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t="str">
        <v>Argentina-Uruguay·0|-</v>
      </c>
      <c r="T178" s="83">
        <f t="shared" ca="1" si="196"/>
        <v>0</v>
      </c>
      <c r="U178" s="116"/>
      <c r="V178" t="str">
        <v>Austria-Uruguay·1|2-0</v>
      </c>
      <c r="W178" s="83">
        <f t="shared" ca="1" si="197"/>
        <v>0</v>
      </c>
      <c r="X178" s="116"/>
      <c r="Y178" t="str">
        <v>Argentina-España·0|-</v>
      </c>
      <c r="Z178" s="83">
        <f t="shared" ca="1" si="197"/>
        <v>0</v>
      </c>
      <c r="AA178" s="116"/>
      <c r="AB178" t="str">
        <v>Argentina-Uruguay·0|-</v>
      </c>
      <c r="AC178" s="83">
        <f t="shared" ca="1" si="197"/>
        <v>0</v>
      </c>
      <c r="AD178" s="116"/>
      <c r="AE178" t="str">
        <v>Argentina-Uruguay·0|-</v>
      </c>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t="str">
        <v>Colombia-Ghana</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t="str">
        <v>Colombia-Paraguay·0|-</v>
      </c>
      <c r="T179" s="87">
        <f t="shared" ca="1" si="196"/>
        <v>0</v>
      </c>
      <c r="U179" s="116"/>
      <c r="V179" t="str">
        <v>Portugal-Croacia·1|3-1</v>
      </c>
      <c r="W179" s="87">
        <f t="shared" ca="1" si="197"/>
        <v>0</v>
      </c>
      <c r="X179" s="116"/>
      <c r="Y179" t="str">
        <v>Colombia-Ghana·0|-</v>
      </c>
      <c r="Z179" s="87">
        <f t="shared" ca="1" si="197"/>
        <v>0</v>
      </c>
      <c r="AA179" s="116"/>
      <c r="AB179" t="str">
        <v>Portugal-Ghana·0|-</v>
      </c>
      <c r="AC179" s="87">
        <f t="shared" ca="1" si="197"/>
        <v>0</v>
      </c>
      <c r="AD179" s="116"/>
      <c r="AE179" t="str">
        <v>Portugal-Senegal·0|-</v>
      </c>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t="str">
        <v>W73</v>
      </c>
      <c r="T182" s="83">
        <f t="shared" ref="T182:T197" si="202">COUNTIF($M$182:$M$197,S182)*$D$19</f>
        <v>0</v>
      </c>
      <c r="U182" s="70"/>
      <c r="V182" t="str">
        <v>Bosnia y Herzegovina</v>
      </c>
      <c r="W182" s="83">
        <f t="shared" ref="W182:W197" si="203">COUNTIF($M$182:$M$197,V182)*$D$19</f>
        <v>0</v>
      </c>
      <c r="X182" s="70"/>
      <c r="Y182" t="str">
        <v>W73</v>
      </c>
      <c r="Z182" s="83">
        <f t="shared" ref="Z182:Z197" si="204">COUNTIF($M$182:$M$197,Y182)*$D$19</f>
        <v>0</v>
      </c>
      <c r="AA182" s="70"/>
      <c r="AB182" t="str">
        <v>W73</v>
      </c>
      <c r="AC182" s="83">
        <f t="shared" ref="AC182:AC197" si="205">COUNTIF($M$182:$M$197,AB182)*$D$19</f>
        <v>0</v>
      </c>
      <c r="AD182" s="70"/>
      <c r="AE182" t="str">
        <v>W73</v>
      </c>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t="str">
        <v>W74</v>
      </c>
      <c r="T183" s="79">
        <f t="shared" si="202"/>
        <v>0</v>
      </c>
      <c r="U183" s="70"/>
      <c r="V183" t="str">
        <v>Ecuador</v>
      </c>
      <c r="W183" s="79">
        <f t="shared" si="203"/>
        <v>0</v>
      </c>
      <c r="X183" s="70"/>
      <c r="Y183" t="str">
        <v>W74</v>
      </c>
      <c r="Z183" s="79">
        <f t="shared" si="204"/>
        <v>0</v>
      </c>
      <c r="AA183" s="70"/>
      <c r="AB183" t="str">
        <v>W74</v>
      </c>
      <c r="AC183" s="79">
        <f t="shared" si="205"/>
        <v>0</v>
      </c>
      <c r="AD183" s="70"/>
      <c r="AE183" t="str">
        <v>W74</v>
      </c>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t="str">
        <v>W76</v>
      </c>
      <c r="T184" s="79">
        <f t="shared" si="202"/>
        <v>0</v>
      </c>
      <c r="U184" s="70"/>
      <c r="V184" t="str">
        <v>Brasil</v>
      </c>
      <c r="W184" s="79">
        <f t="shared" si="203"/>
        <v>0</v>
      </c>
      <c r="X184" s="70"/>
      <c r="Y184" t="str">
        <v>W76</v>
      </c>
      <c r="Z184" s="79">
        <f t="shared" si="204"/>
        <v>0</v>
      </c>
      <c r="AA184" s="70"/>
      <c r="AB184" t="str">
        <v>W76</v>
      </c>
      <c r="AC184" s="79">
        <f t="shared" si="205"/>
        <v>0</v>
      </c>
      <c r="AD184" s="70"/>
      <c r="AE184" t="str">
        <v>W76</v>
      </c>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t="str">
        <v>W79</v>
      </c>
      <c r="T185" s="79">
        <f t="shared" si="202"/>
        <v>0</v>
      </c>
      <c r="U185" s="70"/>
      <c r="V185" t="str">
        <v>México</v>
      </c>
      <c r="W185" s="79">
        <f t="shared" si="203"/>
        <v>0</v>
      </c>
      <c r="X185" s="70"/>
      <c r="Y185" t="str">
        <v>W79</v>
      </c>
      <c r="Z185" s="79">
        <f t="shared" si="204"/>
        <v>0</v>
      </c>
      <c r="AA185" s="70"/>
      <c r="AB185" t="str">
        <v>W79</v>
      </c>
      <c r="AC185" s="79">
        <f t="shared" si="205"/>
        <v>0</v>
      </c>
      <c r="AD185" s="70"/>
      <c r="AE185" t="str">
        <v>W79</v>
      </c>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t="str">
        <v>W83</v>
      </c>
      <c r="T186" s="79">
        <f t="shared" si="202"/>
        <v>0</v>
      </c>
      <c r="U186" s="70"/>
      <c r="V186" t="str">
        <v>Colombia</v>
      </c>
      <c r="W186" s="79">
        <f t="shared" si="203"/>
        <v>0</v>
      </c>
      <c r="X186" s="70"/>
      <c r="Y186" t="str">
        <v>W83</v>
      </c>
      <c r="Z186" s="79">
        <f t="shared" si="204"/>
        <v>0</v>
      </c>
      <c r="AA186" s="70"/>
      <c r="AB186" t="str">
        <v>W83</v>
      </c>
      <c r="AC186" s="79">
        <f t="shared" si="205"/>
        <v>0</v>
      </c>
      <c r="AD186" s="70"/>
      <c r="AE186" t="str">
        <v>W83</v>
      </c>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t="str">
        <v>W81</v>
      </c>
      <c r="T187" s="79">
        <f t="shared" si="202"/>
        <v>0</v>
      </c>
      <c r="U187" s="70"/>
      <c r="V187" t="str">
        <v>Turquía</v>
      </c>
      <c r="W187" s="79">
        <f t="shared" si="203"/>
        <v>0</v>
      </c>
      <c r="X187" s="70"/>
      <c r="Y187" t="str">
        <v>W81</v>
      </c>
      <c r="Z187" s="79">
        <f t="shared" si="204"/>
        <v>0</v>
      </c>
      <c r="AA187" s="70"/>
      <c r="AB187" t="str">
        <v>W81</v>
      </c>
      <c r="AC187" s="79">
        <f t="shared" si="205"/>
        <v>0</v>
      </c>
      <c r="AD187" s="70"/>
      <c r="AE187" t="str">
        <v>W81</v>
      </c>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t="str">
        <v>W86</v>
      </c>
      <c r="T188" s="79">
        <f t="shared" si="202"/>
        <v>0</v>
      </c>
      <c r="U188" s="70"/>
      <c r="V188" t="str">
        <v>Austria</v>
      </c>
      <c r="W188" s="79">
        <f t="shared" si="203"/>
        <v>0</v>
      </c>
      <c r="X188" s="70"/>
      <c r="Y188" t="str">
        <v>W86</v>
      </c>
      <c r="Z188" s="79">
        <f t="shared" si="204"/>
        <v>0</v>
      </c>
      <c r="AA188" s="70"/>
      <c r="AB188" t="str">
        <v>W86</v>
      </c>
      <c r="AC188" s="79">
        <f t="shared" si="205"/>
        <v>0</v>
      </c>
      <c r="AD188" s="70"/>
      <c r="AE188" t="str">
        <v>W86</v>
      </c>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t="str">
        <v>W85</v>
      </c>
      <c r="T189" s="79">
        <f t="shared" si="202"/>
        <v>0</v>
      </c>
      <c r="U189" s="70"/>
      <c r="V189" t="str">
        <v>Suiza</v>
      </c>
      <c r="W189" s="79">
        <f t="shared" si="203"/>
        <v>0</v>
      </c>
      <c r="X189" s="70"/>
      <c r="Y189" t="str">
        <v>W85</v>
      </c>
      <c r="Z189" s="79">
        <f t="shared" si="204"/>
        <v>0</v>
      </c>
      <c r="AA189" s="70"/>
      <c r="AB189" t="str">
        <v>W85</v>
      </c>
      <c r="AC189" s="79">
        <f t="shared" si="205"/>
        <v>0</v>
      </c>
      <c r="AD189" s="70"/>
      <c r="AE189" t="str">
        <v>W85</v>
      </c>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t="str">
        <v>W75</v>
      </c>
      <c r="T190" s="79">
        <f t="shared" si="202"/>
        <v>0</v>
      </c>
      <c r="U190" s="70"/>
      <c r="V190" t="str">
        <v>Países Bajos</v>
      </c>
      <c r="W190" s="79">
        <f t="shared" si="203"/>
        <v>0</v>
      </c>
      <c r="X190" s="70"/>
      <c r="Y190" t="str">
        <v>W75</v>
      </c>
      <c r="Z190" s="79">
        <f t="shared" si="204"/>
        <v>0</v>
      </c>
      <c r="AA190" s="70"/>
      <c r="AB190" t="str">
        <v>W75</v>
      </c>
      <c r="AC190" s="79">
        <f t="shared" si="205"/>
        <v>0</v>
      </c>
      <c r="AD190" s="70"/>
      <c r="AE190" t="str">
        <v>W75</v>
      </c>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t="str">
        <v>W77</v>
      </c>
      <c r="T191" s="79">
        <f t="shared" si="202"/>
        <v>0</v>
      </c>
      <c r="U191" s="70"/>
      <c r="V191" t="str">
        <v>Francia</v>
      </c>
      <c r="W191" s="79">
        <f t="shared" si="203"/>
        <v>0</v>
      </c>
      <c r="X191" s="70"/>
      <c r="Y191" t="str">
        <v>W77</v>
      </c>
      <c r="Z191" s="79">
        <f t="shared" si="204"/>
        <v>0</v>
      </c>
      <c r="AA191" s="70"/>
      <c r="AB191" t="str">
        <v>W77</v>
      </c>
      <c r="AC191" s="79">
        <f t="shared" si="205"/>
        <v>0</v>
      </c>
      <c r="AD191" s="70"/>
      <c r="AE191" t="str">
        <v>W77</v>
      </c>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t="str">
        <v>W78</v>
      </c>
      <c r="T192" s="79">
        <f t="shared" si="202"/>
        <v>0</v>
      </c>
      <c r="U192" s="70"/>
      <c r="V192" t="str">
        <v>Alemania</v>
      </c>
      <c r="W192" s="79">
        <f t="shared" si="203"/>
        <v>0</v>
      </c>
      <c r="X192" s="70"/>
      <c r="Y192" t="str">
        <v>W78</v>
      </c>
      <c r="Z192" s="79">
        <f t="shared" si="204"/>
        <v>0</v>
      </c>
      <c r="AA192" s="70"/>
      <c r="AB192" t="str">
        <v>W78</v>
      </c>
      <c r="AC192" s="79">
        <f t="shared" si="205"/>
        <v>0</v>
      </c>
      <c r="AD192" s="70"/>
      <c r="AE192" t="str">
        <v>W78</v>
      </c>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t="str">
        <v>W80</v>
      </c>
      <c r="T193" s="79">
        <f t="shared" si="202"/>
        <v>0</v>
      </c>
      <c r="U193" s="70"/>
      <c r="V193" t="str">
        <v>Inglaterra</v>
      </c>
      <c r="W193" s="79">
        <f t="shared" si="203"/>
        <v>0</v>
      </c>
      <c r="X193" s="70"/>
      <c r="Y193" t="str">
        <v>W80</v>
      </c>
      <c r="Z193" s="79">
        <f t="shared" si="204"/>
        <v>0</v>
      </c>
      <c r="AA193" s="70"/>
      <c r="AB193" t="str">
        <v>W80</v>
      </c>
      <c r="AC193" s="79">
        <f t="shared" si="205"/>
        <v>0</v>
      </c>
      <c r="AD193" s="70"/>
      <c r="AE193" t="str">
        <v>W80</v>
      </c>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t="str">
        <v>W84</v>
      </c>
      <c r="T194" s="79">
        <f t="shared" si="202"/>
        <v>0</v>
      </c>
      <c r="U194" s="70"/>
      <c r="V194" t="str">
        <v>España</v>
      </c>
      <c r="W194" s="79">
        <f t="shared" si="203"/>
        <v>0</v>
      </c>
      <c r="X194" s="70"/>
      <c r="Y194" t="str">
        <v>W84</v>
      </c>
      <c r="Z194" s="79">
        <f t="shared" si="204"/>
        <v>0</v>
      </c>
      <c r="AA194" s="70"/>
      <c r="AB194" t="str">
        <v>W84</v>
      </c>
      <c r="AC194" s="79">
        <f t="shared" si="205"/>
        <v>0</v>
      </c>
      <c r="AD194" s="70"/>
      <c r="AE194" t="str">
        <v>W84</v>
      </c>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t="str">
        <v>W82</v>
      </c>
      <c r="T195" s="79">
        <f t="shared" si="202"/>
        <v>0</v>
      </c>
      <c r="U195" s="70"/>
      <c r="V195" t="str">
        <v>Bélgica</v>
      </c>
      <c r="W195" s="79">
        <f t="shared" si="203"/>
        <v>0</v>
      </c>
      <c r="X195" s="70"/>
      <c r="Y195" t="str">
        <v>W82</v>
      </c>
      <c r="Z195" s="79">
        <f t="shared" si="204"/>
        <v>0</v>
      </c>
      <c r="AA195" s="70"/>
      <c r="AB195" t="str">
        <v>W82</v>
      </c>
      <c r="AC195" s="79">
        <f t="shared" si="205"/>
        <v>0</v>
      </c>
      <c r="AD195" s="70"/>
      <c r="AE195" t="str">
        <v>W82</v>
      </c>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t="str">
        <v>W88</v>
      </c>
      <c r="T196" s="79">
        <f t="shared" si="202"/>
        <v>0</v>
      </c>
      <c r="U196" s="70"/>
      <c r="V196" t="str">
        <v>Egipto</v>
      </c>
      <c r="W196" s="79">
        <f t="shared" si="203"/>
        <v>0</v>
      </c>
      <c r="X196" s="70"/>
      <c r="Y196" t="str">
        <v>W88</v>
      </c>
      <c r="Z196" s="79">
        <f t="shared" si="204"/>
        <v>0</v>
      </c>
      <c r="AA196" s="70"/>
      <c r="AB196" t="str">
        <v>W88</v>
      </c>
      <c r="AC196" s="79">
        <f t="shared" si="205"/>
        <v>0</v>
      </c>
      <c r="AD196" s="70"/>
      <c r="AE196" t="str">
        <v>W88</v>
      </c>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t="str">
        <v>W87</v>
      </c>
      <c r="T197" s="87">
        <f t="shared" si="202"/>
        <v>0</v>
      </c>
      <c r="U197" s="70"/>
      <c r="V197" t="str">
        <v>Portugal</v>
      </c>
      <c r="W197" s="87">
        <f t="shared" si="203"/>
        <v>0</v>
      </c>
      <c r="X197" s="70"/>
      <c r="Y197" t="str">
        <v>W87</v>
      </c>
      <c r="Z197" s="87">
        <f t="shared" si="204"/>
        <v>0</v>
      </c>
      <c r="AA197" s="70"/>
      <c r="AB197" t="str">
        <v>W87</v>
      </c>
      <c r="AC197" s="87">
        <f t="shared" si="205"/>
        <v>0</v>
      </c>
      <c r="AD197" s="70"/>
      <c r="AE197" t="str">
        <v>W87</v>
      </c>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t="str">
        <v>W73-W75·0|-</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t="str">
        <v>Bosnia y Herzegovina-Países Bajos·X|1-1</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t="str">
        <v>W73-W75·0|-</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t="str">
        <v>W73-W75·0|-</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t="str">
        <v>W73-W75·0|-</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t="str">
        <v>W74-W77·0|-</v>
      </c>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t="str">
        <v>Ecuador-Francia·X|2-2</v>
      </c>
      <c r="W201" s="79">
        <f t="shared" si="215"/>
        <v>0</v>
      </c>
      <c r="X201" s="116"/>
      <c r="Y201" t="str">
        <v>W74-W77·0|-</v>
      </c>
      <c r="Z201" s="79">
        <f t="shared" si="215"/>
        <v>0</v>
      </c>
      <c r="AA201" s="116"/>
      <c r="AB201" t="str">
        <v>W74-W77·0|-</v>
      </c>
      <c r="AC201" s="79">
        <f t="shared" si="215"/>
        <v>0</v>
      </c>
      <c r="AD201" s="116"/>
      <c r="AE201" t="str">
        <v>W74-W77·0|-</v>
      </c>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t="str">
        <v>W76-W78·0|-</v>
      </c>
      <c r="T202" s="79">
        <f t="shared" si="220"/>
        <v>0</v>
      </c>
      <c r="U202" s="116"/>
      <c r="V202" t="str">
        <v>Brasil-Alemania·2|1-2</v>
      </c>
      <c r="W202" s="79">
        <f t="shared" si="215"/>
        <v>0</v>
      </c>
      <c r="X202" s="116"/>
      <c r="Y202" t="str">
        <v>W76-W78·0|-</v>
      </c>
      <c r="Z202" s="79">
        <f t="shared" si="215"/>
        <v>0</v>
      </c>
      <c r="AA202" s="116"/>
      <c r="AB202" t="str">
        <v>W76-W78·0|-</v>
      </c>
      <c r="AC202" s="79">
        <f t="shared" si="215"/>
        <v>0</v>
      </c>
      <c r="AD202" s="116"/>
      <c r="AE202" t="str">
        <v>W76-W78·0|-</v>
      </c>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t="str">
        <v>W79-W80·0|-</v>
      </c>
      <c r="T203" s="79">
        <f t="shared" si="220"/>
        <v>0</v>
      </c>
      <c r="U203" s="116"/>
      <c r="V203" t="str">
        <v>México-Inglaterra·2|0-2</v>
      </c>
      <c r="W203" s="79">
        <f t="shared" si="215"/>
        <v>0</v>
      </c>
      <c r="X203" s="116"/>
      <c r="Y203" t="str">
        <v>W79-W80·0|-</v>
      </c>
      <c r="Z203" s="79">
        <f t="shared" si="215"/>
        <v>0</v>
      </c>
      <c r="AA203" s="116"/>
      <c r="AB203" t="str">
        <v>W79-W80·0|-</v>
      </c>
      <c r="AC203" s="79">
        <f t="shared" si="215"/>
        <v>0</v>
      </c>
      <c r="AD203" s="116"/>
      <c r="AE203" t="str">
        <v>W79-W80·0|-</v>
      </c>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t="str">
        <v>W83-W84·0|-</v>
      </c>
      <c r="T204" s="79">
        <f t="shared" si="220"/>
        <v>0</v>
      </c>
      <c r="U204" s="116"/>
      <c r="V204" t="str">
        <v>Colombia-España·2|0-3</v>
      </c>
      <c r="W204" s="79">
        <f t="shared" si="215"/>
        <v>0</v>
      </c>
      <c r="X204" s="116"/>
      <c r="Y204" t="str">
        <v>W83-W84·0|-</v>
      </c>
      <c r="Z204" s="79">
        <f t="shared" si="215"/>
        <v>0</v>
      </c>
      <c r="AA204" s="116"/>
      <c r="AB204" t="str">
        <v>W83-W84·0|-</v>
      </c>
      <c r="AC204" s="79">
        <f t="shared" si="215"/>
        <v>0</v>
      </c>
      <c r="AD204" s="116"/>
      <c r="AE204" t="str">
        <v>W83-W84·0|-</v>
      </c>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t="str">
        <v>W81-W82·0|-</v>
      </c>
      <c r="T205" s="79">
        <f t="shared" si="220"/>
        <v>0</v>
      </c>
      <c r="U205" s="116"/>
      <c r="V205" t="str">
        <v>Turquía-Bélgica·1|2-1</v>
      </c>
      <c r="W205" s="79">
        <f t="shared" si="215"/>
        <v>0</v>
      </c>
      <c r="X205" s="116"/>
      <c r="Y205" t="str">
        <v>W81-W82·0|-</v>
      </c>
      <c r="Z205" s="79">
        <f t="shared" si="215"/>
        <v>0</v>
      </c>
      <c r="AA205" s="116"/>
      <c r="AB205" t="str">
        <v>W81-W82·0|-</v>
      </c>
      <c r="AC205" s="79">
        <f t="shared" si="215"/>
        <v>0</v>
      </c>
      <c r="AD205" s="116"/>
      <c r="AE205" t="str">
        <v>W81-W82·0|-</v>
      </c>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t="str">
        <v>W86-W88·0|-</v>
      </c>
      <c r="T206" s="79">
        <f t="shared" si="220"/>
        <v>0</v>
      </c>
      <c r="U206" s="116"/>
      <c r="V206" t="str">
        <v>Austria-Egipto·X|0-0</v>
      </c>
      <c r="W206" s="79">
        <f t="shared" si="215"/>
        <v>0</v>
      </c>
      <c r="X206" s="116"/>
      <c r="Y206" t="str">
        <v>W86-W88·0|-</v>
      </c>
      <c r="Z206" s="79">
        <f t="shared" si="215"/>
        <v>0</v>
      </c>
      <c r="AA206" s="116"/>
      <c r="AB206" t="str">
        <v>W86-W88·0|-</v>
      </c>
      <c r="AC206" s="79">
        <f t="shared" si="215"/>
        <v>0</v>
      </c>
      <c r="AD206" s="116"/>
      <c r="AE206" t="str">
        <v>W86-W88·0|-</v>
      </c>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t="str">
        <v>W85-W87·0|-</v>
      </c>
      <c r="T207" s="91">
        <f t="shared" si="220"/>
        <v>0</v>
      </c>
      <c r="U207" s="116"/>
      <c r="V207" t="str">
        <v>Suiza-Portugal·2|1-2</v>
      </c>
      <c r="W207" s="91">
        <f t="shared" si="215"/>
        <v>0</v>
      </c>
      <c r="X207" s="116"/>
      <c r="Y207" t="str">
        <v>W85-W87·0|-</v>
      </c>
      <c r="Z207" s="91">
        <f t="shared" si="215"/>
        <v>0</v>
      </c>
      <c r="AA207" s="116"/>
      <c r="AB207" t="str">
        <v>W85-W87·0|-</v>
      </c>
      <c r="AC207" s="91">
        <f t="shared" si="215"/>
        <v>0</v>
      </c>
      <c r="AD207" s="116"/>
      <c r="AE207" t="str">
        <v>W85-W87·0|-</v>
      </c>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t="str">
        <v>W89</v>
      </c>
      <c r="T210" s="83">
        <f t="shared" ref="T210:T217" si="225">COUNTIF($M$210:$M$217,S210)*$D$23</f>
        <v>0</v>
      </c>
      <c r="U210" s="116"/>
      <c r="V210" t="str">
        <v>Ecuador</v>
      </c>
      <c r="W210" s="83">
        <f t="shared" ref="W210:W217" si="226">COUNTIF($M$210:$M$217,V210)*$D$23</f>
        <v>0</v>
      </c>
      <c r="X210" s="116"/>
      <c r="Y210" t="str">
        <v>W89</v>
      </c>
      <c r="Z210" s="83">
        <f t="shared" ref="Z210:Z217" si="227">COUNTIF($M$210:$M$217,Y210)*$D$23</f>
        <v>0</v>
      </c>
      <c r="AA210" s="116"/>
      <c r="AB210" t="str">
        <v>W89</v>
      </c>
      <c r="AC210" s="83">
        <f t="shared" ref="AC210:AC217" si="228">COUNTIF($M$210:$M$217,AB210)*$D$23</f>
        <v>0</v>
      </c>
      <c r="AD210" s="116"/>
      <c r="AE210" t="str">
        <v>W89</v>
      </c>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t="str">
        <v>W93</v>
      </c>
      <c r="T211" s="79">
        <f t="shared" si="225"/>
        <v>0</v>
      </c>
      <c r="U211" s="116"/>
      <c r="V211" t="str">
        <v>España</v>
      </c>
      <c r="W211" s="79">
        <f t="shared" si="226"/>
        <v>0</v>
      </c>
      <c r="X211" s="116"/>
      <c r="Y211" t="str">
        <v>W93</v>
      </c>
      <c r="Z211" s="79">
        <f t="shared" si="227"/>
        <v>0</v>
      </c>
      <c r="AA211" s="116"/>
      <c r="AB211" t="str">
        <v>W93</v>
      </c>
      <c r="AC211" s="79">
        <f t="shared" si="228"/>
        <v>0</v>
      </c>
      <c r="AD211" s="116"/>
      <c r="AE211" t="str">
        <v>W93</v>
      </c>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t="str">
        <v>W91</v>
      </c>
      <c r="T212" s="79">
        <f t="shared" si="225"/>
        <v>0</v>
      </c>
      <c r="U212" s="116"/>
      <c r="V212" t="str">
        <v>Alemania</v>
      </c>
      <c r="W212" s="79">
        <f t="shared" si="226"/>
        <v>0</v>
      </c>
      <c r="X212" s="116"/>
      <c r="Y212" t="str">
        <v>W91</v>
      </c>
      <c r="Z212" s="79">
        <f t="shared" si="227"/>
        <v>0</v>
      </c>
      <c r="AA212" s="116"/>
      <c r="AB212" t="str">
        <v>W91</v>
      </c>
      <c r="AC212" s="79">
        <f t="shared" si="228"/>
        <v>0</v>
      </c>
      <c r="AD212" s="116"/>
      <c r="AE212" t="str">
        <v>W91</v>
      </c>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t="str">
        <v>W95</v>
      </c>
      <c r="T213" s="79">
        <f t="shared" si="225"/>
        <v>0</v>
      </c>
      <c r="U213" s="116"/>
      <c r="V213" t="str">
        <v>Austria</v>
      </c>
      <c r="W213" s="79">
        <f t="shared" si="226"/>
        <v>0</v>
      </c>
      <c r="X213" s="116"/>
      <c r="Y213" t="str">
        <v>W95</v>
      </c>
      <c r="Z213" s="79">
        <f t="shared" si="227"/>
        <v>0</v>
      </c>
      <c r="AA213" s="116"/>
      <c r="AB213" t="str">
        <v>W95</v>
      </c>
      <c r="AC213" s="79">
        <f t="shared" si="228"/>
        <v>0</v>
      </c>
      <c r="AD213" s="116"/>
      <c r="AE213" t="str">
        <v>W95</v>
      </c>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t="str">
        <v>W90</v>
      </c>
      <c r="T214" s="79">
        <f t="shared" si="225"/>
        <v>0</v>
      </c>
      <c r="U214" s="116"/>
      <c r="V214" t="str">
        <v>Países Bajos</v>
      </c>
      <c r="W214" s="79">
        <f t="shared" si="226"/>
        <v>0</v>
      </c>
      <c r="X214" s="116"/>
      <c r="Y214" t="str">
        <v>W90</v>
      </c>
      <c r="Z214" s="79">
        <f t="shared" si="227"/>
        <v>0</v>
      </c>
      <c r="AA214" s="116"/>
      <c r="AB214" t="str">
        <v>W90</v>
      </c>
      <c r="AC214" s="79">
        <f t="shared" si="228"/>
        <v>0</v>
      </c>
      <c r="AD214" s="116"/>
      <c r="AE214" t="str">
        <v>W90</v>
      </c>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t="str">
        <v>W94</v>
      </c>
      <c r="T215" s="79">
        <f t="shared" si="225"/>
        <v>0</v>
      </c>
      <c r="U215" s="116"/>
      <c r="V215" t="str">
        <v>Turquía</v>
      </c>
      <c r="W215" s="79">
        <f t="shared" si="226"/>
        <v>0</v>
      </c>
      <c r="X215" s="116"/>
      <c r="Y215" t="str">
        <v>W94</v>
      </c>
      <c r="Z215" s="79">
        <f t="shared" si="227"/>
        <v>0</v>
      </c>
      <c r="AA215" s="116"/>
      <c r="AB215" t="str">
        <v>W94</v>
      </c>
      <c r="AC215" s="79">
        <f t="shared" si="228"/>
        <v>0</v>
      </c>
      <c r="AD215" s="116"/>
      <c r="AE215" t="str">
        <v>W94</v>
      </c>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t="str">
        <v>W92</v>
      </c>
      <c r="T216" s="79">
        <f t="shared" si="225"/>
        <v>0</v>
      </c>
      <c r="U216" s="116"/>
      <c r="V216" t="str">
        <v>Inglaterra</v>
      </c>
      <c r="W216" s="79">
        <f t="shared" si="226"/>
        <v>0</v>
      </c>
      <c r="X216" s="116"/>
      <c r="Y216" t="str">
        <v>W92</v>
      </c>
      <c r="Z216" s="79">
        <f t="shared" si="227"/>
        <v>0</v>
      </c>
      <c r="AA216" s="116"/>
      <c r="AB216" t="str">
        <v>W92</v>
      </c>
      <c r="AC216" s="79">
        <f t="shared" si="228"/>
        <v>0</v>
      </c>
      <c r="AD216" s="116"/>
      <c r="AE216" t="str">
        <v>W92</v>
      </c>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t="str">
        <v>W96</v>
      </c>
      <c r="T217" s="87">
        <f t="shared" si="225"/>
        <v>0</v>
      </c>
      <c r="U217" s="116"/>
      <c r="V217" t="str">
        <v>Portugal</v>
      </c>
      <c r="W217" s="87">
        <f t="shared" si="226"/>
        <v>0</v>
      </c>
      <c r="X217" s="116"/>
      <c r="Y217" t="str">
        <v>W96</v>
      </c>
      <c r="Z217" s="87">
        <f t="shared" si="227"/>
        <v>0</v>
      </c>
      <c r="AA217" s="116"/>
      <c r="AB217" t="str">
        <v>W96</v>
      </c>
      <c r="AC217" s="87">
        <f t="shared" si="228"/>
        <v>0</v>
      </c>
      <c r="AD217" s="116"/>
      <c r="AE217" t="str">
        <v>W96</v>
      </c>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t="str">
        <v>W89-W90·0|-</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t="str">
        <v>Ecuador-Países Bajos·2|0-1</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t="str">
        <v>W89-W90·0|-</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t="str">
        <v>W89-W90·0|-</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t="str">
        <v>W89-W90·0|-</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t="str">
        <v>W93-W94·0|-</v>
      </c>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t="str">
        <v>España-Turquía·1|3-1</v>
      </c>
      <c r="W221" s="83">
        <f t="shared" si="237"/>
        <v>0</v>
      </c>
      <c r="X221" s="116"/>
      <c r="Y221" t="str">
        <v>W93-W94·0|-</v>
      </c>
      <c r="Z221" s="83">
        <f t="shared" si="237"/>
        <v>0</v>
      </c>
      <c r="AA221" s="116"/>
      <c r="AB221" t="str">
        <v>W93-W94·0|-</v>
      </c>
      <c r="AC221" s="83">
        <f t="shared" si="237"/>
        <v>0</v>
      </c>
      <c r="AD221" s="116"/>
      <c r="AE221" t="str">
        <v>W93-W94·0|-</v>
      </c>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t="str">
        <v>W91-W92·0|-</v>
      </c>
      <c r="T222" s="83">
        <f t="shared" si="242"/>
        <v>0</v>
      </c>
      <c r="U222" s="116"/>
      <c r="V222" t="str">
        <v>Alemania-Inglaterra·1|2-1</v>
      </c>
      <c r="W222" s="83">
        <f t="shared" si="237"/>
        <v>0</v>
      </c>
      <c r="X222" s="116"/>
      <c r="Y222" t="str">
        <v>W91-W92·0|-</v>
      </c>
      <c r="Z222" s="83">
        <f t="shared" si="237"/>
        <v>0</v>
      </c>
      <c r="AA222" s="116"/>
      <c r="AB222" t="str">
        <v>W91-W92·0|-</v>
      </c>
      <c r="AC222" s="83">
        <f t="shared" si="237"/>
        <v>0</v>
      </c>
      <c r="AD222" s="116"/>
      <c r="AE222" t="str">
        <v>W91-W92·0|-</v>
      </c>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t="str">
        <v>W95-W96·0|-</v>
      </c>
      <c r="T223" s="87">
        <f t="shared" si="242"/>
        <v>0</v>
      </c>
      <c r="U223" s="116"/>
      <c r="V223" t="str">
        <v>Austria-Portugal·2|0-2</v>
      </c>
      <c r="W223" s="87">
        <f t="shared" si="237"/>
        <v>0</v>
      </c>
      <c r="X223" s="116"/>
      <c r="Y223" t="str">
        <v>W95-W96·0|-</v>
      </c>
      <c r="Z223" s="87">
        <f t="shared" si="237"/>
        <v>0</v>
      </c>
      <c r="AA223" s="116"/>
      <c r="AB223" t="str">
        <v>W95-W96·0|-</v>
      </c>
      <c r="AC223" s="87">
        <f t="shared" si="237"/>
        <v>0</v>
      </c>
      <c r="AD223" s="116"/>
      <c r="AE223" t="str">
        <v>W95-W96·0|-</v>
      </c>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t="str">
        <v>W97</v>
      </c>
      <c r="T226" s="83">
        <f>COUNTIF($M$226:$M$229,S226)*$D$27</f>
        <v>0</v>
      </c>
      <c r="U226" s="70"/>
      <c r="V226" t="str">
        <v>Países Bajos</v>
      </c>
      <c r="W226" s="83">
        <f t="shared" ref="W226" si="247">COUNTIF($M$226:$M$229,V226)*$D$27</f>
        <v>0</v>
      </c>
      <c r="X226" s="70"/>
      <c r="Y226" t="str">
        <v>W97</v>
      </c>
      <c r="Z226" s="83">
        <f t="shared" ref="Z226" si="248">COUNTIF($M$226:$M$229,Y226)*$D$27</f>
        <v>0</v>
      </c>
      <c r="AA226" s="70"/>
      <c r="AB226" t="str">
        <v>W97</v>
      </c>
      <c r="AC226" s="83">
        <f t="shared" ref="AC226" si="249">COUNTIF($M$226:$M$229,AB226)*$D$27</f>
        <v>0</v>
      </c>
      <c r="AD226" s="70"/>
      <c r="AE226" t="str">
        <v>W97</v>
      </c>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t="str">
        <v>W99</v>
      </c>
      <c r="T227" s="79">
        <f>COUNTIF($M$226:$M$229,S227)*$D$27</f>
        <v>0</v>
      </c>
      <c r="U227" s="70"/>
      <c r="V227" t="str">
        <v>Alemania</v>
      </c>
      <c r="W227" s="79">
        <f t="shared" ref="W227" si="252">COUNTIF($M$226:$M$229,V227)*$D$27</f>
        <v>0</v>
      </c>
      <c r="X227" s="70"/>
      <c r="Y227" t="str">
        <v>W99</v>
      </c>
      <c r="Z227" s="79">
        <f t="shared" ref="Z227" si="253">COUNTIF($M$226:$M$229,Y227)*$D$27</f>
        <v>0</v>
      </c>
      <c r="AA227" s="70"/>
      <c r="AB227" t="str">
        <v>W99</v>
      </c>
      <c r="AC227" s="79">
        <f t="shared" ref="AC227" si="254">COUNTIF($M$226:$M$229,AB227)*$D$27</f>
        <v>0</v>
      </c>
      <c r="AD227" s="70"/>
      <c r="AE227" t="str">
        <v>W99</v>
      </c>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t="str">
        <v>W98</v>
      </c>
      <c r="T228" s="79">
        <f>COUNTIF($M$226:$M$229,S228)*$D$27</f>
        <v>0</v>
      </c>
      <c r="U228" s="70"/>
      <c r="V228" t="str">
        <v>España</v>
      </c>
      <c r="W228" s="79">
        <f t="shared" ref="W228" si="256">COUNTIF($M$226:$M$229,V228)*$D$27</f>
        <v>0</v>
      </c>
      <c r="X228" s="70"/>
      <c r="Y228" t="str">
        <v>W98</v>
      </c>
      <c r="Z228" s="79">
        <f t="shared" ref="Z228" si="257">COUNTIF($M$226:$M$229,Y228)*$D$27</f>
        <v>0</v>
      </c>
      <c r="AA228" s="70"/>
      <c r="AB228" t="str">
        <v>W98</v>
      </c>
      <c r="AC228" s="79">
        <f t="shared" ref="AC228" si="258">COUNTIF($M$226:$M$229,AB228)*$D$27</f>
        <v>0</v>
      </c>
      <c r="AD228" s="70"/>
      <c r="AE228" t="str">
        <v>W98</v>
      </c>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t="str">
        <v>W100</v>
      </c>
      <c r="T229" s="87">
        <f>COUNTIF($M$226:$M$229,S229)*$D$27</f>
        <v>0</v>
      </c>
      <c r="U229" s="70"/>
      <c r="V229" t="str">
        <v>Portugal</v>
      </c>
      <c r="W229" s="87">
        <f t="shared" ref="W229" si="260">COUNTIF($M$226:$M$229,V229)*$D$27</f>
        <v>0</v>
      </c>
      <c r="X229" s="70"/>
      <c r="Y229" t="str">
        <v>W100</v>
      </c>
      <c r="Z229" s="87">
        <f t="shared" ref="Z229" si="261">COUNTIF($M$226:$M$229,Y229)*$D$27</f>
        <v>0</v>
      </c>
      <c r="AA229" s="70"/>
      <c r="AB229" t="str">
        <v>W100</v>
      </c>
      <c r="AC229" s="87">
        <f t="shared" ref="AC229" si="262">COUNTIF($M$226:$M$229,AB229)*$D$27</f>
        <v>0</v>
      </c>
      <c r="AD229" s="70"/>
      <c r="AE229" t="str">
        <v>W100</v>
      </c>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t="str">
        <v>W97-W98·0|-</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t="str">
        <v>Países Bajos-España·2|1-2</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t="str">
        <v>W97-W98·0|-</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t="str">
        <v>W97-W98·0|-</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t="str">
        <v>W97-W98·0|-</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t="str">
        <v>W99-W100·0|-</v>
      </c>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t="str">
        <v>Alemania-Portugal·X|1-1</v>
      </c>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t="str">
        <v>W99-W100·0|-</v>
      </c>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t="str">
        <v>W99-W100·0|-</v>
      </c>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t="str">
        <v>W99-W100·0|-</v>
      </c>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t="str">
        <v>L101</v>
      </c>
      <c r="T236" s="83">
        <f>COUNTIF($M$236:$M$237,S236)*$D$31</f>
        <v>0</v>
      </c>
      <c r="U236" s="116"/>
      <c r="V236" t="str">
        <v>Países Bajos</v>
      </c>
      <c r="W236" s="83">
        <f t="shared" ref="W236" si="281">COUNTIF($M$236:$M$237,V236)*$D$31</f>
        <v>0</v>
      </c>
      <c r="X236" s="116"/>
      <c r="Y236" t="str">
        <v>L101</v>
      </c>
      <c r="Z236" s="83">
        <f t="shared" ref="Z236" si="282">COUNTIF($M$236:$M$237,Y236)*$D$31</f>
        <v>0</v>
      </c>
      <c r="AA236" s="116"/>
      <c r="AB236" t="str">
        <v>L101</v>
      </c>
      <c r="AC236" s="83">
        <f t="shared" ref="AC236" si="283">COUNTIF($M$236:$M$237,AB236)*$D$31</f>
        <v>0</v>
      </c>
      <c r="AD236" s="116"/>
      <c r="AE236" t="str">
        <v>L101</v>
      </c>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t="str">
        <v>L102</v>
      </c>
      <c r="T237" s="87">
        <f>COUNTIF($M$236:$M$237,S237)*$D$31</f>
        <v>0</v>
      </c>
      <c r="U237" s="116"/>
      <c r="V237" t="str">
        <v>Portugal</v>
      </c>
      <c r="W237" s="87">
        <f t="shared" ref="W237" si="285">COUNTIF($M$236:$M$237,V237)*$D$31</f>
        <v>0</v>
      </c>
      <c r="X237" s="116"/>
      <c r="Y237" t="str">
        <v>L102</v>
      </c>
      <c r="Z237" s="87">
        <f t="shared" ref="Z237" si="286">COUNTIF($M$236:$M$237,Y237)*$D$31</f>
        <v>0</v>
      </c>
      <c r="AA237" s="116"/>
      <c r="AB237" t="str">
        <v>L102</v>
      </c>
      <c r="AC237" s="87">
        <f t="shared" ref="AC237" si="287">COUNTIF($M$236:$M$237,AB237)*$D$31</f>
        <v>0</v>
      </c>
      <c r="AD237" s="116"/>
      <c r="AE237" t="str">
        <v>L102</v>
      </c>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t="str">
        <v>W101</v>
      </c>
      <c r="T240" s="83">
        <f>COUNTIF($M$240:$M$241,S240)*$D$32</f>
        <v>0</v>
      </c>
      <c r="U240" s="116"/>
      <c r="V240" t="str">
        <v>España</v>
      </c>
      <c r="W240" s="83">
        <f t="shared" ref="W240" si="293">COUNTIF($M$240:$M$241,V240)*$D$32</f>
        <v>0</v>
      </c>
      <c r="X240" s="116"/>
      <c r="Y240" t="str">
        <v>W101</v>
      </c>
      <c r="Z240" s="83">
        <f t="shared" ref="Z240" si="294">COUNTIF($M$240:$M$241,Y240)*$D$32</f>
        <v>0</v>
      </c>
      <c r="AA240" s="116"/>
      <c r="AB240" t="str">
        <v>W101</v>
      </c>
      <c r="AC240" s="83">
        <f t="shared" ref="AC240" si="295">COUNTIF($M$240:$M$241,AB240)*$D$32</f>
        <v>0</v>
      </c>
      <c r="AD240" s="116"/>
      <c r="AE240" t="str">
        <v>W101</v>
      </c>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t="str">
        <v>W102</v>
      </c>
      <c r="T241" s="87">
        <f>COUNTIF($M$240:$M$241,S241)*$D$32</f>
        <v>0</v>
      </c>
      <c r="U241" s="116"/>
      <c r="V241" t="str">
        <v>Alemania</v>
      </c>
      <c r="W241" s="87">
        <f t="shared" ref="W241" si="297">COUNTIF($M$240:$M$241,V241)*$D$32</f>
        <v>0</v>
      </c>
      <c r="X241" s="116"/>
      <c r="Y241" t="str">
        <v>W102</v>
      </c>
      <c r="Z241" s="87">
        <f t="shared" ref="Z241" si="298">COUNTIF($M$240:$M$241,Y241)*$D$32</f>
        <v>0</v>
      </c>
      <c r="AA241" s="116"/>
      <c r="AB241" t="str">
        <v>W102</v>
      </c>
      <c r="AC241" s="87">
        <f t="shared" ref="AC241" si="299">COUNTIF($M$240:$M$241,AB241)*$D$32</f>
        <v>0</v>
      </c>
      <c r="AD241" s="116"/>
      <c r="AE241" t="str">
        <v>W102</v>
      </c>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t="str">
        <v>L101-L102·0|-</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t="str">
        <v>Países Bajos-Portugal·2|1-2</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t="str">
        <v>L101-L102·0|-</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t="str">
        <v>L101-L102·0|-</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t="str">
        <v>L101-L102·0|-</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t="str">
        <v>W101-W102·0|-</v>
      </c>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t="str">
        <v>España-Alemania·1|3-0</v>
      </c>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t="str">
        <v>W101-W102·0|-</v>
      </c>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t="str">
        <v>W101-W102·0|-</v>
      </c>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t="str">
        <v>W101-W102·0|-</v>
      </c>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t="str">
        <v>WF</v>
      </c>
      <c r="T250" s="83">
        <f>COUNTIF($M$250,S250)*$D$39</f>
        <v>0</v>
      </c>
      <c r="U250" s="70"/>
      <c r="V250" t="str">
        <v>España</v>
      </c>
      <c r="W250" s="83">
        <f t="shared" ref="W250" si="321">COUNTIF($M$250,V250)*$D$39</f>
        <v>0</v>
      </c>
      <c r="X250" s="70"/>
      <c r="Y250" t="str">
        <v>WF</v>
      </c>
      <c r="Z250" s="83">
        <f t="shared" ref="Z250" si="322">COUNTIF($M$250,Y250)*$D$39</f>
        <v>0</v>
      </c>
      <c r="AA250" s="70"/>
      <c r="AB250" t="str">
        <v>WF</v>
      </c>
      <c r="AC250" s="83">
        <f t="shared" ref="AC250" si="323">COUNTIF($M$250,AB250)*$D$39</f>
        <v>0</v>
      </c>
      <c r="AD250" s="70"/>
      <c r="AE250" t="str">
        <v>WF</v>
      </c>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t="str">
        <v>LF</v>
      </c>
      <c r="T251" s="79">
        <f>COUNTIF($M$251,S251)*$D$40</f>
        <v>0</v>
      </c>
      <c r="U251" s="70"/>
      <c r="V251" t="str">
        <v>Alemania</v>
      </c>
      <c r="W251" s="79">
        <f t="shared" ref="W251" si="325">COUNTIF($M$251,V251)*$D$40</f>
        <v>0</v>
      </c>
      <c r="X251" s="70"/>
      <c r="Y251" t="str">
        <v>LF</v>
      </c>
      <c r="Z251" s="79">
        <f t="shared" ref="Z251" si="326">COUNTIF($M$251,Y251)*$D$40</f>
        <v>0</v>
      </c>
      <c r="AA251" s="70"/>
      <c r="AB251" t="str">
        <v>LF</v>
      </c>
      <c r="AC251" s="79">
        <f t="shared" ref="AC251" si="327">COUNTIF($M$251,AB251)*$D$40</f>
        <v>0</v>
      </c>
      <c r="AD251" s="70"/>
      <c r="AE251" t="str">
        <v>LF</v>
      </c>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t="str">
        <v>W34</v>
      </c>
      <c r="T252" s="79">
        <f>COUNTIF($M$252,S252)*$D$41</f>
        <v>0</v>
      </c>
      <c r="U252" s="70"/>
      <c r="V252" t="str">
        <v>Portugal</v>
      </c>
      <c r="W252" s="79">
        <f t="shared" ref="W252" si="329">COUNTIF($M$252,V252)*$D$41</f>
        <v>0</v>
      </c>
      <c r="X252" s="70"/>
      <c r="Y252" t="str">
        <v>W34</v>
      </c>
      <c r="Z252" s="79">
        <f t="shared" ref="Z252" si="330">COUNTIF($M$252,Y252)*$D$41</f>
        <v>0</v>
      </c>
      <c r="AA252" s="70"/>
      <c r="AB252" t="str">
        <v>W34</v>
      </c>
      <c r="AC252" s="79">
        <f t="shared" ref="AC252" si="331">COUNTIF($M$252,AB252)*$D$41</f>
        <v>0</v>
      </c>
      <c r="AD252" s="70"/>
      <c r="AE252" t="str">
        <v>W34</v>
      </c>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1962</v>
      </c>
      <c r="T253" s="79">
        <f>COUNTIF($M$253,S253)*$D$42</f>
        <v>0</v>
      </c>
      <c r="U253" s="70"/>
      <c r="V253" s="80" t="s">
        <v>1962</v>
      </c>
      <c r="W253" s="79">
        <f t="shared" ref="W253" si="333">COUNTIF($M$253,V253)*$D$42</f>
        <v>0</v>
      </c>
      <c r="X253" s="70"/>
      <c r="Y253" s="80" t="s">
        <v>1977</v>
      </c>
      <c r="Z253" s="79">
        <f t="shared" ref="Z253" si="334">COUNTIF($M$253,Y253)*$D$42</f>
        <v>0</v>
      </c>
      <c r="AA253" s="70"/>
      <c r="AB253" s="80" t="s">
        <v>1962</v>
      </c>
      <c r="AC253" s="79">
        <f t="shared" ref="AC253" si="335">COUNTIF($M$253,AB253)*$D$42</f>
        <v>0</v>
      </c>
      <c r="AD253" s="70"/>
      <c r="AE253" s="80" t="s">
        <v>1962</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1963</v>
      </c>
      <c r="T254" s="79">
        <f>COUNTIF($M$254,S254)*$D$43</f>
        <v>0</v>
      </c>
      <c r="U254" s="70"/>
      <c r="V254" s="80" t="s">
        <v>1971</v>
      </c>
      <c r="W254" s="79">
        <f t="shared" ref="W254" si="337">COUNTIF($M$254,V254)*$D$43</f>
        <v>0</v>
      </c>
      <c r="X254" s="70"/>
      <c r="Y254" s="80" t="s">
        <v>1962</v>
      </c>
      <c r="Z254" s="79">
        <f t="shared" ref="Z254" si="338">COUNTIF($M$254,Y254)*$D$43</f>
        <v>0</v>
      </c>
      <c r="AA254" s="70"/>
      <c r="AB254" s="80" t="s">
        <v>1980</v>
      </c>
      <c r="AC254" s="79">
        <f t="shared" ref="AC254" si="339">COUNTIF($M$254,AB254)*$D$43</f>
        <v>0</v>
      </c>
      <c r="AD254" s="70"/>
      <c r="AE254" s="80" t="s">
        <v>1980</v>
      </c>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1964</v>
      </c>
      <c r="T255" s="79">
        <f>COUNTIF($M$255,S255)*$D$44</f>
        <v>0</v>
      </c>
      <c r="U255" s="70"/>
      <c r="V255" s="80" t="s">
        <v>1972</v>
      </c>
      <c r="W255" s="79">
        <f t="shared" ref="W255" si="341">COUNTIF($M$255,V255)*$D$44</f>
        <v>0</v>
      </c>
      <c r="X255" s="70"/>
      <c r="Y255" s="80" t="s">
        <v>1978</v>
      </c>
      <c r="Z255" s="79">
        <f t="shared" ref="Z255" si="342">COUNTIF($M$255,Y255)*$D$44</f>
        <v>0</v>
      </c>
      <c r="AA255" s="70"/>
      <c r="AB255" s="80" t="s">
        <v>1978</v>
      </c>
      <c r="AC255" s="79">
        <f t="shared" ref="AC255" si="343">COUNTIF($M$255,AB255)*$D$44</f>
        <v>0</v>
      </c>
      <c r="AD255" s="70"/>
      <c r="AE255" s="80" t="s">
        <v>1982</v>
      </c>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1965</v>
      </c>
      <c r="T256" s="79">
        <f>COUNTIF($M$256,S256)*$D$45</f>
        <v>0</v>
      </c>
      <c r="U256" s="70"/>
      <c r="V256" s="80" t="s">
        <v>1973</v>
      </c>
      <c r="W256" s="79">
        <f t="shared" ref="W256" si="345">COUNTIF($M$256,V256)*$D$45</f>
        <v>0</v>
      </c>
      <c r="X256" s="70"/>
      <c r="Y256" s="80" t="s">
        <v>1973</v>
      </c>
      <c r="Z256" s="79">
        <f t="shared" ref="Z256" si="346">COUNTIF($M$256,Y256)*$D$45</f>
        <v>0</v>
      </c>
      <c r="AA256" s="70"/>
      <c r="AB256" s="80" t="s">
        <v>1973</v>
      </c>
      <c r="AC256" s="79">
        <f t="shared" ref="AC256" si="347">COUNTIF($M$256,AB256)*$D$45</f>
        <v>0</v>
      </c>
      <c r="AD256" s="70"/>
      <c r="AE256" s="80" t="s">
        <v>1962</v>
      </c>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1983</v>
      </c>
      <c r="T257" s="79">
        <f>COUNTIF($M$257,S257)*$D$46</f>
        <v>0</v>
      </c>
      <c r="U257" s="70"/>
      <c r="V257" s="80" t="s">
        <v>1965</v>
      </c>
      <c r="W257" s="79">
        <f t="shared" ref="W257" si="349">COUNTIF($M$257,V257)*$D$46</f>
        <v>0</v>
      </c>
      <c r="X257" s="70"/>
      <c r="Y257" s="80" t="s">
        <v>1962</v>
      </c>
      <c r="Z257" s="79">
        <f t="shared" ref="Z257" si="350">COUNTIF($M$257,Y257)*$D$46</f>
        <v>0</v>
      </c>
      <c r="AA257" s="70"/>
      <c r="AB257" s="80" t="s">
        <v>1980</v>
      </c>
      <c r="AC257" s="79">
        <f t="shared" ref="AC257" si="351">COUNTIF($M$257,AB257)*$D$46</f>
        <v>0</v>
      </c>
      <c r="AD257" s="70"/>
      <c r="AE257" s="80" t="s">
        <v>1973</v>
      </c>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1984</v>
      </c>
      <c r="T258" s="87">
        <f>COUNTIF($M$258,S258)*$D$47</f>
        <v>0</v>
      </c>
      <c r="U258" s="70"/>
      <c r="V258" s="86" t="s">
        <v>1974</v>
      </c>
      <c r="W258" s="87">
        <f t="shared" ref="W258" si="353">COUNTIF($M$258,V258)*$D$47</f>
        <v>0</v>
      </c>
      <c r="X258" s="70"/>
      <c r="Y258" s="86" t="s">
        <v>1979</v>
      </c>
      <c r="Z258" s="87">
        <f t="shared" ref="Z258" si="354">COUNTIF($M$258,Y258)*$D$47</f>
        <v>0</v>
      </c>
      <c r="AA258" s="70"/>
      <c r="AB258" s="86" t="s">
        <v>1962</v>
      </c>
      <c r="AC258" s="87">
        <f t="shared" ref="AC258" si="355">COUNTIF($M$258,AB258)*$D$47</f>
        <v>0</v>
      </c>
      <c r="AD258" s="70"/>
      <c r="AE258" s="86" t="s">
        <v>1980</v>
      </c>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2</v>
      </c>
      <c r="T263" s="25"/>
      <c r="U263" s="25"/>
      <c r="V263" s="25">
        <f ca="1">RANK(V264,OFFSET($S$264,0,0,1,$D$5*3),0)</f>
        <v>3</v>
      </c>
      <c r="W263" s="25"/>
      <c r="X263" s="25"/>
      <c r="Y263" s="25">
        <f ca="1">RANK(Y264,OFFSET($S$264,0,0,1,$D$5*3),0)</f>
        <v>4</v>
      </c>
      <c r="Z263" s="25"/>
      <c r="AA263" s="25"/>
      <c r="AB263" s="25">
        <f ca="1">RANK(AB264,OFFSET($S$264,0,0,1,$D$5*3),0)</f>
        <v>5</v>
      </c>
      <c r="AC263" s="25"/>
      <c r="AD263" s="25"/>
      <c r="AE263" s="25">
        <f ca="1">RANK(AE264,OFFSET($S$264,0,0,1,$D$5*3),0)</f>
        <v>1</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1.9981</v>
      </c>
      <c r="T264" s="25"/>
      <c r="U264" s="25"/>
      <c r="V264" s="25">
        <f t="shared" ref="V264" ca="1" si="361">V266-(COLUMN()/10000)</f>
        <v>1.9978</v>
      </c>
      <c r="W264" s="25"/>
      <c r="X264" s="25"/>
      <c r="Y264" s="25">
        <f t="shared" ref="Y264" ca="1" si="362">Y266-(COLUMN()/10000)</f>
        <v>1.9975000000000001</v>
      </c>
      <c r="Z264" s="25"/>
      <c r="AA264" s="25"/>
      <c r="AB264" s="25">
        <f t="shared" ref="AB264" ca="1" si="363">AB266-(COLUMN()/10000)</f>
        <v>1.9972000000000001</v>
      </c>
      <c r="AC264" s="25"/>
      <c r="AD264" s="25"/>
      <c r="AE264" s="25">
        <f t="shared" ref="AE264" ca="1" si="364">AE266-(COLUMN()/10000)</f>
        <v>5.9969000000000001</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2</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1</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2</v>
      </c>
      <c r="Z266" s="25"/>
      <c r="AA266" s="25"/>
      <c r="AB266" s="25">
        <f ca="1">SUMIFS((AC6:AC259),$H$6:$H$259,$M$262)</f>
        <v>2</v>
      </c>
      <c r="AC266" s="25"/>
      <c r="AD266" s="25"/>
      <c r="AE266" s="25">
        <f ca="1">SUMIFS((AF6:AF259),$H$6:$H$259,$M$262)</f>
        <v>6</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JUANCHO</v>
      </c>
      <c r="T267" s="25"/>
      <c r="U267" s="25"/>
      <c r="V267" s="25" t="str">
        <f t="shared" ref="V267" si="365">V5</f>
        <v>LARRY</v>
      </c>
      <c r="W267" s="25"/>
      <c r="X267" s="25"/>
      <c r="Y267" s="25" t="str">
        <f t="shared" ref="Y267" si="366">Y5</f>
        <v>LUIS/VIR</v>
      </c>
      <c r="Z267" s="25"/>
      <c r="AA267" s="25"/>
      <c r="AB267" s="25" t="str">
        <f t="shared" ref="AB267" si="367">AB5</f>
        <v>MEDINA</v>
      </c>
      <c r="AC267" s="25"/>
      <c r="AD267" s="25"/>
      <c r="AE267" s="25" t="str">
        <f t="shared" ref="AE267" si="368">AE5</f>
        <v>VÍCTOR</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tabSelected="1"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JUANCHO</v>
      </c>
      <c r="D5" s="97">
        <f ca="1">IFERROR(HLOOKUP(A5,Rango_Admin_Clas,4,FALSE),"-")</f>
        <v>8</v>
      </c>
      <c r="E5" s="98" cm="1">
        <f t="array" aca="1" ref="E5" ca="1">IFERROR(INDEX(Rango_Admin_Clas_Total,E$2,MATCH($A5,Rango_Admin_Clas_Primera,0)+1),"-")</f>
        <v>8</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1</v>
      </c>
      <c r="C6" s="18" t="str">
        <f ca="1">IFERROR(HLOOKUP(A6,Rango_Admin_Clas,5,FALSE),"-")</f>
        <v>MEDINA</v>
      </c>
      <c r="D6" s="97">
        <f ca="1">IFERROR(HLOOKUP(A6,Rango_Admin_Clas,4,FALSE),"-")</f>
        <v>8</v>
      </c>
      <c r="E6" s="98" cm="1">
        <f t="array" aca="1" ref="E6" ca="1">IFERROR(INDEX(Rango_Admin_Clas_Total,E$2,MATCH($A6,Rango_Admin_Clas_Primera,0)+1),"-")</f>
        <v>8</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3</v>
      </c>
      <c r="C7" s="18" t="str">
        <f ca="1">IFERROR(HLOOKUP(A7,Rango_Admin_Clas,5,FALSE),"-")</f>
        <v>VÍCTOR</v>
      </c>
      <c r="D7" s="97">
        <f ca="1">IFERROR(HLOOKUP(A7,Rango_Admin_Clas,4,FALSE),"-")</f>
        <v>6</v>
      </c>
      <c r="E7" s="98" cm="1">
        <f t="array" aca="1" ref="E7" ca="1">IFERROR(INDEX(Rango_Admin_Clas_Total,E$2,MATCH($A7,Rango_Admin_Clas_Primera,0)+1),"-")</f>
        <v>6</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4</v>
      </c>
      <c r="C8" s="18" t="str">
        <f ca="1">IFERROR(HLOOKUP(A8,Rango_Admin_Clas,5,FALSE),"-")</f>
        <v>LARRY</v>
      </c>
      <c r="D8" s="97">
        <f ca="1">IFERROR(HLOOKUP(A8,Rango_Admin_Clas,4,FALSE),"-")</f>
        <v>2</v>
      </c>
      <c r="E8" s="98" cm="1">
        <f t="array" aca="1" ref="E8" ca="1">IFERROR(INDEX(Rango_Admin_Clas_Total,E$2,MATCH($A8,Rango_Admin_Clas_Primera,0)+1),"-")</f>
        <v>2</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4</v>
      </c>
      <c r="C9" s="18" t="str">
        <f ca="1">IFERROR(HLOOKUP(A9,Rango_Admin_Clas,5,FALSE),"-")</f>
        <v>LUIS/VIR</v>
      </c>
      <c r="D9" s="97">
        <f ca="1">IFERROR(HLOOKUP(A9,Rango_Admin_Clas,4,FALSE),"-")</f>
        <v>2</v>
      </c>
      <c r="E9" s="98" cm="1">
        <f t="array" aca="1" ref="E9" ca="1">IFERROR(INDEX(Rango_Admin_Clas_Total,E$2,MATCH($A9,Rango_Admin_Clas_Primera,0)+1),"-")</f>
        <v>2</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JUANCHO</v>
      </c>
      <c r="G4" s="437" t="str">
        <f ca="1">IFERROR(VLOOKUP(G$2,Rango_Admin_DailyPred,MATCH($F4,Rango_Admin_DailyPred_Primera,0),0),"-")</f>
        <v>1|2-1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LARRY</v>
      </c>
      <c r="G5" s="437" t="str">
        <f ca="1">IFERROR(VLOOKUP(G$2,Rango_Admin_DailyPred,MATCH($F5,Rango_Admin_DailyPred_Primera,0),0),"-")</f>
        <v>1|1-0</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LUIS/VIR</v>
      </c>
      <c r="G6" s="437" t="str">
        <f ca="1">IFERROR(VLOOKUP(G$2,Rango_Admin_DailyPred,MATCH($F6,Rango_Admin_DailyPred_Primera,0),0),"-")</f>
        <v>1|2-1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MEDINA</v>
      </c>
      <c r="G7" s="437" t="str">
        <f ca="1">IFERROR(VLOOKUP(G$2,Rango_Admin_DailyPred,MATCH($F7,Rango_Admin_DailyPred_Primera,0),0),"-")</f>
        <v>1|2-1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VÍCTOR</v>
      </c>
      <c r="G8" s="437" t="str">
        <f ca="1">IFERROR(VLOOKUP(G$2,Rango_Admin_DailyPred,MATCH($F8,Rango_Admin_DailyPred_Primera,0),0),"-")</f>
        <v>1|2-0</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VÍCTOR</v>
      </c>
      <c r="G4" s="22">
        <f ca="1">IFERROR(HLOOKUP(C4,Rango_Admin_DailyClas,4,FALSE),"-")</f>
        <v>6</v>
      </c>
      <c r="H4" s="437">
        <f ca="1">IFERROR(VLOOKUP(H$2,Rango_Admin_DailyPred,MATCH($F4,Rango_Admin_DailyPred_Primera,0)+1,0),"-")</f>
        <v>6</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JUANCHO</v>
      </c>
      <c r="G5" s="22">
        <f ca="1">IFERROR(HLOOKUP(C5,Rango_Admin_DailyClas,4,FALSE),"-")</f>
        <v>2</v>
      </c>
      <c r="H5" s="437">
        <f ca="1">IFERROR(VLOOKUP(H$2,Rango_Admin_DailyPred,MATCH($F5,Rango_Admin_DailyPred_Primera,0)+1,0),"-")</f>
        <v>2</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LARRY</v>
      </c>
      <c r="G6" s="22">
        <f ca="1">IFERROR(HLOOKUP(C6,Rango_Admin_DailyClas,4,FALSE),"-")</f>
        <v>2</v>
      </c>
      <c r="H6" s="437">
        <f ca="1">IFERROR(VLOOKUP(H$2,Rango_Admin_DailyPred,MATCH($F6,Rango_Admin_DailyPred_Primera,0)+1,0),"-")</f>
        <v>2</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LUIS/VIR</v>
      </c>
      <c r="G7" s="22">
        <f ca="1">IFERROR(HLOOKUP(C7,Rango_Admin_DailyClas,4,FALSE),"-")</f>
        <v>2</v>
      </c>
      <c r="H7" s="437">
        <f ca="1">IFERROR(VLOOKUP(H$2,Rango_Admin_DailyPred,MATCH($F7,Rango_Admin_DailyPred_Primera,0)+1,0),"-")</f>
        <v>2</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MEDINA</v>
      </c>
      <c r="G8" s="22">
        <f ca="1">IFERROR(HLOOKUP(C8,Rango_Admin_DailyClas,4,FALSE),"-")</f>
        <v>2</v>
      </c>
      <c r="H8" s="437">
        <f ca="1">IFERROR(VLOOKUP(H$2,Rango_Admin_DailyPred,MATCH($F8,Rango_Admin_DailyPred_Primera,0)+1,0),"-")</f>
        <v>2</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10" ca="1">_xlfn.SORTBY(OFFSET($Y$35,0,0,COUNTA(_xlfn.ANCHORARRAY($Y$35)),2),OFFSET(Z35,0,0,COUNTA(_xlfn.ANCHORARRAY($Y$35))),-1)</f>
        <v>1|2-1</v>
      </c>
      <c r="I8" s="712">
        <f ca="1"/>
        <v>3</v>
      </c>
      <c r="J8" s="713" cm="1">
        <f t="array" aca="1" ref="J8:J10"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10"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1|1-0</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t="str">
        <f ca="1"/>
        <v>1|2-0</v>
      </c>
      <c r="I10" s="712">
        <f ca="1"/>
        <v>1</v>
      </c>
      <c r="J10" s="713">
        <f ca="1"/>
        <v>1</v>
      </c>
      <c r="K10" s="412">
        <f ca="1"/>
        <v>0</v>
      </c>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14</v>
      </c>
      <c r="F13" s="464">
        <f ca="1">IFERROR(E13/E12,0)</f>
        <v>0.46666666666666667</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1</v>
      </c>
      <c r="F14" s="464">
        <f ca="1">IFERROR(E14/ADMIN!$D$5,0)</f>
        <v>0.2</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5</v>
      </c>
      <c r="F15" s="464">
        <f ca="1">IFERROR(E15/ADMIN!$D$5,0)</f>
        <v>1</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0</v>
      </c>
      <c r="F16" s="464">
        <f ca="1">IFERROR(E16/ADMIN!$D$5,0)</f>
        <v>0</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2.8</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1</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5</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7" ca="1">IFERROR(IF(_xlfn.ANCHORARRAY(Y35)&lt;&gt;"",COUNTIF(INDEX(DailyPrediction!$G$4:$AQ$58,,MATCH(Stats!$I$5,DailyPrediction!$G$2:$AQ$2,0)),_xlfn.ANCHORARRAY(Y35)),""),"")</f>
        <v>1</v>
      </c>
      <c r="X35" s="11" t="str" cm="1">
        <f t="array" aca="1" ref="X35:X37" ca="1">IFERROR(_xlfn._xlws.SORT(_xlfn.UNIQUE(_xlfn._xlws.FILTER(INDEX(DailyPrediction!$G$4:$AQ$58,,MATCH(Stats!$I$5,DailyPrediction!$G$2:$AQ$2,0)),LEN(INDEX(DailyPrediction!$G$4:$AQ$58,,MATCH(Stats!$I$5,DailyPrediction!$G$2:$AQ$2,0)))&gt;1))),Idiomas!D501)</f>
        <v>1|1-0</v>
      </c>
      <c r="Y35" s="11" t="str" cm="1">
        <f t="array" aca="1" ref="Y35:Y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Z35" s="11" cm="1">
        <f t="array" aca="1" ref="Z35:Z37" ca="1">IFERROR(IF(_xlfn.ANCHORARRAY(Y35)&lt;&gt;"",COUNTIF(INDEX(OFFSET(DailyPrediction!$G$4,0,0,ADMIN!$D$5,COUNTA(DailyPrediction!$A$4:$A$35)),,MATCH(Stats!$I$5,OFFSET(DailyPrediction!$G$2,0,0,1,COUNTA(DailyPrediction!$A$4:$A$35)),0)),_xlfn.ANCHORARRAY(Y35)),""),"")</f>
        <v>1</v>
      </c>
      <c r="AA35" s="11" cm="1">
        <f t="array" aca="1" ref="AA35:AA37"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7"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7" ca="1">_xlfn.SORTBY(OFFSET($Y$35,0,0,COUNTA(_xlfn.ANCHORARRAY($Y$35)),3),OFFSET(Z35,0,0,COUNTA(_xlfn.ANCHORARRAY($Y$35))),-1)</f>
        <v>1|2-1</v>
      </c>
      <c r="AD35" s="11">
        <f ca="1"/>
        <v>3</v>
      </c>
      <c r="AE35" s="11">
        <f ca="1"/>
        <v>1</v>
      </c>
      <c r="AF35" s="11"/>
      <c r="AG35" s="11" t="str" cm="1">
        <f t="array" aca="1" ref="AG35" ca="1">_xlfn.UNIQUE(_xlfn._xlws.FILTER(DailyPrediction!$A$4:$A$35,DailyPrediction!$A$4:$A$35&lt;&gt;""))</f>
        <v>México-Sudáfrica</v>
      </c>
      <c r="AH35" s="11" t="str" cm="1">
        <f t="array" aca="1" ref="AH35:AH37" ca="1">LEFT(OFFSET(_xlfn.ANCHORARRAY(Y35),0,0,COUNTA(_xlfn.ANCHORARRAY(Y35)),1))</f>
        <v>1</v>
      </c>
      <c r="AI35" s="11" t="str" cm="1">
        <f t="array" aca="1" ref="AI35:AI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AJ35" s="11" t="str" cm="1">
        <f t="array" aca="1" ref="AJ35:AJ37" ca="1">IFERROR(_xlfn._xlws.SORT(_xlfn.UNIQUE(INDEX(OFFSET(DailyPrediction!$G$4,0,0,ADMIN!$D$5,COUNTA(_xlfn.ANCHORARRAY(DailyPrediction!$G$2))),,MATCH(Stats!$I$5,OFFSET(DailyPrediction!$G$2,0,0,1,COUNTA(_xlfn.ANCHORARRAY(DailyPrediction!$G$2))),0)),0)),Idiomas!D501)</f>
        <v>1|1-0</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1</v>
      </c>
      <c r="X36" s="11" t="str">
        <f ca="1"/>
        <v>1|2-0</v>
      </c>
      <c r="Y36" s="11" t="str">
        <f ca="1"/>
        <v>1|2-0</v>
      </c>
      <c r="Z36" s="11">
        <f ca="1"/>
        <v>1</v>
      </c>
      <c r="AA36" s="11">
        <f ca="1"/>
        <v>0</v>
      </c>
      <c r="AB36" s="11">
        <f ca="1"/>
        <v>0</v>
      </c>
      <c r="AC36" s="11" t="str">
        <f ca="1"/>
        <v>1|1-0</v>
      </c>
      <c r="AD36" s="11">
        <f ca="1"/>
        <v>1</v>
      </c>
      <c r="AE36" s="11">
        <f ca="1"/>
        <v>0</v>
      </c>
      <c r="AF36" s="11"/>
      <c r="AG36" s="11"/>
      <c r="AH36" s="11" t="str">
        <f ca="1"/>
        <v>1</v>
      </c>
      <c r="AI36" s="11" t="str">
        <f ca="1"/>
        <v>1|2-0</v>
      </c>
      <c r="AJ36" s="11" t="str">
        <f ca="1"/>
        <v>1|2-0</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f ca="1"/>
        <v>3</v>
      </c>
      <c r="X37" s="11" t="str">
        <f ca="1"/>
        <v>1|2-1</v>
      </c>
      <c r="Y37" s="11" t="str">
        <f ca="1"/>
        <v>1|2-1</v>
      </c>
      <c r="Z37" s="11">
        <f ca="1"/>
        <v>3</v>
      </c>
      <c r="AA37" s="11">
        <f ca="1"/>
        <v>1</v>
      </c>
      <c r="AB37" s="11">
        <f ca="1"/>
        <v>0</v>
      </c>
      <c r="AC37" s="11" t="str">
        <f ca="1"/>
        <v>1|2-0</v>
      </c>
      <c r="AD37" s="11">
        <f ca="1"/>
        <v>1</v>
      </c>
      <c r="AE37" s="11">
        <f ca="1"/>
        <v>0</v>
      </c>
      <c r="AF37" s="11"/>
      <c r="AG37" s="11"/>
      <c r="AH37" s="11" t="str">
        <f ca="1"/>
        <v>1</v>
      </c>
      <c r="AI37" s="11" t="str">
        <f ca="1"/>
        <v>1|2-1</v>
      </c>
      <c r="AJ37" s="11" t="str">
        <f ca="1"/>
        <v>1|2-1</v>
      </c>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t="str">
        <f>IF(ISBLANK(INDEX(WORLDCUP!$AC$4:$AC$147,MATCH(A5,WORLDCUP!$AH$4:$AH$147,0))),"",INDEX(WORLDCUP!$AC$4:$AC$147,MATCH(A5,WORLDCUP!$AH$4:$AH$147,0)))</f>
        <v/>
      </c>
      <c r="E5" s="538" t="str">
        <f>IF(ISBLANK(INDEX(WORLDCUP!$AD$4:$AD$147,MATCH(A5,WORLDCUP!$AH$4:$AH$147,0))),"",INDEX(WORLDCUP!$AD$4:$AD$147,MATCH(A5,WORLDCUP!$AH$4:$AH$147,0)))</f>
        <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0</v>
      </c>
      <c r="J6" s="230">
        <f ca="1">+INDEX(WORLDCUP!$AT$6:$AT$97,MATCH(L6,WORLDCUP!$AI$6:$AI$97,0))</f>
        <v>-1</v>
      </c>
      <c r="K6" s="231" t="str">
        <f ca="1">+INDEX(WORLDCUP!$AR$6:$AR$97,MATCH(L6,WORLDCUP!$AI$6:$AI$97,0))&amp;"-"&amp;INDEX(WORLDCUP!$AS$6:$AS$97,MATCH(L6,WORLDCUP!$AI$6:$AI$97,0))</f>
        <v>1-2</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0</v>
      </c>
      <c r="J7" s="571">
        <f ca="1">+INDEX(WORLDCUP!$AT$6:$AT$97,MATCH(L7,WORLDCUP!$AI$6:$AI$97,0))</f>
        <v>-2</v>
      </c>
      <c r="K7" s="572" t="str">
        <f ca="1">+INDEX(WORLDCUP!$AR$6:$AR$97,MATCH(L7,WORLDCUP!$AI$6:$AI$97,0))&amp;"-"&amp;INDEX(WORLDCUP!$AS$6:$AS$97,MATCH(L7,WORLDCUP!$AI$6:$AI$97,0))</f>
        <v>0-2</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1</v>
      </c>
      <c r="J12" s="543">
        <f ca="1">+INDEX(WORLDCUP!$AT$6:$AT$97,MATCH(L12,WORLDCUP!$AI$6:$AI$97,0))</f>
        <v>0</v>
      </c>
      <c r="K12" s="544" t="str">
        <f ca="1">+INDEX(WORLDCUP!$AR$6:$AR$97,MATCH(L12,WORLDCUP!$AI$6:$AI$97,0))&amp;"-"&amp;INDEX(WORLDCUP!$AS$6:$AS$97,MATCH(L12,WORLDCUP!$AI$6:$AI$97,0))</f>
        <v>1-1</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1</v>
      </c>
      <c r="J13" s="230">
        <f ca="1">+INDEX(WORLDCUP!$AT$6:$AT$97,MATCH(L13,WORLDCUP!$AI$6:$AI$97,0))</f>
        <v>0</v>
      </c>
      <c r="K13" s="231" t="str">
        <f ca="1">+INDEX(WORLDCUP!$AR$6:$AR$97,MATCH(L13,WORLDCUP!$AI$6:$AI$97,0))&amp;"-"&amp;INDEX(WORLDCUP!$AS$6:$AS$97,MATCH(L13,WORLDCUP!$AI$6:$AI$97,0))</f>
        <v>1-1</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2026-06-12T22:30:27Z</dcterms:modified>
  <cp:category/>
</cp:coreProperties>
</file>